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media/image6.jpeg" ContentType="image/jpeg"/>
  <Override PartName="/xl/media/image5.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comments1.xml" ContentType="application/vnd.openxmlformats-officedocument.spreadsheetml.comments+xml"/>
  <Override PartName="/xl/worksheets/_rels/sheet5.xml.rels" ContentType="application/vnd.openxmlformats-package.relationships+xml"/>
  <Override PartName="/xl/worksheets/_rels/sheet1.xml.rels" ContentType="application/vnd.openxmlformats-package.relationships+xml"/>
  <Override PartName="/xl/worksheets/_rels/sheet4.xml.rels" ContentType="application/vnd.openxmlformats-package.relationships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2.xml" ContentType="application/vnd.openxmlformats-officedocument.drawing+xml"/>
  <Override PartName="/xl/drawings/vmlDrawing1.vml" ContentType="application/vnd.openxmlformats-officedocument.vmlDrawing"/>
  <Override PartName="/xl/drawings/drawing1.xml" ContentType="application/vnd.openxmlformats-officedocument.drawing+xml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2"/>
    <sheet name="TXT" sheetId="2" state="visible" r:id="rId3"/>
    <sheet name="TXTa" sheetId="3" state="visible" r:id="rId4"/>
    <sheet name="RF1s" sheetId="4" state="visible" r:id="rId5"/>
    <sheet name="RF1sa" sheetId="5" state="visible" r:id="rId6"/>
  </sheets>
  <definedNames>
    <definedName function="false" hidden="false" name="_Fill" vbProcedure="false">#REF!</definedName>
    <definedName function="false" hidden="false" name="_xlfn_BAHTTEXT" vbProcedure="false"/>
    <definedName function="false" hidden="false" localSheetId="0" name="Excel_BuiltIn__FilterDatabase" vbProcedure="false">DATA!$B$8:$I$18</definedName>
    <definedName function="false" hidden="false" localSheetId="2" name="_Fill" vbProcedure="false">#REF!</definedName>
    <definedName function="false" hidden="false" localSheetId="4" name="_Fill" vbProcedure="false">#REF!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C8" authorId="0">
      <text>
        <r>
          <rPr>
            <b val="true"/>
            <sz val="8"/>
            <color rgb="FF000000"/>
            <rFont val="Tahoma"/>
            <family val="2"/>
          </rPr>
          <t xml:space="preserve">SUFFIX
</t>
        </r>
        <r>
          <rPr>
            <sz val="8"/>
            <color rgb="FF000000"/>
            <rFont val="Tahoma"/>
            <family val="2"/>
          </rPr>
          <t xml:space="preserve">JR
SR
III
IV</t>
        </r>
      </text>
    </comment>
  </commentList>
</comments>
</file>

<file path=xl/sharedStrings.xml><?xml version="1.0" encoding="utf-8"?>
<sst xmlns="http://schemas.openxmlformats.org/spreadsheetml/2006/main" count="207" uniqueCount="120">
  <si>
    <t xml:space="preserve">EMP NAME </t>
  </si>
  <si>
    <t xml:space="preserve">SSS NUMBER</t>
  </si>
  <si>
    <t xml:space="preserve">ME-5 # / OR #</t>
  </si>
  <si>
    <t xml:space="preserve">QUARTER</t>
  </si>
  <si>
    <t xml:space="preserve">GSALLOTED</t>
  </si>
  <si>
    <t xml:space="preserve">MONTH</t>
  </si>
  <si>
    <t xml:space="preserve">*100</t>
  </si>
  <si>
    <t xml:space="preserve">TXT $</t>
  </si>
  <si>
    <t xml:space="preserve">REG/ADD</t>
  </si>
  <si>
    <t xml:space="preserve">R</t>
  </si>
  <si>
    <t xml:space="preserve">A</t>
  </si>
  <si>
    <t xml:space="preserve">M</t>
  </si>
  <si>
    <t xml:space="preserve">F</t>
  </si>
  <si>
    <t xml:space="preserve">TOTAL PS</t>
  </si>
  <si>
    <t xml:space="preserve">LINKS</t>
  </si>
  <si>
    <t xml:space="preserve">ADDRESS</t>
  </si>
  <si>
    <t xml:space="preserve">TIN</t>
  </si>
  <si>
    <t xml:space="preserve">TIN-112-4444</t>
  </si>
  <si>
    <t xml:space="preserve">AMOUNT PAID</t>
  </si>
  <si>
    <t xml:space="preserve">EMP TYPE</t>
  </si>
  <si>
    <t xml:space="preserve">NE</t>
  </si>
  <si>
    <t xml:space="preserve">PRINT OUT RF1</t>
  </si>
  <si>
    <t xml:space="preserve">PEN</t>
  </si>
  <si>
    <t xml:space="preserve">EMPLOYER TYPE</t>
  </si>
  <si>
    <t xml:space="preserve">PRIVATE</t>
  </si>
  <si>
    <t xml:space="preserve">ALLOTED GS</t>
  </si>
  <si>
    <t xml:space="preserve">DATE PAID</t>
  </si>
  <si>
    <t xml:space="preserve">TYPE OF REPORT</t>
  </si>
  <si>
    <t xml:space="preserve">COUNT</t>
  </si>
  <si>
    <t xml:space="preserve">NH</t>
  </si>
  <si>
    <t xml:space="preserve">SAVE TXT</t>
  </si>
  <si>
    <t xml:space="preserve">TEL #</t>
  </si>
  <si>
    <t xml:space="preserve">YEAR</t>
  </si>
  <si>
    <t xml:space="preserve">PREPARED BY</t>
  </si>
  <si>
    <t xml:space="preserve">Regulus Berdin</t>
  </si>
  <si>
    <t xml:space="preserve">APPLICABLE MONTH</t>
  </si>
  <si>
    <t xml:space="preserve">OVER/UNDER</t>
  </si>
  <si>
    <t xml:space="preserve">GOVERNMENT</t>
  </si>
  <si>
    <t xml:space="preserve">TOTAL ARREARS</t>
  </si>
  <si>
    <t xml:space="preserve">SP</t>
  </si>
  <si>
    <t xml:space="preserve">PRINT OUT RF1a</t>
  </si>
  <si>
    <t xml:space="preserve">INCHARGE</t>
  </si>
  <si>
    <t xml:space="preserve">DESIGNATION</t>
  </si>
  <si>
    <t xml:space="preserve">Programmer</t>
  </si>
  <si>
    <t xml:space="preserve">TOTAL RF-1</t>
  </si>
  <si>
    <t xml:space="preserve">HOUSEHOLD</t>
  </si>
  <si>
    <t xml:space="preserve">SAVE TXTa</t>
  </si>
  <si>
    <t xml:space="preserve">POSITION</t>
  </si>
  <si>
    <t xml:space="preserve">EMAIL</t>
  </si>
  <si>
    <t xml:space="preserve">DATE PREPARED</t>
  </si>
  <si>
    <t xml:space="preserve">PHILHEALTH NO</t>
  </si>
  <si>
    <t xml:space="preserve">DATE OF BIRTH</t>
  </si>
  <si>
    <t xml:space="preserve">SEX</t>
  </si>
  <si>
    <t xml:space="preserve">SALARY</t>
  </si>
  <si>
    <t xml:space="preserve">SB</t>
  </si>
  <si>
    <t xml:space="preserve">PS</t>
  </si>
  <si>
    <t xml:space="preserve">ALLOTED</t>
  </si>
  <si>
    <t xml:space="preserve">REMARKS</t>
  </si>
  <si>
    <t xml:space="preserve">DATE</t>
  </si>
  <si>
    <t xml:space="preserve"># OF EE'S</t>
  </si>
  <si>
    <t xml:space="preserve">LAST NAME</t>
  </si>
  <si>
    <t xml:space="preserve">SUFFIX</t>
  </si>
  <si>
    <t xml:space="preserve">FIRST NAME</t>
  </si>
  <si>
    <t xml:space="preserve">MIDDLE NAME</t>
  </si>
  <si>
    <t xml:space="preserve">1-6</t>
  </si>
  <si>
    <t xml:space="preserve">7-11</t>
  </si>
  <si>
    <t xml:space="preserve">12-17</t>
  </si>
  <si>
    <t xml:space="preserve">1-8</t>
  </si>
  <si>
    <t xml:space="preserve">9-12</t>
  </si>
  <si>
    <t xml:space="preserve">9-16</t>
  </si>
  <si>
    <t xml:space="preserve">17</t>
  </si>
  <si>
    <t xml:space="preserve">18-22</t>
  </si>
  <si>
    <t xml:space="preserve">17-22</t>
  </si>
  <si>
    <t xml:space="preserve">18-23</t>
  </si>
  <si>
    <t xml:space="preserve">24-27</t>
  </si>
  <si>
    <t xml:space="preserve">17-24</t>
  </si>
  <si>
    <t xml:space="preserve">25-27</t>
  </si>
  <si>
    <t xml:space="preserve">24-29</t>
  </si>
  <si>
    <t xml:space="preserve">25-29</t>
  </si>
  <si>
    <t xml:space="preserve">24-28</t>
  </si>
  <si>
    <t xml:space="preserve">25-28</t>
  </si>
  <si>
    <t xml:space="preserve">EMPLOYEE INFO</t>
  </si>
  <si>
    <t xml:space="preserve">REMARKS </t>
  </si>
  <si>
    <t xml:space="preserve">BDATE</t>
  </si>
  <si>
    <t xml:space="preserve">REMITTANCE REPORT</t>
  </si>
  <si>
    <t xml:space="preserve">MEMBERS</t>
  </si>
  <si>
    <t xml:space="preserve">M5-SUMMARY</t>
  </si>
  <si>
    <t xml:space="preserve">RF-1</t>
  </si>
  <si>
    <t xml:space="preserve">EMPLOYER'S REMITTANCE REPORT</t>
  </si>
  <si>
    <t xml:space="preserve">THIS PORTION TO BE FILLED UP BY PHILHEALTH</t>
  </si>
  <si>
    <t xml:space="preserve">PHILHEALTH NO.</t>
  </si>
  <si>
    <t xml:space="preserve">EMPLOYER TIN</t>
  </si>
  <si>
    <t xml:space="preserve">COMPLETE EMPLOYER NAME</t>
  </si>
  <si>
    <t xml:space="preserve">REPORT TYPE</t>
  </si>
  <si>
    <t xml:space="preserve">APPLICABLE PERIOD</t>
  </si>
  <si>
    <t xml:space="preserve">COMPLETE MAILING ADDRESS</t>
  </si>
  <si>
    <t xml:space="preserve">TELEPHONE NO.</t>
  </si>
  <si>
    <t xml:space="preserve">EMAIL ADDRESS</t>
  </si>
  <si>
    <t xml:space="preserve">PHILHEALTH IDENTIFICATION NUMBER (PIN)</t>
  </si>
  <si>
    <t xml:space="preserve">EMPLOYEE/S INFORMATION</t>
  </si>
  <si>
    <r>
      <rPr>
        <sz val="5"/>
        <rFont val="Arial"/>
        <family val="2"/>
      </rPr>
      <t xml:space="preserve">Fill-out this portion </t>
    </r>
    <r>
      <rPr>
        <u val="single"/>
        <sz val="5"/>
        <rFont val="Arial"/>
        <family val="2"/>
      </rPr>
      <t xml:space="preserve">only</t>
    </r>
    <r>
      <rPr>
        <sz val="5"/>
        <rFont val="Arial"/>
        <family val="2"/>
      </rPr>
      <t xml:space="preserve"> if declared employee/s has not yet been issued his/her PIN</t>
    </r>
  </si>
  <si>
    <t xml:space="preserve">NHIP PREMIUM CONTRIBUTION</t>
  </si>
  <si>
    <t xml:space="preserve">EMPLOYEE STATUS</t>
  </si>
  <si>
    <t xml:space="preserve">NAME SUFFIX</t>
  </si>
  <si>
    <t xml:space="preserve">DATE OF BIRTH (mm-dd-yyyy)</t>
  </si>
  <si>
    <t xml:space="preserve">SEX (M/F)</t>
  </si>
  <si>
    <t xml:space="preserve">MONTHLY SALARY BRACKET (MSB)</t>
  </si>
  <si>
    <t xml:space="preserve">ES</t>
  </si>
  <si>
    <r>
      <rPr>
        <sz val="6"/>
        <rFont val="Arial"/>
        <family val="2"/>
      </rPr>
      <t xml:space="preserve">S-Separated, NE-No Earnings, NH-Newly Hired / </t>
    </r>
    <r>
      <rPr>
        <b val="true"/>
        <sz val="6"/>
        <rFont val="Arial"/>
        <family val="2"/>
      </rPr>
      <t xml:space="preserve">Effectivity Date</t>
    </r>
  </si>
  <si>
    <t xml:space="preserve">ACKNOWLEDGEMENT RECEIPT (PAR/POR/TRANSACTION REFERENCE NO.)</t>
  </si>
  <si>
    <t xml:space="preserve">GRAND TOTAL (PS+ES)</t>
  </si>
  <si>
    <t xml:space="preserve">REMITTED AMOUNT</t>
  </si>
  <si>
    <t xml:space="preserve">ACKNOWLEDGEMENT RECEIPT</t>
  </si>
  <si>
    <t xml:space="preserve">TRANSACTION DATE</t>
  </si>
  <si>
    <t xml:space="preserve">Indicate Total Number of employees per page</t>
  </si>
  <si>
    <t xml:space="preserve">(To be accomplished on every page)</t>
  </si>
  <si>
    <t xml:space="preserve">UNDER THE PENALTY OF THE LAW, I HEREBY ATTEST THAT THE ABOVE INFORMATIONS PROVIDED HEREIN ARE TRUE AND CORRECT.</t>
  </si>
  <si>
    <t xml:space="preserve">Signature over printed name</t>
  </si>
  <si>
    <t xml:space="preserve">Official Designation</t>
  </si>
  <si>
    <t xml:space="preserve">Date</t>
  </si>
</sst>
</file>

<file path=xl/styles.xml><?xml version="1.0" encoding="utf-8"?>
<styleSheet xmlns="http://schemas.openxmlformats.org/spreadsheetml/2006/main">
  <numFmts count="23">
    <numFmt numFmtId="164" formatCode="General"/>
    <numFmt numFmtId="165" formatCode="0.00_)"/>
    <numFmt numFmtId="166" formatCode="0.00%"/>
    <numFmt numFmtId="167" formatCode="#,##0.00"/>
    <numFmt numFmtId="168" formatCode="0.00"/>
    <numFmt numFmtId="169" formatCode="DD\-MMM\-YY;@"/>
    <numFmt numFmtId="170" formatCode="00000000"/>
    <numFmt numFmtId="171" formatCode="MMDDYYYY"/>
    <numFmt numFmtId="172" formatCode="000000000000"/>
    <numFmt numFmtId="173" formatCode="#,##0.00;\-#,##0.00"/>
    <numFmt numFmtId="174" formatCode="MM/DD/YYYY"/>
    <numFmt numFmtId="175" formatCode="M/D/YYYY;@"/>
    <numFmt numFmtId="176" formatCode="HH:MM\ AM/PM"/>
    <numFmt numFmtId="177" formatCode="#,##0.00;[RED]\-#,##0.00"/>
    <numFmt numFmtId="178" formatCode="M/D/YY\ H:MM\ AM/PM;@"/>
    <numFmt numFmtId="179" formatCode="MM/DD/YY\ HH:MM\ AM/PM"/>
    <numFmt numFmtId="180" formatCode="@"/>
    <numFmt numFmtId="181" formatCode="0"/>
    <numFmt numFmtId="182" formatCode="&quot;NE&quot;;&quot;NH&quot;;&quot;SP&quot;"/>
    <numFmt numFmtId="183" formatCode="000000"/>
    <numFmt numFmtId="184" formatCode="\100000000"/>
    <numFmt numFmtId="185" formatCode="&quot;GRAND TOTAL&quot;0000000000"/>
    <numFmt numFmtId="186" formatCode="MMMM\ D&quot;, &quot;YYYY;@"/>
  </numFmts>
  <fonts count="36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"/>
      <color rgb="FF900000"/>
      <name val="Courier New"/>
      <family val="3"/>
    </font>
    <font>
      <i val="true"/>
      <sz val="1"/>
      <color rgb="FF900000"/>
      <name val="Courier New"/>
      <family val="3"/>
    </font>
    <font>
      <sz val="8"/>
      <name val="Arial"/>
      <family val="2"/>
    </font>
    <font>
      <b val="true"/>
      <i val="true"/>
      <sz val="16"/>
      <name val="Arial"/>
      <family val="0"/>
    </font>
    <font>
      <sz val="10"/>
      <name val="Arial"/>
      <family val="2"/>
    </font>
    <font>
      <sz val="10"/>
      <color rgb="FFDD0806"/>
      <name val="Arial"/>
      <family val="2"/>
    </font>
    <font>
      <b val="true"/>
      <sz val="8"/>
      <name val="Arial"/>
      <family val="2"/>
    </font>
    <font>
      <b val="true"/>
      <sz val="10"/>
      <name val="Arial"/>
      <family val="2"/>
    </font>
    <font>
      <b val="true"/>
      <sz val="7"/>
      <name val="Arial"/>
      <family val="2"/>
    </font>
    <font>
      <b val="true"/>
      <sz val="6"/>
      <name val="Arial"/>
      <family val="2"/>
    </font>
    <font>
      <b val="true"/>
      <sz val="10"/>
      <color rgb="FFDD0806"/>
      <name val="Arial"/>
      <family val="2"/>
    </font>
    <font>
      <u val="single"/>
      <sz val="10"/>
      <color rgb="FF0000D4"/>
      <name val="Arial"/>
      <family val="2"/>
    </font>
    <font>
      <b val="true"/>
      <sz val="4"/>
      <name val="Arial"/>
      <family val="2"/>
    </font>
    <font>
      <b val="true"/>
      <sz val="8"/>
      <color rgb="FF000000"/>
      <name val="Tahoma"/>
      <family val="2"/>
    </font>
    <font>
      <sz val="8"/>
      <color rgb="FF000000"/>
      <name val="Tahoma"/>
      <family val="2"/>
    </font>
    <font>
      <sz val="8"/>
      <name val="Courier New"/>
      <family val="3"/>
    </font>
    <font>
      <b val="true"/>
      <sz val="21"/>
      <name val="Arial"/>
      <family val="2"/>
    </font>
    <font>
      <u val="single"/>
      <sz val="10"/>
      <name val="Arial"/>
      <family val="2"/>
    </font>
    <font>
      <b val="true"/>
      <u val="single"/>
      <sz val="10"/>
      <name val="Arial"/>
      <family val="2"/>
    </font>
    <font>
      <b val="true"/>
      <sz val="9"/>
      <name val="Arial"/>
      <family val="2"/>
    </font>
    <font>
      <sz val="5"/>
      <name val="Arial"/>
      <family val="2"/>
    </font>
    <font>
      <u val="single"/>
      <sz val="5"/>
      <name val="Arial"/>
      <family val="2"/>
    </font>
    <font>
      <sz val="6"/>
      <name val="Arial"/>
      <family val="2"/>
    </font>
    <font>
      <u val="single"/>
      <sz val="8"/>
      <name val="Arial"/>
      <family val="2"/>
    </font>
    <font>
      <b val="true"/>
      <sz val="12"/>
      <name val="Arial"/>
      <family val="2"/>
    </font>
    <font>
      <b val="true"/>
      <sz val="5"/>
      <name val="Arial"/>
      <family val="2"/>
    </font>
    <font>
      <sz val="5"/>
      <color rgb="FF000000"/>
      <name val="Arial"/>
      <family val="2"/>
    </font>
    <font>
      <b val="true"/>
      <sz val="11"/>
      <color rgb="FF000000"/>
      <name val="Calibri"/>
      <family val="2"/>
    </font>
    <font>
      <b val="true"/>
      <sz val="5"/>
      <color rgb="FF000000"/>
      <name val="Calibri"/>
      <family val="2"/>
    </font>
    <font>
      <sz val="10"/>
      <color rgb="FF000000"/>
      <name val="Calibri"/>
      <family val="2"/>
    </font>
    <font>
      <sz val="8"/>
      <color rgb="FF000000"/>
      <name val="Calibri"/>
      <family val="2"/>
    </font>
    <font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C0C0C0"/>
        <bgColor rgb="FFCCCCFF"/>
      </patternFill>
    </fill>
    <fill>
      <patternFill patternType="solid">
        <fgColor rgb="FFFFFFCC"/>
        <bgColor rgb="FFFFFFFF"/>
      </patternFill>
    </fill>
    <fill>
      <patternFill patternType="solid">
        <fgColor rgb="FFFFFF99"/>
        <bgColor rgb="FFFFFFCC"/>
      </patternFill>
    </fill>
    <fill>
      <patternFill patternType="solid">
        <fgColor rgb="FFCCFFCC"/>
        <bgColor rgb="FFCCFFFF"/>
      </patternFill>
    </fill>
    <fill>
      <patternFill patternType="solid">
        <fgColor rgb="FFFFFFFF"/>
        <bgColor rgb="FFFFFFCC"/>
      </patternFill>
    </fill>
  </fills>
  <borders count="39">
    <border diagonalUp="false" diagonalDown="false">
      <left/>
      <right/>
      <top/>
      <bottom/>
      <diagonal/>
    </border>
    <border diagonalUp="false" diagonalDown="false">
      <left style="thin">
        <color rgb="FF4C4C4C"/>
      </left>
      <right style="thin">
        <color rgb="FF4C4C4C"/>
      </right>
      <top style="thin">
        <color rgb="FF4C4C4C"/>
      </top>
      <bottom style="thin">
        <color rgb="FF4C4C4C"/>
      </bottom>
      <diagonal/>
    </border>
    <border diagonalUp="false" diagonalDown="false">
      <left style="thin">
        <color rgb="FF4C4C4C"/>
      </left>
      <right style="thin">
        <color rgb="FF4C4C4C"/>
      </right>
      <top/>
      <bottom style="thin">
        <color rgb="FF4C4C4C"/>
      </bottom>
      <diagonal/>
    </border>
    <border diagonalUp="false" diagonalDown="false">
      <left style="thin">
        <color rgb="FF4C4C4C"/>
      </left>
      <right/>
      <top style="thin">
        <color rgb="FF4C4C4C"/>
      </top>
      <bottom style="thin">
        <color rgb="FF4C4C4C"/>
      </bottom>
      <diagonal/>
    </border>
    <border diagonalUp="false" diagonalDown="false">
      <left/>
      <right style="thin">
        <color rgb="FF4C4C4C"/>
      </right>
      <top style="thin">
        <color rgb="FF4C4C4C"/>
      </top>
      <bottom style="thin">
        <color rgb="FF4C4C4C"/>
      </bottom>
      <diagonal/>
    </border>
    <border diagonalUp="false" diagonalDown="false">
      <left style="thin">
        <color rgb="FF4C4C4C"/>
      </left>
      <right style="thin">
        <color rgb="FF4C4C4C"/>
      </right>
      <top/>
      <bottom/>
      <diagonal/>
    </border>
    <border diagonalUp="false" diagonalDown="false">
      <left style="medium">
        <color rgb="FF4C4C4C"/>
      </left>
      <right style="thin">
        <color rgb="FF4C4C4C"/>
      </right>
      <top style="medium">
        <color rgb="FF4C4C4C"/>
      </top>
      <bottom/>
      <diagonal/>
    </border>
    <border diagonalUp="false" diagonalDown="false">
      <left style="thin">
        <color rgb="FF4C4C4C"/>
      </left>
      <right style="medium">
        <color rgb="FF4C4C4C"/>
      </right>
      <top style="medium">
        <color rgb="FF4C4C4C"/>
      </top>
      <bottom/>
      <diagonal/>
    </border>
    <border diagonalUp="false" diagonalDown="false">
      <left style="medium">
        <color rgb="FF4C4C4C"/>
      </left>
      <right style="hair">
        <color rgb="FF4C4C4C"/>
      </right>
      <top style="hair">
        <color rgb="FF4C4C4C"/>
      </top>
      <bottom style="medium">
        <color rgb="FF4C4C4C"/>
      </bottom>
      <diagonal/>
    </border>
    <border diagonalUp="false" diagonalDown="false">
      <left style="medium">
        <color rgb="FF4C4C4C"/>
      </left>
      <right/>
      <top style="medium">
        <color rgb="FF4C4C4C"/>
      </top>
      <bottom/>
      <diagonal/>
    </border>
    <border diagonalUp="false" diagonalDown="false">
      <left/>
      <right style="medium">
        <color rgb="FF4C4C4C"/>
      </right>
      <top style="medium">
        <color rgb="FF4C4C4C"/>
      </top>
      <bottom/>
      <diagonal/>
    </border>
    <border diagonalUp="false" diagonalDown="false">
      <left style="medium">
        <color rgb="FF4C4C4C"/>
      </left>
      <right style="medium">
        <color rgb="FF4C4C4C"/>
      </right>
      <top style="medium">
        <color rgb="FF4C4C4C"/>
      </top>
      <bottom style="medium">
        <color rgb="FF4C4C4C"/>
      </bottom>
      <diagonal/>
    </border>
    <border diagonalUp="false" diagonalDown="false">
      <left style="medium">
        <color rgb="FF4C4C4C"/>
      </left>
      <right/>
      <top/>
      <bottom style="medium">
        <color rgb="FF4C4C4C"/>
      </bottom>
      <diagonal/>
    </border>
    <border diagonalUp="false" diagonalDown="false">
      <left/>
      <right style="medium">
        <color rgb="FF4C4C4C"/>
      </right>
      <top/>
      <bottom style="medium">
        <color rgb="FF4C4C4C"/>
      </bottom>
      <diagonal/>
    </border>
    <border diagonalUp="false" diagonalDown="false">
      <left/>
      <right/>
      <top style="medium">
        <color rgb="FF4C4C4C"/>
      </top>
      <bottom/>
      <diagonal/>
    </border>
    <border diagonalUp="false" diagonalDown="false">
      <left style="medium">
        <color rgb="FF4C4C4C"/>
      </left>
      <right/>
      <top/>
      <bottom/>
      <diagonal/>
    </border>
    <border diagonalUp="false" diagonalDown="false">
      <left/>
      <right style="medium">
        <color rgb="FF4C4C4C"/>
      </right>
      <top/>
      <bottom/>
      <diagonal/>
    </border>
    <border diagonalUp="false" diagonalDown="false">
      <left/>
      <right/>
      <top/>
      <bottom style="medium">
        <color rgb="FF4C4C4C"/>
      </bottom>
      <diagonal/>
    </border>
    <border diagonalUp="false" diagonalDown="false">
      <left style="medium">
        <color rgb="FF4C4C4C"/>
      </left>
      <right style="medium">
        <color rgb="FF4C4C4C"/>
      </right>
      <top/>
      <bottom style="medium">
        <color rgb="FF4C4C4C"/>
      </bottom>
      <diagonal/>
    </border>
    <border diagonalUp="false" diagonalDown="false">
      <left/>
      <right style="medium">
        <color rgb="FF4C4C4C"/>
      </right>
      <top style="medium">
        <color rgb="FF4C4C4C"/>
      </top>
      <bottom style="medium">
        <color rgb="FF4C4C4C"/>
      </bottom>
      <diagonal/>
    </border>
    <border diagonalUp="false" diagonalDown="false">
      <left style="medium">
        <color rgb="FF4C4C4C"/>
      </left>
      <right style="medium">
        <color rgb="FF4C4C4C"/>
      </right>
      <top style="medium">
        <color rgb="FF4C4C4C"/>
      </top>
      <bottom style="thin">
        <color rgb="FF4C4C4C"/>
      </bottom>
      <diagonal/>
    </border>
    <border diagonalUp="false" diagonalDown="false">
      <left/>
      <right/>
      <top/>
      <bottom style="thin">
        <color rgb="FF4C4C4C"/>
      </bottom>
      <diagonal/>
    </border>
    <border diagonalUp="false" diagonalDown="false">
      <left style="medium">
        <color rgb="FF4C4C4C"/>
      </left>
      <right style="thin">
        <color rgb="FF4C4C4C"/>
      </right>
      <top/>
      <bottom style="thin">
        <color rgb="FF4C4C4C"/>
      </bottom>
      <diagonal/>
    </border>
    <border diagonalUp="false" diagonalDown="false">
      <left style="thin">
        <color rgb="FF4C4C4C"/>
      </left>
      <right style="medium">
        <color rgb="FF4C4C4C"/>
      </right>
      <top/>
      <bottom style="thin">
        <color rgb="FF4C4C4C"/>
      </bottom>
      <diagonal/>
    </border>
    <border diagonalUp="false" diagonalDown="false">
      <left style="medium">
        <color rgb="FF4C4C4C"/>
      </left>
      <right style="medium">
        <color rgb="FF4C4C4C"/>
      </right>
      <top/>
      <bottom/>
      <diagonal/>
    </border>
    <border diagonalUp="false" diagonalDown="false">
      <left style="medium">
        <color rgb="FF4C4C4C"/>
      </left>
      <right style="thin">
        <color rgb="FF4C4C4C"/>
      </right>
      <top style="medium">
        <color rgb="FF4C4C4C"/>
      </top>
      <bottom style="thin">
        <color rgb="FF4C4C4C"/>
      </bottom>
      <diagonal/>
    </border>
    <border diagonalUp="false" diagonalDown="false">
      <left style="thin">
        <color rgb="FF4C4C4C"/>
      </left>
      <right style="medium">
        <color rgb="FF4C4C4C"/>
      </right>
      <top style="medium">
        <color rgb="FF4C4C4C"/>
      </top>
      <bottom style="thin">
        <color rgb="FF4C4C4C"/>
      </bottom>
      <diagonal/>
    </border>
    <border diagonalUp="false" diagonalDown="false">
      <left style="medium">
        <color rgb="FF4C4C4C"/>
      </left>
      <right style="thin">
        <color rgb="FF4C4C4C"/>
      </right>
      <top style="thin">
        <color rgb="FF4C4C4C"/>
      </top>
      <bottom style="medium">
        <color rgb="FF4C4C4C"/>
      </bottom>
      <diagonal/>
    </border>
    <border diagonalUp="false" diagonalDown="false">
      <left/>
      <right style="thin">
        <color rgb="FF4C4C4C"/>
      </right>
      <top style="thin">
        <color rgb="FF4C4C4C"/>
      </top>
      <bottom style="medium">
        <color rgb="FF4C4C4C"/>
      </bottom>
      <diagonal/>
    </border>
    <border diagonalUp="false" diagonalDown="false">
      <left style="thin">
        <color rgb="FF4C4C4C"/>
      </left>
      <right style="thin">
        <color rgb="FF4C4C4C"/>
      </right>
      <top style="thin">
        <color rgb="FF4C4C4C"/>
      </top>
      <bottom style="medium">
        <color rgb="FF4C4C4C"/>
      </bottom>
      <diagonal/>
    </border>
    <border diagonalUp="false" diagonalDown="false">
      <left style="thin">
        <color rgb="FF4C4C4C"/>
      </left>
      <right style="medium">
        <color rgb="FF4C4C4C"/>
      </right>
      <top style="thin">
        <color rgb="FF4C4C4C"/>
      </top>
      <bottom style="medium">
        <color rgb="FF4C4C4C"/>
      </bottom>
      <diagonal/>
    </border>
    <border diagonalUp="false" diagonalDown="false">
      <left/>
      <right/>
      <top style="thin">
        <color rgb="FF4C4C4C"/>
      </top>
      <bottom style="thin">
        <color rgb="FF4C4C4C"/>
      </bottom>
      <diagonal/>
    </border>
    <border diagonalUp="false" diagonalDown="false">
      <left style="medium">
        <color rgb="FF4C4C4C"/>
      </left>
      <right style="medium">
        <color rgb="FF4C4C4C"/>
      </right>
      <top style="thin">
        <color rgb="FF4C4C4C"/>
      </top>
      <bottom style="medium">
        <color rgb="FF4C4C4C"/>
      </bottom>
      <diagonal/>
    </border>
    <border diagonalUp="false" diagonalDown="false">
      <left style="medium">
        <color rgb="FF4C4C4C"/>
      </left>
      <right style="thin">
        <color rgb="FF4C4C4C"/>
      </right>
      <top style="thin">
        <color rgb="FF4C4C4C"/>
      </top>
      <bottom/>
      <diagonal/>
    </border>
    <border diagonalUp="false" diagonalDown="false">
      <left style="thin">
        <color rgb="FF4C4C4C"/>
      </left>
      <right style="thin">
        <color rgb="FF4C4C4C"/>
      </right>
      <top style="medium">
        <color rgb="FF4C4C4C"/>
      </top>
      <bottom/>
      <diagonal/>
    </border>
    <border diagonalUp="false" diagonalDown="false">
      <left style="thin">
        <color rgb="FF4C4C4C"/>
      </left>
      <right style="thin">
        <color rgb="FF4C4C4C"/>
      </right>
      <top style="thin">
        <color rgb="FF4C4C4C"/>
      </top>
      <bottom/>
      <diagonal/>
    </border>
    <border diagonalUp="false" diagonalDown="false">
      <left/>
      <right/>
      <top style="thin">
        <color rgb="FF4C4C4C"/>
      </top>
      <bottom/>
      <diagonal/>
    </border>
    <border diagonalUp="false" diagonalDown="false">
      <left style="medium">
        <color rgb="FF4C4C4C"/>
      </left>
      <right style="thin">
        <color rgb="FF4C4C4C"/>
      </right>
      <top style="thin">
        <color rgb="FF4C4C4C"/>
      </top>
      <bottom style="thin">
        <color rgb="FF4C4C4C"/>
      </bottom>
      <diagonal/>
    </border>
    <border diagonalUp="false" diagonalDown="false">
      <left style="thin">
        <color rgb="FF4C4C4C"/>
      </left>
      <right style="thin">
        <color rgb="FF4C4C4C"/>
      </right>
      <top style="medium">
        <color rgb="FF4C4C4C"/>
      </top>
      <bottom style="thin">
        <color rgb="FF4C4C4C"/>
      </bottom>
      <diagonal/>
    </border>
  </borders>
  <cellStyleXfs count="3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15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6" fillId="2" borderId="0" applyFont="true" applyBorder="false" applyAlignment="false" applyProtection="false"/>
    <xf numFmtId="164" fontId="6" fillId="3" borderId="0" applyFont="true" applyBorder="false" applyAlignment="false" applyProtection="false"/>
    <xf numFmtId="165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false" applyAlignment="false" applyProtection="false"/>
  </cellStyleXfs>
  <cellXfs count="24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true"/>
      <protection locked="false" hidden="false"/>
    </xf>
    <xf numFmtId="164" fontId="8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8" fillId="4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8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8" fillId="0" borderId="2" xfId="0" applyFont="true" applyBorder="true" applyAlignment="true" applyProtection="true">
      <alignment horizontal="left" vertical="bottom" textRotation="0" wrapText="false" indent="0" shrinkToFit="true"/>
      <protection locked="false" hidden="false"/>
    </xf>
    <xf numFmtId="164" fontId="11" fillId="2" borderId="3" xfId="0" applyFont="true" applyBorder="true" applyAlignment="true" applyProtection="true">
      <alignment horizontal="center" vertical="bottom" textRotation="0" wrapText="false" indent="0" shrinkToFit="true"/>
      <protection locked="true" hidden="false"/>
    </xf>
    <xf numFmtId="164" fontId="11" fillId="0" borderId="1" xfId="0" applyFont="true" applyBorder="true" applyAlignment="true" applyProtection="true">
      <alignment horizontal="right" vertical="bottom" textRotation="0" wrapText="false" indent="0" shrinkToFit="true"/>
      <protection locked="true" hidden="false"/>
    </xf>
    <xf numFmtId="164" fontId="11" fillId="0" borderId="1" xfId="0" applyFont="true" applyBorder="true" applyAlignment="true" applyProtection="true">
      <alignment horizontal="left" vertical="bottom" textRotation="0" wrapText="false" indent="0" shrinkToFit="true"/>
      <protection locked="false" hidden="false"/>
    </xf>
    <xf numFmtId="164" fontId="11" fillId="0" borderId="1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7" fontId="11" fillId="0" borderId="1" xfId="0" applyFont="true" applyBorder="true" applyAlignment="true" applyProtection="true">
      <alignment horizontal="general" vertical="bottom" textRotation="0" wrapText="false" indent="0" shrinkToFit="true"/>
      <protection locked="true" hidden="false"/>
    </xf>
    <xf numFmtId="164" fontId="8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8" fillId="0" borderId="1" xfId="0" applyFont="true" applyBorder="true" applyAlignment="true" applyProtection="true">
      <alignment horizontal="center" vertical="bottom" textRotation="0" wrapText="false" indent="0" shrinkToFit="true"/>
      <protection locked="true" hidden="false"/>
    </xf>
    <xf numFmtId="164" fontId="11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left" vertical="bottom" textRotation="0" wrapText="false" indent="0" shrinkToFit="true"/>
      <protection locked="false" hidden="false"/>
    </xf>
    <xf numFmtId="164" fontId="14" fillId="2" borderId="3" xfId="0" applyFont="true" applyBorder="true" applyAlignment="true" applyProtection="true">
      <alignment horizontal="center" vertical="bottom" textRotation="0" wrapText="false" indent="0" shrinkToFit="true"/>
      <protection locked="true" hidden="false"/>
    </xf>
    <xf numFmtId="169" fontId="10" fillId="0" borderId="1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11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70" fontId="8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8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71" fontId="8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8" fillId="4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5" fillId="0" borderId="0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8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8" fillId="0" borderId="1" xfId="0" applyFont="true" applyBorder="true" applyAlignment="true" applyProtection="true">
      <alignment horizontal="left" vertical="bottom" textRotation="0" wrapText="false" indent="0" shrinkToFit="true"/>
      <protection locked="false" hidden="false"/>
    </xf>
    <xf numFmtId="164" fontId="11" fillId="0" borderId="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3" fontId="11" fillId="0" borderId="1" xfId="0" applyFont="true" applyBorder="true" applyAlignment="true" applyProtection="true">
      <alignment horizontal="left" vertical="bottom" textRotation="0" wrapText="false" indent="0" shrinkToFit="true"/>
      <protection locked="false" hidden="false"/>
    </xf>
    <xf numFmtId="164" fontId="16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8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5" fontId="6" fillId="4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7" fontId="11" fillId="5" borderId="1" xfId="0" applyFont="true" applyBorder="true" applyAlignment="true" applyProtection="true">
      <alignment horizontal="general" vertical="bottom" textRotation="0" wrapText="false" indent="0" shrinkToFit="true"/>
      <protection locked="true" hidden="false"/>
    </xf>
    <xf numFmtId="164" fontId="11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8" fillId="5" borderId="1" xfId="0" applyFont="true" applyBorder="true" applyAlignment="true" applyProtection="true">
      <alignment horizontal="center" vertical="bottom" textRotation="0" wrapText="false" indent="0" shrinkToFit="true"/>
      <protection locked="true" hidden="false"/>
    </xf>
    <xf numFmtId="164" fontId="8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left" vertical="bottom" textRotation="0" wrapText="false" indent="0" shrinkToFit="true"/>
      <protection locked="false" hidden="false"/>
    </xf>
    <xf numFmtId="164" fontId="11" fillId="4" borderId="3" xfId="0" applyFont="true" applyBorder="true" applyAlignment="true" applyProtection="true">
      <alignment horizontal="center" vertical="bottom" textRotation="0" wrapText="false" indent="0" shrinkToFit="true"/>
      <protection locked="false" hidden="false"/>
    </xf>
    <xf numFmtId="176" fontId="10" fillId="0" borderId="1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8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1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8" fillId="5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14" fillId="5" borderId="1" xfId="0" applyFont="true" applyBorder="true" applyAlignment="true" applyProtection="true">
      <alignment horizontal="center" vertical="bottom" textRotation="0" wrapText="false" indent="0" shrinkToFit="true"/>
      <protection locked="true" hidden="false"/>
    </xf>
    <xf numFmtId="164" fontId="8" fillId="0" borderId="0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true">
      <alignment horizontal="right" vertical="center" textRotation="0" wrapText="false" indent="0" shrinkToFit="true"/>
      <protection locked="true" hidden="false"/>
    </xf>
    <xf numFmtId="164" fontId="8" fillId="0" borderId="1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7" fontId="11" fillId="6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7" fontId="11" fillId="0" borderId="1" xfId="0" applyFont="true" applyBorder="true" applyAlignment="true" applyProtection="true">
      <alignment horizontal="general" vertical="bottom" textRotation="0" wrapText="false" indent="0" shrinkToFit="true"/>
      <protection locked="true" hidden="false"/>
    </xf>
    <xf numFmtId="167" fontId="11" fillId="0" borderId="1" xfId="0" applyFont="true" applyBorder="true" applyAlignment="true" applyProtection="true">
      <alignment horizontal="center" vertical="bottom" textRotation="0" wrapText="false" indent="0" shrinkToFit="true"/>
      <protection locked="true" hidden="false"/>
    </xf>
    <xf numFmtId="164" fontId="11" fillId="4" borderId="1" xfId="0" applyFont="true" applyBorder="true" applyAlignment="true" applyProtection="true">
      <alignment horizontal="center" vertical="bottom" textRotation="0" wrapText="false" indent="0" shrinkToFit="true"/>
      <protection locked="false" hidden="false"/>
    </xf>
    <xf numFmtId="173" fontId="8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3" fontId="15" fillId="0" borderId="1" xfId="20" applyFont="false" applyBorder="true" applyAlignment="true" applyProtection="true">
      <alignment horizontal="center" vertical="center" textRotation="0" wrapText="false" indent="0" shrinkToFit="true"/>
      <protection locked="true" hidden="false"/>
    </xf>
    <xf numFmtId="177" fontId="11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7" fontId="11" fillId="5" borderId="1" xfId="0" applyFont="true" applyBorder="true" applyAlignment="true" applyProtection="true">
      <alignment horizontal="general" vertical="bottom" textRotation="0" wrapText="false" indent="0" shrinkToFit="true"/>
      <protection locked="true" hidden="false"/>
    </xf>
    <xf numFmtId="164" fontId="11" fillId="5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11" fillId="5" borderId="1" xfId="0" applyFont="true" applyBorder="true" applyAlignment="true" applyProtection="true">
      <alignment horizontal="center" vertical="bottom" textRotation="0" wrapText="false" indent="0" shrinkToFit="true"/>
      <protection locked="true" hidden="false"/>
    </xf>
    <xf numFmtId="17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15" fillId="0" borderId="1" xfId="20" applyFont="false" applyBorder="true" applyAlignment="true" applyProtection="true">
      <alignment horizontal="left" vertical="bottom" textRotation="0" wrapText="false" indent="0" shrinkToFit="true"/>
      <protection locked="false" hidden="false"/>
    </xf>
    <xf numFmtId="179" fontId="11" fillId="4" borderId="1" xfId="0" applyFont="true" applyBorder="true" applyAlignment="true" applyProtection="true">
      <alignment horizontal="center" vertical="bottom" textRotation="0" wrapText="false" indent="0" shrinkToFit="true"/>
      <protection locked="true" hidden="false"/>
    </xf>
    <xf numFmtId="180" fontId="11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80" fontId="11" fillId="0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0" fontId="11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5" borderId="2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11" fillId="5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5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80" fontId="10" fillId="6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0" fontId="11" fillId="6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true">
      <alignment horizontal="center" vertical="bottom" textRotation="0" wrapText="false" indent="0" shrinkToFit="true"/>
      <protection locked="true" hidden="false"/>
    </xf>
    <xf numFmtId="164" fontId="11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3" fontId="1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0" fontId="11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general" vertical="top" textRotation="0" wrapText="false" indent="0" shrinkToFit="true"/>
      <protection locked="false" hidden="false"/>
    </xf>
    <xf numFmtId="180" fontId="8" fillId="0" borderId="1" xfId="0" applyFont="true" applyBorder="true" applyAlignment="true" applyProtection="true">
      <alignment horizontal="right" vertical="top" textRotation="0" wrapText="true" indent="0" shrinkToFit="false"/>
      <protection locked="false" hidden="false"/>
    </xf>
    <xf numFmtId="174" fontId="8" fillId="0" borderId="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80" fontId="8" fillId="0" borderId="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7" fontId="8" fillId="4" borderId="1" xfId="0" applyFont="true" applyBorder="true" applyAlignment="true" applyProtection="true">
      <alignment horizontal="right" vertical="bottom" textRotation="0" wrapText="false" indent="0" shrinkToFit="true"/>
      <protection locked="false" hidden="false"/>
    </xf>
    <xf numFmtId="181" fontId="8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3" fontId="8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8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8" fillId="0" borderId="3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2" fontId="8" fillId="4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5" fontId="8" fillId="4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0" fontId="1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83" fontId="1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9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9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2" fontId="1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84" fontId="1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1" fontId="1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85" fontId="19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0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7" xfId="0" applyFont="true" applyBorder="true" applyAlignment="true" applyProtection="false">
      <alignment horizontal="left" vertical="center" textRotation="0" wrapText="false" indent="15" shrinkToFit="false"/>
      <protection locked="true" hidden="false"/>
    </xf>
    <xf numFmtId="164" fontId="11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21" fillId="0" borderId="1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1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1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1" fillId="0" borderId="1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9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1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15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6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1" fillId="0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1" fillId="0" borderId="1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1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1" fillId="0" borderId="13" xfId="0" applyFont="true" applyBorder="true" applyAlignment="true" applyProtection="false">
      <alignment horizontal="general" vertical="center" textRotation="0" wrapText="false" indent="0" shrinkToFit="true"/>
      <protection locked="true" hidden="false"/>
    </xf>
    <xf numFmtId="164" fontId="0" fillId="0" borderId="1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3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2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2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2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0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2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3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0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3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3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0" borderId="3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0" borderId="3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3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80" fontId="0" fillId="0" borderId="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81" fontId="0" fillId="0" borderId="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0" fillId="0" borderId="3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80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81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3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false" indent="3" shrinkToFit="false"/>
      <protection locked="true" hidden="false"/>
    </xf>
    <xf numFmtId="167" fontId="11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0" borderId="1" xfId="0" applyFont="true" applyBorder="true" applyAlignment="true" applyProtection="false">
      <alignment horizontal="general" vertical="center" textRotation="0" wrapText="false" indent="0" shrinkToFit="true"/>
      <protection locked="true" hidden="false"/>
    </xf>
    <xf numFmtId="164" fontId="28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3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0" borderId="1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24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3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6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9" fontId="2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3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3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3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3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0" borderId="37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3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80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81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3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0" fillId="0" borderId="38" xfId="0" applyFont="fals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18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F2" xfId="21" builtinId="53" customBuiltin="true"/>
    <cellStyle name="F3" xfId="22" builtinId="53" customBuiltin="true"/>
    <cellStyle name="F4" xfId="23" builtinId="53" customBuiltin="true"/>
    <cellStyle name="F5" xfId="24" builtinId="53" customBuiltin="true"/>
    <cellStyle name="F6" xfId="25" builtinId="53" customBuiltin="true"/>
    <cellStyle name="F7" xfId="26" builtinId="53" customBuiltin="true"/>
    <cellStyle name="F8" xfId="27" builtinId="53" customBuiltin="true"/>
    <cellStyle name="Grey" xfId="28" builtinId="53" customBuiltin="true"/>
    <cellStyle name="Input [yellow]" xfId="29" builtinId="53" customBuiltin="true"/>
    <cellStyle name="Normal - Style1" xfId="30" builtinId="53" customBuiltin="true"/>
    <cellStyle name="Percent [2]" xfId="31" builtinId="53" customBuiltin="true"/>
    <cellStyle name="*unknown*" xfId="20" builtinId="8" customBuiltin="false"/>
  </cellStyles>
  <colors>
    <indexedColors>
      <rgbColor rgb="FF000000"/>
      <rgbColor rgb="FFFFFFFF"/>
      <rgbColor rgb="FFDD0806"/>
      <rgbColor rgb="FF00FF00"/>
      <rgbColor rgb="FF0000D4"/>
      <rgbColor rgb="FFFFFF00"/>
      <rgbColor rgb="FFFF00FF"/>
      <rgbColor rgb="FF00FFFF"/>
      <rgbColor rgb="FF9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C4C4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5.jpe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6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10080</xdr:colOff>
      <xdr:row>0</xdr:row>
      <xdr:rowOff>28800</xdr:rowOff>
    </xdr:from>
    <xdr:to>
      <xdr:col>18</xdr:col>
      <xdr:colOff>294120</xdr:colOff>
      <xdr:row>0</xdr:row>
      <xdr:rowOff>713520</xdr:rowOff>
    </xdr:to>
    <xdr:pic>
      <xdr:nvPicPr>
        <xdr:cNvPr id="0" name="Picture 3" descr="rf1 logo.JPG"/>
        <xdr:cNvPicPr/>
      </xdr:nvPicPr>
      <xdr:blipFill>
        <a:blip r:embed="rId1"/>
        <a:stretch/>
      </xdr:blipFill>
      <xdr:spPr>
        <a:xfrm>
          <a:off x="550800" y="28800"/>
          <a:ext cx="3677040" cy="6847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0</xdr:row>
      <xdr:rowOff>466920</xdr:rowOff>
    </xdr:from>
    <xdr:to>
      <xdr:col>3</xdr:col>
      <xdr:colOff>120240</xdr:colOff>
      <xdr:row>0</xdr:row>
      <xdr:rowOff>724680</xdr:rowOff>
    </xdr:to>
    <xdr:sp>
      <xdr:nvSpPr>
        <xdr:cNvPr id="1" name="CustomShape 1"/>
        <xdr:cNvSpPr/>
      </xdr:nvSpPr>
      <xdr:spPr>
        <a:xfrm>
          <a:off x="0" y="466920"/>
          <a:ext cx="541080" cy="257760"/>
        </a:xfrm>
        <a:custGeom>
          <a:avLst/>
          <a:gdLst/>
          <a:ahLst/>
          <a:rect l="l" t="t" r="r" b="b"/>
          <a:pathLst>
            <a:path w="21600" h="21600">
              <a:moveTo>
                <a:pt x="0" y="0"/>
              </a:moveTo>
              <a:lnTo>
                <a:pt x="21600" y="0"/>
              </a:lnTo>
              <a:lnTo>
                <a:pt x="21600" y="21600"/>
              </a:lnTo>
              <a:lnTo>
                <a:pt x="0" y="21600"/>
              </a:lnTo>
              <a:lnTo>
                <a:pt x="0" y="0"/>
              </a:lnTo>
              <a:close/>
            </a:path>
          </a:pathLst>
        </a:custGeom>
        <a:solidFill>
          <a:srgbClr val="ffffff"/>
        </a:solidFill>
        <a:ln>
          <a:noFill/>
        </a:ln>
      </xdr:spPr>
      <xdr:style>
        <a:lnRef idx="0"/>
        <a:fillRef idx="0"/>
        <a:effectRef idx="0"/>
        <a:fontRef idx="minor"/>
      </xdr:style>
      <xdr:txBody>
        <a:bodyPr lIns="18000" rIns="0" tIns="46800" bIns="46800"/>
        <a:p>
          <a:r>
            <a:rPr b="0" lang="en-PH" sz="500" spc="-1" strike="noStrike">
              <a:solidFill>
                <a:srgbClr val="000000"/>
              </a:solidFill>
              <a:latin typeface="Arial"/>
            </a:rPr>
            <a:t>Revised January2012</a:t>
          </a:r>
          <a:endParaRPr b="0" lang="en-PH" sz="500" spc="-1" strike="noStrike">
            <a:latin typeface="Times New Roman"/>
          </a:endParaRPr>
        </a:p>
      </xdr:txBody>
    </xdr:sp>
    <xdr:clientData/>
  </xdr:twoCellAnchor>
  <xdr:twoCellAnchor editAs="oneCell">
    <xdr:from>
      <xdr:col>0</xdr:col>
      <xdr:colOff>10080</xdr:colOff>
      <xdr:row>1</xdr:row>
      <xdr:rowOff>10080</xdr:rowOff>
    </xdr:from>
    <xdr:to>
      <xdr:col>0</xdr:col>
      <xdr:colOff>281160</xdr:colOff>
      <xdr:row>2</xdr:row>
      <xdr:rowOff>38160</xdr:rowOff>
    </xdr:to>
    <xdr:sp>
      <xdr:nvSpPr>
        <xdr:cNvPr id="2" name="CustomShape 1"/>
        <xdr:cNvSpPr/>
      </xdr:nvSpPr>
      <xdr:spPr>
        <a:xfrm>
          <a:off x="10080" y="743400"/>
          <a:ext cx="271080" cy="351720"/>
        </a:xfrm>
        <a:custGeom>
          <a:avLst/>
          <a:gdLst/>
          <a:ahLst/>
          <a:rect l="l" t="t" r="r" b="b"/>
          <a:pathLst>
            <a:path w="21600" h="21600">
              <a:moveTo>
                <a:pt x="0" y="0"/>
              </a:moveTo>
              <a:lnTo>
                <a:pt x="21600" y="0"/>
              </a:lnTo>
              <a:lnTo>
                <a:pt x="21600" y="21600"/>
              </a:lnTo>
              <a:lnTo>
                <a:pt x="0" y="21600"/>
              </a:lnTo>
              <a:lnTo>
                <a:pt x="0" y="0"/>
              </a:lnTo>
              <a:close/>
            </a:path>
          </a:pathLst>
        </a:custGeom>
        <a:solidFill>
          <a:srgbClr val="ffffff"/>
        </a:solidFill>
        <a:ln w="9360">
          <a:solidFill>
            <a:srgbClr val="4c4c4c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ctr"/>
        <a:p>
          <a:r>
            <a:rPr b="1" lang="en-PH" sz="1100" spc="-1" strike="noStrike">
              <a:solidFill>
                <a:srgbClr val="000000"/>
              </a:solidFill>
              <a:latin typeface="Calibri"/>
            </a:rPr>
            <a:t>1</a:t>
          </a:r>
          <a:endParaRPr b="0" lang="en-PH" sz="1100" spc="-1" strike="noStrike">
            <a:latin typeface="Times New Roman"/>
          </a:endParaRPr>
        </a:p>
      </xdr:txBody>
    </xdr:sp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271440</xdr:colOff>
      <xdr:row>8</xdr:row>
      <xdr:rowOff>304920</xdr:rowOff>
    </xdr:to>
    <xdr:sp>
      <xdr:nvSpPr>
        <xdr:cNvPr id="3" name="CustomShape 1"/>
        <xdr:cNvSpPr/>
      </xdr:nvSpPr>
      <xdr:spPr>
        <a:xfrm>
          <a:off x="0" y="2286000"/>
          <a:ext cx="271440" cy="304920"/>
        </a:xfrm>
        <a:custGeom>
          <a:avLst/>
          <a:gdLst/>
          <a:ahLst/>
          <a:rect l="l" t="t" r="r" b="b"/>
          <a:pathLst>
            <a:path w="21600" h="21600">
              <a:moveTo>
                <a:pt x="0" y="0"/>
              </a:moveTo>
              <a:lnTo>
                <a:pt x="21600" y="0"/>
              </a:lnTo>
              <a:lnTo>
                <a:pt x="21600" y="21600"/>
              </a:lnTo>
              <a:lnTo>
                <a:pt x="0" y="21600"/>
              </a:lnTo>
              <a:lnTo>
                <a:pt x="0" y="0"/>
              </a:lnTo>
              <a:close/>
            </a:path>
          </a:pathLst>
        </a:custGeom>
        <a:solidFill>
          <a:srgbClr val="ffffff"/>
        </a:solidFill>
        <a:ln w="9360">
          <a:solidFill>
            <a:srgbClr val="4c4c4c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ctr"/>
        <a:p>
          <a:r>
            <a:rPr b="1" lang="en-PH" sz="1100" spc="-1" strike="noStrike">
              <a:solidFill>
                <a:srgbClr val="000000"/>
              </a:solidFill>
              <a:latin typeface="Calibri"/>
            </a:rPr>
            <a:t>6</a:t>
          </a:r>
          <a:endParaRPr b="0" lang="en-PH" sz="1100" spc="-1" strike="noStrike">
            <a:latin typeface="Times New Roman"/>
          </a:endParaRPr>
        </a:p>
      </xdr:txBody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271440</xdr:colOff>
      <xdr:row>4</xdr:row>
      <xdr:rowOff>85680</xdr:rowOff>
    </xdr:to>
    <xdr:sp>
      <xdr:nvSpPr>
        <xdr:cNvPr id="4" name="CustomShape 1"/>
        <xdr:cNvSpPr/>
      </xdr:nvSpPr>
      <xdr:spPr>
        <a:xfrm>
          <a:off x="0" y="1380960"/>
          <a:ext cx="271440" cy="276120"/>
        </a:xfrm>
        <a:custGeom>
          <a:avLst/>
          <a:gdLst/>
          <a:ahLst/>
          <a:rect l="l" t="t" r="r" b="b"/>
          <a:pathLst>
            <a:path w="21600" h="21600">
              <a:moveTo>
                <a:pt x="0" y="0"/>
              </a:moveTo>
              <a:lnTo>
                <a:pt x="21600" y="0"/>
              </a:lnTo>
              <a:lnTo>
                <a:pt x="21600" y="21600"/>
              </a:lnTo>
              <a:lnTo>
                <a:pt x="0" y="21600"/>
              </a:lnTo>
              <a:lnTo>
                <a:pt x="0" y="0"/>
              </a:lnTo>
              <a:close/>
            </a:path>
          </a:pathLst>
        </a:custGeom>
        <a:solidFill>
          <a:srgbClr val="ffffff"/>
        </a:solidFill>
        <a:ln w="9360">
          <a:solidFill>
            <a:srgbClr val="4c4c4c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ctr"/>
        <a:p>
          <a:r>
            <a:rPr b="1" lang="en-PH" sz="1100" spc="-1" strike="noStrike">
              <a:solidFill>
                <a:srgbClr val="000000"/>
              </a:solidFill>
              <a:latin typeface="Calibri"/>
            </a:rPr>
            <a:t>2</a:t>
          </a:r>
          <a:endParaRPr b="0" lang="en-PH" sz="1100" spc="-1" strike="noStrike">
            <a:latin typeface="Times New Roman"/>
          </a:endParaRPr>
        </a:p>
      </xdr:txBody>
    </xdr:sp>
    <xdr:clientData/>
  </xdr:twoCellAnchor>
  <xdr:twoCellAnchor editAs="oneCell">
    <xdr:from>
      <xdr:col>16</xdr:col>
      <xdr:colOff>360</xdr:colOff>
      <xdr:row>8</xdr:row>
      <xdr:rowOff>0</xdr:rowOff>
    </xdr:from>
    <xdr:to>
      <xdr:col>16</xdr:col>
      <xdr:colOff>273960</xdr:colOff>
      <xdr:row>8</xdr:row>
      <xdr:rowOff>304920</xdr:rowOff>
    </xdr:to>
    <xdr:sp>
      <xdr:nvSpPr>
        <xdr:cNvPr id="5" name="CustomShape 1"/>
        <xdr:cNvSpPr/>
      </xdr:nvSpPr>
      <xdr:spPr>
        <a:xfrm>
          <a:off x="1780560" y="2286000"/>
          <a:ext cx="273600" cy="304920"/>
        </a:xfrm>
        <a:custGeom>
          <a:avLst/>
          <a:gdLst/>
          <a:ahLst/>
          <a:rect l="l" t="t" r="r" b="b"/>
          <a:pathLst>
            <a:path w="21600" h="21600">
              <a:moveTo>
                <a:pt x="0" y="0"/>
              </a:moveTo>
              <a:lnTo>
                <a:pt x="21600" y="0"/>
              </a:lnTo>
              <a:lnTo>
                <a:pt x="21600" y="21600"/>
              </a:lnTo>
              <a:lnTo>
                <a:pt x="0" y="21600"/>
              </a:lnTo>
              <a:lnTo>
                <a:pt x="0" y="0"/>
              </a:lnTo>
              <a:close/>
            </a:path>
          </a:pathLst>
        </a:custGeom>
        <a:solidFill>
          <a:srgbClr val="ffffff"/>
        </a:solidFill>
        <a:ln w="9360">
          <a:solidFill>
            <a:srgbClr val="4c4c4c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ctr"/>
        <a:p>
          <a:r>
            <a:rPr b="1" lang="en-PH" sz="1100" spc="-1" strike="noStrike">
              <a:solidFill>
                <a:srgbClr val="000000"/>
              </a:solidFill>
              <a:latin typeface="Calibri"/>
            </a:rPr>
            <a:t>7</a:t>
          </a:r>
          <a:endParaRPr b="0" lang="en-PH" sz="1100" spc="-1" strike="noStrike">
            <a:latin typeface="Times New Roman"/>
          </a:endParaRPr>
        </a:p>
      </xdr:txBody>
    </xdr:sp>
    <xdr:clientData/>
  </xdr:twoCellAnchor>
  <xdr:twoCellAnchor editAs="oneCell">
    <xdr:from>
      <xdr:col>21</xdr:col>
      <xdr:colOff>10440</xdr:colOff>
      <xdr:row>8</xdr:row>
      <xdr:rowOff>0</xdr:rowOff>
    </xdr:from>
    <xdr:to>
      <xdr:col>21</xdr:col>
      <xdr:colOff>281880</xdr:colOff>
      <xdr:row>8</xdr:row>
      <xdr:rowOff>304920</xdr:rowOff>
    </xdr:to>
    <xdr:sp>
      <xdr:nvSpPr>
        <xdr:cNvPr id="6" name="CustomShape 1"/>
        <xdr:cNvSpPr/>
      </xdr:nvSpPr>
      <xdr:spPr>
        <a:xfrm>
          <a:off x="7456320" y="2286000"/>
          <a:ext cx="271440" cy="304920"/>
        </a:xfrm>
        <a:custGeom>
          <a:avLst/>
          <a:gdLst/>
          <a:ahLst/>
          <a:rect l="l" t="t" r="r" b="b"/>
          <a:pathLst>
            <a:path w="21600" h="21600">
              <a:moveTo>
                <a:pt x="0" y="0"/>
              </a:moveTo>
              <a:lnTo>
                <a:pt x="21600" y="0"/>
              </a:lnTo>
              <a:lnTo>
                <a:pt x="21600" y="21600"/>
              </a:lnTo>
              <a:lnTo>
                <a:pt x="0" y="21600"/>
              </a:lnTo>
              <a:lnTo>
                <a:pt x="0" y="0"/>
              </a:lnTo>
              <a:close/>
            </a:path>
          </a:pathLst>
        </a:custGeom>
        <a:solidFill>
          <a:srgbClr val="ffffff"/>
        </a:solidFill>
        <a:ln w="9360">
          <a:solidFill>
            <a:srgbClr val="4c4c4c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ctr"/>
        <a:p>
          <a:r>
            <a:rPr b="1" lang="en-PH" sz="1100" spc="-1" strike="noStrike">
              <a:solidFill>
                <a:srgbClr val="000000"/>
              </a:solidFill>
              <a:latin typeface="Calibri"/>
            </a:rPr>
            <a:t>8</a:t>
          </a:r>
          <a:endParaRPr b="0" lang="en-PH" sz="1100" spc="-1" strike="noStrike">
            <a:latin typeface="Times New Roman"/>
          </a:endParaRPr>
        </a:p>
      </xdr:txBody>
    </xdr:sp>
    <xdr:clientData/>
  </xdr:twoCellAnchor>
  <xdr:twoCellAnchor editAs="oneCell">
    <xdr:from>
      <xdr:col>25</xdr:col>
      <xdr:colOff>10440</xdr:colOff>
      <xdr:row>8</xdr:row>
      <xdr:rowOff>9360</xdr:rowOff>
    </xdr:from>
    <xdr:to>
      <xdr:col>25</xdr:col>
      <xdr:colOff>281880</xdr:colOff>
      <xdr:row>9</xdr:row>
      <xdr:rowOff>9360</xdr:rowOff>
    </xdr:to>
    <xdr:sp>
      <xdr:nvSpPr>
        <xdr:cNvPr id="7" name="CustomShape 1"/>
        <xdr:cNvSpPr/>
      </xdr:nvSpPr>
      <xdr:spPr>
        <a:xfrm>
          <a:off x="8793000" y="2295360"/>
          <a:ext cx="271440" cy="304560"/>
        </a:xfrm>
        <a:custGeom>
          <a:avLst/>
          <a:gdLst/>
          <a:ahLst/>
          <a:rect l="l" t="t" r="r" b="b"/>
          <a:pathLst>
            <a:path w="21600" h="21600">
              <a:moveTo>
                <a:pt x="0" y="0"/>
              </a:moveTo>
              <a:lnTo>
                <a:pt x="21600" y="0"/>
              </a:lnTo>
              <a:lnTo>
                <a:pt x="21600" y="21600"/>
              </a:lnTo>
              <a:lnTo>
                <a:pt x="0" y="21600"/>
              </a:lnTo>
              <a:lnTo>
                <a:pt x="0" y="0"/>
              </a:lnTo>
              <a:close/>
            </a:path>
          </a:pathLst>
        </a:custGeom>
        <a:solidFill>
          <a:srgbClr val="ffffff"/>
        </a:solidFill>
        <a:ln>
          <a:noFill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ctr"/>
        <a:p>
          <a:r>
            <a:rPr b="1" lang="en-PH" sz="1100" spc="-1" strike="noStrike">
              <a:solidFill>
                <a:srgbClr val="000000"/>
              </a:solidFill>
              <a:latin typeface="Calibri"/>
            </a:rPr>
            <a:t>9</a:t>
          </a:r>
          <a:endParaRPr b="0" lang="en-PH" sz="1100" spc="-1" strike="noStrike">
            <a:latin typeface="Times New Roman"/>
          </a:endParaRPr>
        </a:p>
      </xdr:txBody>
    </xdr:sp>
    <xdr:clientData/>
  </xdr:twoCellAnchor>
  <xdr:twoCellAnchor editAs="oneCell">
    <xdr:from>
      <xdr:col>27</xdr:col>
      <xdr:colOff>360</xdr:colOff>
      <xdr:row>8</xdr:row>
      <xdr:rowOff>0</xdr:rowOff>
    </xdr:from>
    <xdr:to>
      <xdr:col>27</xdr:col>
      <xdr:colOff>271800</xdr:colOff>
      <xdr:row>8</xdr:row>
      <xdr:rowOff>304920</xdr:rowOff>
    </xdr:to>
    <xdr:sp>
      <xdr:nvSpPr>
        <xdr:cNvPr id="8" name="CustomShape 1"/>
        <xdr:cNvSpPr/>
      </xdr:nvSpPr>
      <xdr:spPr>
        <a:xfrm>
          <a:off x="9204480" y="2286000"/>
          <a:ext cx="271440" cy="304920"/>
        </a:xfrm>
        <a:custGeom>
          <a:avLst/>
          <a:gdLst/>
          <a:ahLst/>
          <a:rect l="l" t="t" r="r" b="b"/>
          <a:pathLst>
            <a:path w="21600" h="21600">
              <a:moveTo>
                <a:pt x="0" y="0"/>
              </a:moveTo>
              <a:lnTo>
                <a:pt x="21600" y="0"/>
              </a:lnTo>
              <a:lnTo>
                <a:pt x="21600" y="21600"/>
              </a:lnTo>
              <a:lnTo>
                <a:pt x="0" y="21600"/>
              </a:lnTo>
              <a:lnTo>
                <a:pt x="0" y="0"/>
              </a:lnTo>
              <a:close/>
            </a:path>
          </a:pathLst>
        </a:custGeom>
        <a:solidFill>
          <a:srgbClr val="ffffff"/>
        </a:solidFill>
        <a:ln w="9360">
          <a:solidFill>
            <a:srgbClr val="4c4c4c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9000" rIns="9000" tIns="46800" bIns="46800" anchor="ctr"/>
        <a:p>
          <a:pPr algn="ctr"/>
          <a:r>
            <a:rPr b="1" lang="en-PH" sz="1100" spc="-1" strike="noStrike">
              <a:solidFill>
                <a:srgbClr val="000000"/>
              </a:solidFill>
              <a:latin typeface="Calibri"/>
            </a:rPr>
            <a:t>10</a:t>
          </a:r>
          <a:endParaRPr b="0" lang="en-PH" sz="1100" spc="-1" strike="noStrike">
            <a:latin typeface="Times New Roman"/>
          </a:endParaRPr>
        </a:p>
      </xdr:txBody>
    </xdr:sp>
    <xdr:clientData/>
  </xdr:twoCellAnchor>
  <xdr:twoCellAnchor editAs="oneCell">
    <xdr:from>
      <xdr:col>31</xdr:col>
      <xdr:colOff>10440</xdr:colOff>
      <xdr:row>8</xdr:row>
      <xdr:rowOff>0</xdr:rowOff>
    </xdr:from>
    <xdr:to>
      <xdr:col>32</xdr:col>
      <xdr:colOff>11160</xdr:colOff>
      <xdr:row>8</xdr:row>
      <xdr:rowOff>304920</xdr:rowOff>
    </xdr:to>
    <xdr:sp>
      <xdr:nvSpPr>
        <xdr:cNvPr id="9" name="CustomShape 1"/>
        <xdr:cNvSpPr/>
      </xdr:nvSpPr>
      <xdr:spPr>
        <a:xfrm>
          <a:off x="10792440" y="2286000"/>
          <a:ext cx="312120" cy="304920"/>
        </a:xfrm>
        <a:custGeom>
          <a:avLst/>
          <a:gdLst/>
          <a:ahLst/>
          <a:rect l="l" t="t" r="r" b="b"/>
          <a:pathLst>
            <a:path w="21600" h="21600">
              <a:moveTo>
                <a:pt x="0" y="0"/>
              </a:moveTo>
              <a:lnTo>
                <a:pt x="21600" y="0"/>
              </a:lnTo>
              <a:lnTo>
                <a:pt x="21600" y="21600"/>
              </a:lnTo>
              <a:lnTo>
                <a:pt x="0" y="21600"/>
              </a:lnTo>
              <a:lnTo>
                <a:pt x="0" y="0"/>
              </a:lnTo>
              <a:close/>
            </a:path>
          </a:pathLst>
        </a:custGeom>
        <a:solidFill>
          <a:srgbClr val="ffffff"/>
        </a:solidFill>
        <a:ln w="9360">
          <a:solidFill>
            <a:srgbClr val="4c4c4c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9000" rIns="9000" tIns="46800" bIns="46800" anchor="ctr"/>
        <a:p>
          <a:pPr algn="ctr"/>
          <a:r>
            <a:rPr b="1" lang="en-PH" sz="1100" spc="-1" strike="noStrike">
              <a:solidFill>
                <a:srgbClr val="000000"/>
              </a:solidFill>
              <a:latin typeface="Calibri"/>
            </a:rPr>
            <a:t>11</a:t>
          </a:r>
          <a:endParaRPr b="0" lang="en-PH" sz="1100" spc="-1" strike="noStrike">
            <a:latin typeface="Times New Roman"/>
          </a:endParaRPr>
        </a:p>
      </xdr:txBody>
    </xdr:sp>
    <xdr:clientData/>
  </xdr:twoCellAnchor>
  <xdr:twoCellAnchor editAs="oneCell">
    <xdr:from>
      <xdr:col>16</xdr:col>
      <xdr:colOff>162000</xdr:colOff>
      <xdr:row>29</xdr:row>
      <xdr:rowOff>0</xdr:rowOff>
    </xdr:from>
    <xdr:to>
      <xdr:col>17</xdr:col>
      <xdr:colOff>211320</xdr:colOff>
      <xdr:row>29</xdr:row>
      <xdr:rowOff>0</xdr:rowOff>
    </xdr:to>
    <xdr:sp>
      <xdr:nvSpPr>
        <xdr:cNvPr id="10" name="Line 1"/>
        <xdr:cNvSpPr/>
      </xdr:nvSpPr>
      <xdr:spPr>
        <a:xfrm>
          <a:off x="1942200" y="6676920"/>
          <a:ext cx="1790640" cy="0"/>
        </a:xfrm>
        <a:prstGeom prst="line">
          <a:avLst/>
        </a:prstGeom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19</xdr:col>
      <xdr:colOff>121680</xdr:colOff>
      <xdr:row>29</xdr:row>
      <xdr:rowOff>9720</xdr:rowOff>
    </xdr:from>
    <xdr:to>
      <xdr:col>21</xdr:col>
      <xdr:colOff>191160</xdr:colOff>
      <xdr:row>29</xdr:row>
      <xdr:rowOff>9720</xdr:rowOff>
    </xdr:to>
    <xdr:sp>
      <xdr:nvSpPr>
        <xdr:cNvPr id="11" name="Line 1"/>
        <xdr:cNvSpPr/>
      </xdr:nvSpPr>
      <xdr:spPr>
        <a:xfrm>
          <a:off x="5796360" y="6686640"/>
          <a:ext cx="1840680" cy="0"/>
        </a:xfrm>
        <a:prstGeom prst="line">
          <a:avLst/>
        </a:prstGeom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23</xdr:col>
      <xdr:colOff>130680</xdr:colOff>
      <xdr:row>29</xdr:row>
      <xdr:rowOff>0</xdr:rowOff>
    </xdr:from>
    <xdr:to>
      <xdr:col>27</xdr:col>
      <xdr:colOff>221760</xdr:colOff>
      <xdr:row>29</xdr:row>
      <xdr:rowOff>0</xdr:rowOff>
    </xdr:to>
    <xdr:sp>
      <xdr:nvSpPr>
        <xdr:cNvPr id="12" name="Line 1"/>
        <xdr:cNvSpPr/>
      </xdr:nvSpPr>
      <xdr:spPr>
        <a:xfrm>
          <a:off x="8411040" y="6676920"/>
          <a:ext cx="1014840" cy="0"/>
        </a:xfrm>
        <a:prstGeom prst="line">
          <a:avLst/>
        </a:prstGeom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21</xdr:col>
      <xdr:colOff>0</xdr:colOff>
      <xdr:row>23</xdr:row>
      <xdr:rowOff>0</xdr:rowOff>
    </xdr:from>
    <xdr:to>
      <xdr:col>21</xdr:col>
      <xdr:colOff>271440</xdr:colOff>
      <xdr:row>23</xdr:row>
      <xdr:rowOff>380880</xdr:rowOff>
    </xdr:to>
    <xdr:sp>
      <xdr:nvSpPr>
        <xdr:cNvPr id="13" name="CustomShape 1"/>
        <xdr:cNvSpPr/>
      </xdr:nvSpPr>
      <xdr:spPr>
        <a:xfrm>
          <a:off x="7445880" y="4905360"/>
          <a:ext cx="271440" cy="380880"/>
        </a:xfrm>
        <a:custGeom>
          <a:avLst/>
          <a:gdLst/>
          <a:ahLst/>
          <a:rect l="l" t="t" r="r" b="b"/>
          <a:pathLst>
            <a:path w="21600" h="21600">
              <a:moveTo>
                <a:pt x="0" y="0"/>
              </a:moveTo>
              <a:lnTo>
                <a:pt x="21600" y="0"/>
              </a:lnTo>
              <a:lnTo>
                <a:pt x="21600" y="21600"/>
              </a:lnTo>
              <a:lnTo>
                <a:pt x="0" y="21600"/>
              </a:lnTo>
              <a:lnTo>
                <a:pt x="0" y="0"/>
              </a:lnTo>
              <a:close/>
            </a:path>
          </a:pathLst>
        </a:custGeom>
        <a:solidFill>
          <a:srgbClr val="ffffff"/>
        </a:solidFill>
        <a:ln w="9360">
          <a:solidFill>
            <a:srgbClr val="4c4c4c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9000" rIns="9000" tIns="46800" bIns="46800" anchor="ctr"/>
        <a:p>
          <a:pPr algn="ctr"/>
          <a:r>
            <a:rPr b="1" lang="en-PH" sz="1100" spc="-1" strike="noStrike">
              <a:solidFill>
                <a:srgbClr val="000000"/>
              </a:solidFill>
              <a:latin typeface="Calibri"/>
            </a:rPr>
            <a:t>14</a:t>
          </a:r>
          <a:endParaRPr b="0" lang="en-PH" sz="1100" spc="-1" strike="noStrike">
            <a:latin typeface="Times New Roman"/>
          </a:endParaRPr>
        </a:p>
      </xdr:txBody>
    </xdr:sp>
    <xdr:clientData/>
  </xdr:twoCellAnchor>
  <xdr:twoCellAnchor editAs="oneCell">
    <xdr:from>
      <xdr:col>23</xdr:col>
      <xdr:colOff>351720</xdr:colOff>
      <xdr:row>25</xdr:row>
      <xdr:rowOff>77040</xdr:rowOff>
    </xdr:from>
    <xdr:to>
      <xdr:col>25</xdr:col>
      <xdr:colOff>392400</xdr:colOff>
      <xdr:row>25</xdr:row>
      <xdr:rowOff>77760</xdr:rowOff>
    </xdr:to>
    <xdr:cxnSp>
      <xdr:nvCxnSpPr>
        <xdr:cNvPr id="14" name="Line 1"/>
        <xdr:cNvCxnSpPr/>
        <xdr:nvPr/>
      </xdr:nvCxnSpPr>
      <xdr:spPr>
        <a:xfrm>
          <a:off x="8632080" y="5763240"/>
          <a:ext cx="543240" cy="1080"/>
        </a:xfrm>
        <a:prstGeom prst="straightConnector1">
          <a:avLst/>
        </a:prstGeom>
        <a:ln w="9360">
          <a:solidFill>
            <a:srgbClr val="000000"/>
          </a:solidFill>
          <a:miter/>
          <a:tailEnd len="med" type="arrow" w="med"/>
        </a:ln>
      </xdr:spPr>
    </xdr:cxnSp>
    <xdr:clientData/>
  </xdr:twoCellAnchor>
  <xdr:twoCellAnchor editAs="oneCell">
    <xdr:from>
      <xdr:col>20</xdr:col>
      <xdr:colOff>360</xdr:colOff>
      <xdr:row>3</xdr:row>
      <xdr:rowOff>0</xdr:rowOff>
    </xdr:from>
    <xdr:to>
      <xdr:col>21</xdr:col>
      <xdr:colOff>251640</xdr:colOff>
      <xdr:row>4</xdr:row>
      <xdr:rowOff>114840</xdr:rowOff>
    </xdr:to>
    <xdr:sp>
      <xdr:nvSpPr>
        <xdr:cNvPr id="15" name="CustomShape 1"/>
        <xdr:cNvSpPr/>
      </xdr:nvSpPr>
      <xdr:spPr>
        <a:xfrm>
          <a:off x="7426440" y="1380960"/>
          <a:ext cx="271080" cy="305280"/>
        </a:xfrm>
        <a:custGeom>
          <a:avLst/>
          <a:gdLst/>
          <a:ahLst/>
          <a:rect l="l" t="t" r="r" b="b"/>
          <a:pathLst>
            <a:path w="21600" h="21600">
              <a:moveTo>
                <a:pt x="0" y="0"/>
              </a:moveTo>
              <a:lnTo>
                <a:pt x="21600" y="0"/>
              </a:lnTo>
              <a:lnTo>
                <a:pt x="21600" y="21600"/>
              </a:lnTo>
              <a:lnTo>
                <a:pt x="0" y="21600"/>
              </a:lnTo>
              <a:lnTo>
                <a:pt x="0" y="0"/>
              </a:lnTo>
              <a:close/>
            </a:path>
          </a:pathLst>
        </a:custGeom>
        <a:solidFill>
          <a:srgbClr val="ffffff"/>
        </a:solidFill>
        <a:ln w="9360">
          <a:solidFill>
            <a:srgbClr val="4c4c4c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ctr"/>
        <a:p>
          <a:r>
            <a:rPr b="1" lang="en-PH" sz="1100" spc="-1" strike="noStrike">
              <a:solidFill>
                <a:srgbClr val="000000"/>
              </a:solidFill>
              <a:latin typeface="Calibri"/>
            </a:rPr>
            <a:t>3</a:t>
          </a:r>
          <a:endParaRPr b="0" lang="en-PH" sz="1100" spc="-1" strike="noStrike">
            <a:latin typeface="Times New Roman"/>
          </a:endParaRPr>
        </a:p>
      </xdr:txBody>
    </xdr:sp>
    <xdr:clientData/>
  </xdr:twoCellAnchor>
  <xdr:twoCellAnchor editAs="oneCell">
    <xdr:from>
      <xdr:col>25</xdr:col>
      <xdr:colOff>0</xdr:colOff>
      <xdr:row>3</xdr:row>
      <xdr:rowOff>0</xdr:rowOff>
    </xdr:from>
    <xdr:to>
      <xdr:col>25</xdr:col>
      <xdr:colOff>271800</xdr:colOff>
      <xdr:row>4</xdr:row>
      <xdr:rowOff>114840</xdr:rowOff>
    </xdr:to>
    <xdr:sp>
      <xdr:nvSpPr>
        <xdr:cNvPr id="16" name="CustomShape 1"/>
        <xdr:cNvSpPr/>
      </xdr:nvSpPr>
      <xdr:spPr>
        <a:xfrm>
          <a:off x="8782560" y="1380960"/>
          <a:ext cx="271800" cy="305280"/>
        </a:xfrm>
        <a:custGeom>
          <a:avLst/>
          <a:gdLst/>
          <a:ahLst/>
          <a:rect l="l" t="t" r="r" b="b"/>
          <a:pathLst>
            <a:path w="21600" h="21600">
              <a:moveTo>
                <a:pt x="0" y="0"/>
              </a:moveTo>
              <a:lnTo>
                <a:pt x="21600" y="0"/>
              </a:lnTo>
              <a:lnTo>
                <a:pt x="21600" y="21600"/>
              </a:lnTo>
              <a:lnTo>
                <a:pt x="0" y="21600"/>
              </a:lnTo>
              <a:lnTo>
                <a:pt x="0" y="0"/>
              </a:lnTo>
              <a:close/>
            </a:path>
          </a:pathLst>
        </a:custGeom>
        <a:solidFill>
          <a:srgbClr val="ffffff"/>
        </a:solidFill>
        <a:ln w="9360">
          <a:solidFill>
            <a:srgbClr val="4c4c4c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ctr"/>
        <a:p>
          <a:r>
            <a:rPr b="1" lang="en-PH" sz="1100" spc="-1" strike="noStrike">
              <a:solidFill>
                <a:srgbClr val="000000"/>
              </a:solidFill>
              <a:latin typeface="Calibri"/>
            </a:rPr>
            <a:t>4</a:t>
          </a:r>
          <a:endParaRPr b="0" lang="en-PH" sz="1100" spc="-1" strike="noStrike">
            <a:latin typeface="Times New Roman"/>
          </a:endParaRPr>
        </a:p>
      </xdr:txBody>
    </xdr:sp>
    <xdr:clientData/>
  </xdr:twoCellAnchor>
  <xdr:twoCellAnchor editAs="oneCell">
    <xdr:from>
      <xdr:col>31</xdr:col>
      <xdr:colOff>360</xdr:colOff>
      <xdr:row>3</xdr:row>
      <xdr:rowOff>0</xdr:rowOff>
    </xdr:from>
    <xdr:to>
      <xdr:col>31</xdr:col>
      <xdr:colOff>261720</xdr:colOff>
      <xdr:row>4</xdr:row>
      <xdr:rowOff>114840</xdr:rowOff>
    </xdr:to>
    <xdr:sp>
      <xdr:nvSpPr>
        <xdr:cNvPr id="17" name="CustomShape 1"/>
        <xdr:cNvSpPr/>
      </xdr:nvSpPr>
      <xdr:spPr>
        <a:xfrm>
          <a:off x="10782360" y="1380960"/>
          <a:ext cx="261360" cy="305280"/>
        </a:xfrm>
        <a:custGeom>
          <a:avLst/>
          <a:gdLst/>
          <a:ahLst/>
          <a:rect l="l" t="t" r="r" b="b"/>
          <a:pathLst>
            <a:path w="21600" h="21600">
              <a:moveTo>
                <a:pt x="0" y="0"/>
              </a:moveTo>
              <a:lnTo>
                <a:pt x="21600" y="0"/>
              </a:lnTo>
              <a:lnTo>
                <a:pt x="21600" y="21600"/>
              </a:lnTo>
              <a:lnTo>
                <a:pt x="0" y="21600"/>
              </a:lnTo>
              <a:lnTo>
                <a:pt x="0" y="0"/>
              </a:lnTo>
              <a:close/>
            </a:path>
          </a:pathLst>
        </a:custGeom>
        <a:solidFill>
          <a:srgbClr val="ffffff"/>
        </a:solidFill>
        <a:ln w="9360">
          <a:solidFill>
            <a:srgbClr val="4c4c4c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ctr"/>
        <a:p>
          <a:r>
            <a:rPr b="1" lang="en-PH" sz="1100" spc="-1" strike="noStrike">
              <a:solidFill>
                <a:srgbClr val="000000"/>
              </a:solidFill>
              <a:latin typeface="Calibri"/>
            </a:rPr>
            <a:t>5</a:t>
          </a:r>
          <a:endParaRPr b="0" lang="en-PH" sz="1100" spc="-1" strike="noStrike">
            <a:latin typeface="Times New Roman"/>
          </a:endParaRPr>
        </a:p>
      </xdr:txBody>
    </xdr:sp>
    <xdr:clientData/>
  </xdr:twoCellAnchor>
  <xdr:twoCellAnchor editAs="oneCell">
    <xdr:from>
      <xdr:col>31</xdr:col>
      <xdr:colOff>10440</xdr:colOff>
      <xdr:row>23</xdr:row>
      <xdr:rowOff>19440</xdr:rowOff>
    </xdr:from>
    <xdr:to>
      <xdr:col>31</xdr:col>
      <xdr:colOff>271800</xdr:colOff>
      <xdr:row>23</xdr:row>
      <xdr:rowOff>266400</xdr:rowOff>
    </xdr:to>
    <xdr:sp>
      <xdr:nvSpPr>
        <xdr:cNvPr id="18" name="CustomShape 1"/>
        <xdr:cNvSpPr/>
      </xdr:nvSpPr>
      <xdr:spPr>
        <a:xfrm>
          <a:off x="10792440" y="4924800"/>
          <a:ext cx="261360" cy="246960"/>
        </a:xfrm>
        <a:custGeom>
          <a:avLst/>
          <a:gdLst/>
          <a:ahLst/>
          <a:rect l="l" t="t" r="r" b="b"/>
          <a:pathLst>
            <a:path w="21600" h="21600">
              <a:moveTo>
                <a:pt x="0" y="0"/>
              </a:moveTo>
              <a:lnTo>
                <a:pt x="21600" y="0"/>
              </a:lnTo>
              <a:lnTo>
                <a:pt x="21600" y="21600"/>
              </a:lnTo>
              <a:lnTo>
                <a:pt x="0" y="21600"/>
              </a:lnTo>
              <a:lnTo>
                <a:pt x="0" y="0"/>
              </a:lnTo>
              <a:close/>
            </a:path>
          </a:pathLst>
        </a:custGeom>
        <a:solidFill>
          <a:srgbClr val="ffffff"/>
        </a:solidFill>
        <a:ln>
          <a:noFill/>
        </a:ln>
      </xdr:spPr>
      <xdr:style>
        <a:lnRef idx="0"/>
        <a:fillRef idx="0"/>
        <a:effectRef idx="0"/>
        <a:fontRef idx="minor"/>
      </xdr:style>
      <xdr:txBody>
        <a:bodyPr lIns="9000" rIns="9000" tIns="46800" bIns="46800" anchor="ctr"/>
        <a:p>
          <a:pPr algn="ctr"/>
          <a:r>
            <a:rPr b="1" lang="en-PH" sz="1100" spc="-1" strike="noStrike">
              <a:solidFill>
                <a:srgbClr val="000000"/>
              </a:solidFill>
              <a:latin typeface="Calibri"/>
            </a:rPr>
            <a:t>15</a:t>
          </a:r>
          <a:endParaRPr b="0" lang="en-PH" sz="1100" spc="-1" strike="noStrike">
            <a:latin typeface="Times New Roman"/>
          </a:endParaRPr>
        </a:p>
      </xdr:txBody>
    </xdr:sp>
    <xdr:clientData/>
  </xdr:twoCellAnchor>
  <xdr:twoCellAnchor editAs="oneCell">
    <xdr:from>
      <xdr:col>0</xdr:col>
      <xdr:colOff>0</xdr:colOff>
      <xdr:row>23</xdr:row>
      <xdr:rowOff>0</xdr:rowOff>
    </xdr:from>
    <xdr:to>
      <xdr:col>0</xdr:col>
      <xdr:colOff>271440</xdr:colOff>
      <xdr:row>23</xdr:row>
      <xdr:rowOff>380880</xdr:rowOff>
    </xdr:to>
    <xdr:sp>
      <xdr:nvSpPr>
        <xdr:cNvPr id="19" name="CustomShape 1"/>
        <xdr:cNvSpPr/>
      </xdr:nvSpPr>
      <xdr:spPr>
        <a:xfrm>
          <a:off x="0" y="4905360"/>
          <a:ext cx="271440" cy="380880"/>
        </a:xfrm>
        <a:custGeom>
          <a:avLst/>
          <a:gdLst/>
          <a:ahLst/>
          <a:rect l="l" t="t" r="r" b="b"/>
          <a:pathLst>
            <a:path w="21600" h="21600">
              <a:moveTo>
                <a:pt x="0" y="0"/>
              </a:moveTo>
              <a:lnTo>
                <a:pt x="21600" y="0"/>
              </a:lnTo>
              <a:lnTo>
                <a:pt x="21600" y="21600"/>
              </a:lnTo>
              <a:lnTo>
                <a:pt x="0" y="21600"/>
              </a:lnTo>
              <a:lnTo>
                <a:pt x="0" y="0"/>
              </a:lnTo>
              <a:close/>
            </a:path>
          </a:pathLst>
        </a:custGeom>
        <a:solidFill>
          <a:srgbClr val="ffffff"/>
        </a:solidFill>
        <a:ln w="9360">
          <a:solidFill>
            <a:srgbClr val="4c4c4c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9000" rIns="9000" tIns="46800" bIns="46800" anchor="ctr"/>
        <a:p>
          <a:pPr algn="ctr"/>
          <a:r>
            <a:rPr b="1" lang="en-PH" sz="1100" spc="-1" strike="noStrike">
              <a:solidFill>
                <a:srgbClr val="000000"/>
              </a:solidFill>
              <a:latin typeface="Calibri"/>
            </a:rPr>
            <a:t>12</a:t>
          </a:r>
          <a:endParaRPr b="0" lang="en-PH" sz="1100" spc="-1" strike="noStrike">
            <a:latin typeface="Times New Roman"/>
          </a:endParaRPr>
        </a:p>
      </xdr:txBody>
    </xdr:sp>
    <xdr:clientData/>
  </xdr:twoCellAnchor>
  <xdr:twoCellAnchor editAs="oneCell">
    <xdr:from>
      <xdr:col>0</xdr:col>
      <xdr:colOff>0</xdr:colOff>
      <xdr:row>27</xdr:row>
      <xdr:rowOff>0</xdr:rowOff>
    </xdr:from>
    <xdr:to>
      <xdr:col>0</xdr:col>
      <xdr:colOff>271440</xdr:colOff>
      <xdr:row>28</xdr:row>
      <xdr:rowOff>143280</xdr:rowOff>
    </xdr:to>
    <xdr:sp>
      <xdr:nvSpPr>
        <xdr:cNvPr id="20" name="CustomShape 1"/>
        <xdr:cNvSpPr/>
      </xdr:nvSpPr>
      <xdr:spPr>
        <a:xfrm>
          <a:off x="0" y="6153120"/>
          <a:ext cx="271440" cy="304920"/>
        </a:xfrm>
        <a:custGeom>
          <a:avLst/>
          <a:gdLst/>
          <a:ahLst/>
          <a:rect l="l" t="t" r="r" b="b"/>
          <a:pathLst>
            <a:path w="21600" h="21600">
              <a:moveTo>
                <a:pt x="0" y="0"/>
              </a:moveTo>
              <a:lnTo>
                <a:pt x="21600" y="0"/>
              </a:lnTo>
              <a:lnTo>
                <a:pt x="21600" y="21600"/>
              </a:lnTo>
              <a:lnTo>
                <a:pt x="0" y="21600"/>
              </a:lnTo>
              <a:lnTo>
                <a:pt x="0" y="0"/>
              </a:lnTo>
              <a:close/>
            </a:path>
          </a:pathLst>
        </a:custGeom>
        <a:solidFill>
          <a:srgbClr val="ffffff"/>
        </a:solidFill>
        <a:ln w="9360">
          <a:solidFill>
            <a:srgbClr val="4c4c4c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9000" rIns="9000" tIns="46800" bIns="46800" anchor="ctr"/>
        <a:p>
          <a:pPr algn="ctr"/>
          <a:r>
            <a:rPr b="1" lang="en-PH" sz="1100" spc="-1" strike="noStrike">
              <a:solidFill>
                <a:srgbClr val="000000"/>
              </a:solidFill>
              <a:latin typeface="Calibri"/>
            </a:rPr>
            <a:t>16</a:t>
          </a:r>
          <a:endParaRPr b="0" lang="en-PH" sz="1100" spc="-1" strike="noStrike">
            <a:latin typeface="Times New Roman"/>
          </a:endParaRPr>
        </a:p>
      </xdr:txBody>
    </xdr:sp>
    <xdr:clientData/>
  </xdr:twoCellAnchor>
  <xdr:twoCellAnchor editAs="oneCell">
    <xdr:from>
      <xdr:col>7</xdr:col>
      <xdr:colOff>0</xdr:colOff>
      <xdr:row>23</xdr:row>
      <xdr:rowOff>0</xdr:rowOff>
    </xdr:from>
    <xdr:to>
      <xdr:col>9</xdr:col>
      <xdr:colOff>39960</xdr:colOff>
      <xdr:row>23</xdr:row>
      <xdr:rowOff>380880</xdr:rowOff>
    </xdr:to>
    <xdr:sp>
      <xdr:nvSpPr>
        <xdr:cNvPr id="21" name="CustomShape 1"/>
        <xdr:cNvSpPr/>
      </xdr:nvSpPr>
      <xdr:spPr>
        <a:xfrm>
          <a:off x="800640" y="4905360"/>
          <a:ext cx="280080" cy="380880"/>
        </a:xfrm>
        <a:custGeom>
          <a:avLst/>
          <a:gdLst/>
          <a:ahLst/>
          <a:rect l="l" t="t" r="r" b="b"/>
          <a:pathLst>
            <a:path w="21600" h="21600">
              <a:moveTo>
                <a:pt x="0" y="0"/>
              </a:moveTo>
              <a:lnTo>
                <a:pt x="21600" y="0"/>
              </a:lnTo>
              <a:lnTo>
                <a:pt x="21600" y="21600"/>
              </a:lnTo>
              <a:lnTo>
                <a:pt x="0" y="21600"/>
              </a:lnTo>
              <a:lnTo>
                <a:pt x="0" y="0"/>
              </a:lnTo>
              <a:close/>
            </a:path>
          </a:pathLst>
        </a:custGeom>
        <a:solidFill>
          <a:srgbClr val="ffffff"/>
        </a:solidFill>
        <a:ln w="9360">
          <a:solidFill>
            <a:srgbClr val="4c4c4c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9000" rIns="9000" tIns="46800" bIns="46800" anchor="ctr"/>
        <a:p>
          <a:pPr algn="ctr"/>
          <a:r>
            <a:rPr b="1" lang="en-PH" sz="1100" spc="-1" strike="noStrike">
              <a:solidFill>
                <a:srgbClr val="000000"/>
              </a:solidFill>
              <a:latin typeface="Calibri"/>
            </a:rPr>
            <a:t>13</a:t>
          </a:r>
          <a:endParaRPr b="0" lang="en-PH" sz="1100" spc="-1" strike="noStrike">
            <a:latin typeface="Times New Roman"/>
          </a:endParaRPr>
        </a:p>
      </xdr:txBody>
    </xdr:sp>
    <xdr:clientData/>
  </xdr:twoCellAnchor>
  <xdr:twoCellAnchor editAs="oneCell">
    <xdr:from>
      <xdr:col>31</xdr:col>
      <xdr:colOff>241200</xdr:colOff>
      <xdr:row>23</xdr:row>
      <xdr:rowOff>238320</xdr:rowOff>
    </xdr:from>
    <xdr:to>
      <xdr:col>32</xdr:col>
      <xdr:colOff>946080</xdr:colOff>
      <xdr:row>24</xdr:row>
      <xdr:rowOff>9360</xdr:rowOff>
    </xdr:to>
    <xdr:sp>
      <xdr:nvSpPr>
        <xdr:cNvPr id="22" name="CustomShape 1"/>
        <xdr:cNvSpPr/>
      </xdr:nvSpPr>
      <xdr:spPr>
        <a:xfrm>
          <a:off x="11023200" y="5143680"/>
          <a:ext cx="1016280" cy="151920"/>
        </a:xfrm>
        <a:custGeom>
          <a:avLst/>
          <a:gdLst/>
          <a:ahLst/>
          <a:rect l="l" t="t" r="r" b="b"/>
          <a:pathLst>
            <a:path w="21600" h="21600">
              <a:moveTo>
                <a:pt x="0" y="0"/>
              </a:moveTo>
              <a:lnTo>
                <a:pt x="21600" y="0"/>
              </a:lnTo>
              <a:lnTo>
                <a:pt x="21600" y="21600"/>
              </a:lnTo>
              <a:lnTo>
                <a:pt x="0" y="21600"/>
              </a:lnTo>
              <a:lnTo>
                <a:pt x="0" y="0"/>
              </a:lnTo>
              <a:close/>
            </a:path>
          </a:pathLst>
        </a:custGeom>
        <a:solidFill>
          <a:srgbClr val="ffffff"/>
        </a:solidFill>
        <a:ln>
          <a:noFill/>
        </a:ln>
      </xdr:spPr>
      <xdr:style>
        <a:lnRef idx="0"/>
        <a:fillRef idx="0"/>
        <a:effectRef idx="0"/>
        <a:fontRef idx="minor"/>
      </xdr:style>
      <xdr:txBody>
        <a:bodyPr lIns="9000" rIns="9000" tIns="46800" bIns="46800" anchor="ctr"/>
        <a:p>
          <a:r>
            <a:rPr b="1" lang="en-PH" sz="500" spc="-1" strike="noStrike">
              <a:solidFill>
                <a:srgbClr val="000000"/>
              </a:solidFill>
              <a:latin typeface="Calibri"/>
            </a:rPr>
            <a:t>SIGNATURE OVER PRINTED NAME</a:t>
          </a:r>
          <a:endParaRPr b="0" lang="en-PH" sz="500" spc="-1" strike="noStrike">
            <a:latin typeface="Times New Roman"/>
          </a:endParaRPr>
        </a:p>
      </xdr:txBody>
    </xdr:sp>
    <xdr:clientData/>
  </xdr:twoCellAnchor>
  <xdr:twoCellAnchor editAs="oneCell">
    <xdr:from>
      <xdr:col>31</xdr:col>
      <xdr:colOff>130680</xdr:colOff>
      <xdr:row>24</xdr:row>
      <xdr:rowOff>258120</xdr:rowOff>
    </xdr:from>
    <xdr:to>
      <xdr:col>32</xdr:col>
      <xdr:colOff>846000</xdr:colOff>
      <xdr:row>24</xdr:row>
      <xdr:rowOff>371880</xdr:rowOff>
    </xdr:to>
    <xdr:sp>
      <xdr:nvSpPr>
        <xdr:cNvPr id="23" name="CustomShape 1"/>
        <xdr:cNvSpPr/>
      </xdr:nvSpPr>
      <xdr:spPr>
        <a:xfrm>
          <a:off x="10912680" y="5544360"/>
          <a:ext cx="1026720" cy="113760"/>
        </a:xfrm>
        <a:custGeom>
          <a:avLst/>
          <a:gdLst/>
          <a:ahLst/>
          <a:rect l="l" t="t" r="r" b="b"/>
          <a:pathLst>
            <a:path w="21600" h="21600">
              <a:moveTo>
                <a:pt x="0" y="0"/>
              </a:moveTo>
              <a:lnTo>
                <a:pt x="21600" y="0"/>
              </a:lnTo>
              <a:lnTo>
                <a:pt x="21600" y="21600"/>
              </a:lnTo>
              <a:lnTo>
                <a:pt x="0" y="21600"/>
              </a:lnTo>
              <a:lnTo>
                <a:pt x="0" y="0"/>
              </a:lnTo>
              <a:close/>
            </a:path>
          </a:pathLst>
        </a:custGeom>
        <a:solidFill>
          <a:srgbClr val="ffffff"/>
        </a:solidFill>
        <a:ln>
          <a:noFill/>
        </a:ln>
      </xdr:spPr>
      <xdr:style>
        <a:lnRef idx="0"/>
        <a:fillRef idx="0"/>
        <a:effectRef idx="0"/>
        <a:fontRef idx="minor"/>
      </xdr:style>
      <xdr:txBody>
        <a:bodyPr lIns="9000" rIns="9000" tIns="46800" bIns="46800" anchor="ctr"/>
        <a:p>
          <a:pPr algn="ctr"/>
          <a:r>
            <a:rPr b="1" lang="en-PH" sz="500" spc="-1" strike="noStrike">
              <a:solidFill>
                <a:srgbClr val="000000"/>
              </a:solidFill>
              <a:latin typeface="Calibri"/>
            </a:rPr>
            <a:t>OFFICIAL DESIGNATION</a:t>
          </a:r>
          <a:endParaRPr b="0" lang="en-PH" sz="500" spc="-1" strike="noStrike">
            <a:latin typeface="Times New Roman"/>
          </a:endParaRPr>
        </a:p>
      </xdr:txBody>
    </xdr:sp>
    <xdr:clientData/>
  </xdr:twoCellAnchor>
  <xdr:twoCellAnchor editAs="oneCell">
    <xdr:from>
      <xdr:col>31</xdr:col>
      <xdr:colOff>120600</xdr:colOff>
      <xdr:row>25</xdr:row>
      <xdr:rowOff>286560</xdr:rowOff>
    </xdr:from>
    <xdr:to>
      <xdr:col>32</xdr:col>
      <xdr:colOff>825480</xdr:colOff>
      <xdr:row>25</xdr:row>
      <xdr:rowOff>428760</xdr:rowOff>
    </xdr:to>
    <xdr:sp>
      <xdr:nvSpPr>
        <xdr:cNvPr id="24" name="CustomShape 1"/>
        <xdr:cNvSpPr/>
      </xdr:nvSpPr>
      <xdr:spPr>
        <a:xfrm>
          <a:off x="10902600" y="5972760"/>
          <a:ext cx="1016280" cy="142200"/>
        </a:xfrm>
        <a:custGeom>
          <a:avLst/>
          <a:gdLst/>
          <a:ahLst/>
          <a:rect l="l" t="t" r="r" b="b"/>
          <a:pathLst>
            <a:path w="21600" h="21600">
              <a:moveTo>
                <a:pt x="0" y="0"/>
              </a:moveTo>
              <a:lnTo>
                <a:pt x="21600" y="0"/>
              </a:lnTo>
              <a:lnTo>
                <a:pt x="21600" y="21600"/>
              </a:lnTo>
              <a:lnTo>
                <a:pt x="0" y="21600"/>
              </a:lnTo>
              <a:lnTo>
                <a:pt x="0" y="0"/>
              </a:lnTo>
              <a:close/>
            </a:path>
          </a:pathLst>
        </a:custGeom>
        <a:solidFill>
          <a:srgbClr val="ffffff"/>
        </a:solidFill>
        <a:ln>
          <a:noFill/>
        </a:ln>
      </xdr:spPr>
      <xdr:style>
        <a:lnRef idx="0"/>
        <a:fillRef idx="0"/>
        <a:effectRef idx="0"/>
        <a:fontRef idx="minor"/>
      </xdr:style>
      <xdr:txBody>
        <a:bodyPr lIns="9000" rIns="9000" tIns="46800" bIns="46800" anchor="ctr"/>
        <a:p>
          <a:pPr algn="ctr"/>
          <a:r>
            <a:rPr b="1" lang="en-PH" sz="500" spc="-1" strike="noStrike">
              <a:solidFill>
                <a:srgbClr val="000000"/>
              </a:solidFill>
              <a:latin typeface="Calibri"/>
            </a:rPr>
            <a:t>DATE</a:t>
          </a:r>
          <a:endParaRPr b="0" lang="en-PH" sz="500" spc="-1" strike="noStrike">
            <a:latin typeface="Times New Roman"/>
          </a:endParaRPr>
        </a:p>
      </xdr:txBody>
    </xdr:sp>
    <xdr:clientData/>
  </xdr:twoCellAnchor>
  <xdr:twoCellAnchor editAs="oneCell">
    <xdr:from>
      <xdr:col>21</xdr:col>
      <xdr:colOff>0</xdr:colOff>
      <xdr:row>1</xdr:row>
      <xdr:rowOff>10080</xdr:rowOff>
    </xdr:from>
    <xdr:to>
      <xdr:col>29</xdr:col>
      <xdr:colOff>121680</xdr:colOff>
      <xdr:row>1</xdr:row>
      <xdr:rowOff>324000</xdr:rowOff>
    </xdr:to>
    <xdr:sp>
      <xdr:nvSpPr>
        <xdr:cNvPr id="25" name="CustomShape 1"/>
        <xdr:cNvSpPr/>
      </xdr:nvSpPr>
      <xdr:spPr>
        <a:xfrm>
          <a:off x="7445880" y="743400"/>
          <a:ext cx="2683800" cy="313920"/>
        </a:xfrm>
        <a:custGeom>
          <a:avLst/>
          <a:gdLst/>
          <a:ahLst/>
          <a:rect l="l" t="t" r="r" b="b"/>
          <a:pathLst>
            <a:path w="21600" h="21600">
              <a:moveTo>
                <a:pt x="0" y="0"/>
              </a:moveTo>
              <a:lnTo>
                <a:pt x="21600" y="0"/>
              </a:lnTo>
              <a:lnTo>
                <a:pt x="21600" y="21600"/>
              </a:lnTo>
              <a:lnTo>
                <a:pt x="0" y="21600"/>
              </a:lnTo>
              <a:lnTo>
                <a:pt x="0" y="0"/>
              </a:lnTo>
              <a:close/>
            </a:path>
          </a:pathLst>
        </a:custGeom>
        <a:solidFill>
          <a:srgbClr val="ffffff"/>
        </a:solidFill>
        <a:ln w="9360">
          <a:solidFill>
            <a:srgbClr val="bcbcbc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/>
        <a:p>
          <a:r>
            <a:rPr b="0" lang="en-PH" sz="1000" spc="-1" strike="noStrike">
              <a:solidFill>
                <a:srgbClr val="000000"/>
              </a:solidFill>
              <a:latin typeface="Calibri"/>
            </a:rPr>
            <a:t>Date Received: ________________________</a:t>
          </a:r>
          <a:endParaRPr b="0" lang="en-PH" sz="1000" spc="-1" strike="noStrike">
            <a:latin typeface="Times New Roman"/>
          </a:endParaRPr>
        </a:p>
      </xdr:txBody>
    </xdr:sp>
    <xdr:clientData/>
  </xdr:twoCellAnchor>
  <xdr:twoCellAnchor editAs="oneCell">
    <xdr:from>
      <xdr:col>21</xdr:col>
      <xdr:colOff>0</xdr:colOff>
      <xdr:row>2</xdr:row>
      <xdr:rowOff>360</xdr:rowOff>
    </xdr:from>
    <xdr:to>
      <xdr:col>29</xdr:col>
      <xdr:colOff>121680</xdr:colOff>
      <xdr:row>2</xdr:row>
      <xdr:rowOff>229320</xdr:rowOff>
    </xdr:to>
    <xdr:sp>
      <xdr:nvSpPr>
        <xdr:cNvPr id="26" name="CustomShape 1"/>
        <xdr:cNvSpPr/>
      </xdr:nvSpPr>
      <xdr:spPr>
        <a:xfrm>
          <a:off x="7445880" y="1057320"/>
          <a:ext cx="2683800" cy="228960"/>
        </a:xfrm>
        <a:custGeom>
          <a:avLst/>
          <a:gdLst/>
          <a:ahLst/>
          <a:rect l="l" t="t" r="r" b="b"/>
          <a:pathLst>
            <a:path w="21600" h="21600">
              <a:moveTo>
                <a:pt x="0" y="0"/>
              </a:moveTo>
              <a:lnTo>
                <a:pt x="21600" y="0"/>
              </a:lnTo>
              <a:lnTo>
                <a:pt x="21600" y="21600"/>
              </a:lnTo>
              <a:lnTo>
                <a:pt x="0" y="21600"/>
              </a:lnTo>
              <a:lnTo>
                <a:pt x="0" y="0"/>
              </a:lnTo>
              <a:close/>
            </a:path>
          </a:pathLst>
        </a:custGeom>
        <a:solidFill>
          <a:srgbClr val="ffffff"/>
        </a:solidFill>
        <a:ln w="9360">
          <a:solidFill>
            <a:srgbClr val="bcbcbc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/>
        <a:p>
          <a:r>
            <a:rPr b="0" lang="en-PH" sz="1000" spc="-1" strike="noStrike">
              <a:solidFill>
                <a:srgbClr val="000000"/>
              </a:solidFill>
              <a:latin typeface="Calibri"/>
            </a:rPr>
            <a:t>By :________________________</a:t>
          </a:r>
          <a:endParaRPr b="0" lang="en-PH" sz="1000" spc="-1" strike="noStrike">
            <a:latin typeface="Times New Roman"/>
          </a:endParaRPr>
        </a:p>
      </xdr:txBody>
    </xdr:sp>
    <xdr:clientData/>
  </xdr:twoCellAnchor>
  <xdr:twoCellAnchor editAs="oneCell">
    <xdr:from>
      <xdr:col>21</xdr:col>
      <xdr:colOff>10440</xdr:colOff>
      <xdr:row>2</xdr:row>
      <xdr:rowOff>200160</xdr:rowOff>
    </xdr:from>
    <xdr:to>
      <xdr:col>28</xdr:col>
      <xdr:colOff>272520</xdr:colOff>
      <xdr:row>2</xdr:row>
      <xdr:rowOff>305280</xdr:rowOff>
    </xdr:to>
    <xdr:sp>
      <xdr:nvSpPr>
        <xdr:cNvPr id="27" name="CustomShape 1"/>
        <xdr:cNvSpPr/>
      </xdr:nvSpPr>
      <xdr:spPr>
        <a:xfrm>
          <a:off x="7456320" y="1257120"/>
          <a:ext cx="2301480" cy="105120"/>
        </a:xfrm>
        <a:custGeom>
          <a:avLst/>
          <a:gdLst/>
          <a:ahLst/>
          <a:rect l="l" t="t" r="r" b="b"/>
          <a:pathLst>
            <a:path w="21600" h="21600">
              <a:moveTo>
                <a:pt x="0" y="0"/>
              </a:moveTo>
              <a:lnTo>
                <a:pt x="21600" y="0"/>
              </a:lnTo>
              <a:lnTo>
                <a:pt x="21600" y="21600"/>
              </a:lnTo>
              <a:lnTo>
                <a:pt x="0" y="21600"/>
              </a:lnTo>
              <a:lnTo>
                <a:pt x="0" y="0"/>
              </a:lnTo>
              <a:close/>
            </a:path>
          </a:pathLst>
        </a:custGeom>
        <a:solidFill>
          <a:srgbClr val="ffffff"/>
        </a:solidFill>
        <a:ln w="9360">
          <a:solidFill>
            <a:srgbClr val="bcbcbc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90000" rIns="90000" tIns="9000" bIns="9000"/>
        <a:p>
          <a:pPr algn="ctr"/>
          <a:r>
            <a:rPr b="0" lang="en-PH" sz="800" spc="-1" strike="noStrike">
              <a:solidFill>
                <a:srgbClr val="000000"/>
              </a:solidFill>
              <a:latin typeface="Calibri"/>
            </a:rPr>
            <a:t>Signature Over Printed Name</a:t>
          </a:r>
          <a:endParaRPr b="0" lang="en-PH" sz="800" spc="-1" strike="noStrike">
            <a:latin typeface="Times New Roman"/>
          </a:endParaRPr>
        </a:p>
      </xdr:txBody>
    </xdr:sp>
    <xdr:clientData/>
  </xdr:twoCellAnchor>
  <xdr:twoCellAnchor editAs="oneCell">
    <xdr:from>
      <xdr:col>29</xdr:col>
      <xdr:colOff>120960</xdr:colOff>
      <xdr:row>1</xdr:row>
      <xdr:rowOff>10080</xdr:rowOff>
    </xdr:from>
    <xdr:to>
      <xdr:col>32</xdr:col>
      <xdr:colOff>926280</xdr:colOff>
      <xdr:row>1</xdr:row>
      <xdr:rowOff>324000</xdr:rowOff>
    </xdr:to>
    <xdr:sp>
      <xdr:nvSpPr>
        <xdr:cNvPr id="28" name="CustomShape 1"/>
        <xdr:cNvSpPr/>
      </xdr:nvSpPr>
      <xdr:spPr>
        <a:xfrm>
          <a:off x="10128960" y="743400"/>
          <a:ext cx="1890720" cy="313920"/>
        </a:xfrm>
        <a:custGeom>
          <a:avLst/>
          <a:gdLst/>
          <a:ahLst/>
          <a:rect l="l" t="t" r="r" b="b"/>
          <a:pathLst>
            <a:path w="21600" h="21600">
              <a:moveTo>
                <a:pt x="0" y="0"/>
              </a:moveTo>
              <a:lnTo>
                <a:pt x="21600" y="0"/>
              </a:lnTo>
              <a:lnTo>
                <a:pt x="21600" y="21600"/>
              </a:lnTo>
              <a:lnTo>
                <a:pt x="0" y="21600"/>
              </a:lnTo>
              <a:lnTo>
                <a:pt x="0" y="0"/>
              </a:lnTo>
              <a:close/>
            </a:path>
          </a:pathLst>
        </a:custGeom>
        <a:solidFill>
          <a:srgbClr val="ffffff"/>
        </a:solidFill>
        <a:ln w="9360">
          <a:solidFill>
            <a:srgbClr val="bcbcbc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/>
        <a:p>
          <a:r>
            <a:rPr b="0" lang="en-PH" sz="1100" spc="-1" strike="noStrike">
              <a:solidFill>
                <a:srgbClr val="000000"/>
              </a:solidFill>
              <a:latin typeface="Calibri"/>
            </a:rPr>
            <a:t>Action Taken:</a:t>
          </a:r>
          <a:endParaRPr b="0" lang="en-PH" sz="1100" spc="-1" strike="noStrike">
            <a:latin typeface="Times New Roman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10080</xdr:colOff>
      <xdr:row>0</xdr:row>
      <xdr:rowOff>28800</xdr:rowOff>
    </xdr:from>
    <xdr:to>
      <xdr:col>18</xdr:col>
      <xdr:colOff>294120</xdr:colOff>
      <xdr:row>0</xdr:row>
      <xdr:rowOff>713520</xdr:rowOff>
    </xdr:to>
    <xdr:pic>
      <xdr:nvPicPr>
        <xdr:cNvPr id="29" name="Picture 3" descr="rf1 logo.JPG"/>
        <xdr:cNvPicPr/>
      </xdr:nvPicPr>
      <xdr:blipFill>
        <a:blip r:embed="rId1"/>
        <a:stretch/>
      </xdr:blipFill>
      <xdr:spPr>
        <a:xfrm>
          <a:off x="550800" y="28800"/>
          <a:ext cx="3677040" cy="6847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0</xdr:row>
      <xdr:rowOff>466920</xdr:rowOff>
    </xdr:from>
    <xdr:to>
      <xdr:col>3</xdr:col>
      <xdr:colOff>120240</xdr:colOff>
      <xdr:row>0</xdr:row>
      <xdr:rowOff>724680</xdr:rowOff>
    </xdr:to>
    <xdr:sp>
      <xdr:nvSpPr>
        <xdr:cNvPr id="30" name="CustomShape 1"/>
        <xdr:cNvSpPr/>
      </xdr:nvSpPr>
      <xdr:spPr>
        <a:xfrm>
          <a:off x="0" y="466920"/>
          <a:ext cx="541080" cy="257760"/>
        </a:xfrm>
        <a:custGeom>
          <a:avLst/>
          <a:gdLst/>
          <a:ahLst/>
          <a:rect l="l" t="t" r="r" b="b"/>
          <a:pathLst>
            <a:path w="21600" h="21600">
              <a:moveTo>
                <a:pt x="0" y="0"/>
              </a:moveTo>
              <a:lnTo>
                <a:pt x="21600" y="0"/>
              </a:lnTo>
              <a:lnTo>
                <a:pt x="21600" y="21600"/>
              </a:lnTo>
              <a:lnTo>
                <a:pt x="0" y="21600"/>
              </a:lnTo>
              <a:lnTo>
                <a:pt x="0" y="0"/>
              </a:lnTo>
              <a:close/>
            </a:path>
          </a:pathLst>
        </a:custGeom>
        <a:solidFill>
          <a:srgbClr val="ffffff"/>
        </a:solidFill>
        <a:ln>
          <a:noFill/>
        </a:ln>
      </xdr:spPr>
      <xdr:style>
        <a:lnRef idx="0"/>
        <a:fillRef idx="0"/>
        <a:effectRef idx="0"/>
        <a:fontRef idx="minor"/>
      </xdr:style>
      <xdr:txBody>
        <a:bodyPr lIns="18000" rIns="0" tIns="46800" bIns="46800"/>
        <a:p>
          <a:r>
            <a:rPr b="0" lang="en-PH" sz="500" spc="-1" strike="noStrike">
              <a:solidFill>
                <a:srgbClr val="000000"/>
              </a:solidFill>
              <a:latin typeface="Arial"/>
            </a:rPr>
            <a:t>Revised January2012</a:t>
          </a:r>
          <a:endParaRPr b="0" lang="en-PH" sz="500" spc="-1" strike="noStrike">
            <a:latin typeface="Times New Roman"/>
          </a:endParaRPr>
        </a:p>
      </xdr:txBody>
    </xdr:sp>
    <xdr:clientData/>
  </xdr:twoCellAnchor>
  <xdr:twoCellAnchor editAs="oneCell">
    <xdr:from>
      <xdr:col>0</xdr:col>
      <xdr:colOff>10080</xdr:colOff>
      <xdr:row>1</xdr:row>
      <xdr:rowOff>10080</xdr:rowOff>
    </xdr:from>
    <xdr:to>
      <xdr:col>0</xdr:col>
      <xdr:colOff>281160</xdr:colOff>
      <xdr:row>2</xdr:row>
      <xdr:rowOff>38160</xdr:rowOff>
    </xdr:to>
    <xdr:sp>
      <xdr:nvSpPr>
        <xdr:cNvPr id="31" name="CustomShape 1"/>
        <xdr:cNvSpPr/>
      </xdr:nvSpPr>
      <xdr:spPr>
        <a:xfrm>
          <a:off x="10080" y="743400"/>
          <a:ext cx="271080" cy="351720"/>
        </a:xfrm>
        <a:custGeom>
          <a:avLst/>
          <a:gdLst/>
          <a:ahLst/>
          <a:rect l="l" t="t" r="r" b="b"/>
          <a:pathLst>
            <a:path w="21600" h="21600">
              <a:moveTo>
                <a:pt x="0" y="0"/>
              </a:moveTo>
              <a:lnTo>
                <a:pt x="21600" y="0"/>
              </a:lnTo>
              <a:lnTo>
                <a:pt x="21600" y="21600"/>
              </a:lnTo>
              <a:lnTo>
                <a:pt x="0" y="21600"/>
              </a:lnTo>
              <a:lnTo>
                <a:pt x="0" y="0"/>
              </a:lnTo>
              <a:close/>
            </a:path>
          </a:pathLst>
        </a:custGeom>
        <a:solidFill>
          <a:srgbClr val="ffffff"/>
        </a:solidFill>
        <a:ln w="9360">
          <a:solidFill>
            <a:srgbClr val="4c4c4c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ctr"/>
        <a:p>
          <a:r>
            <a:rPr b="1" lang="en-PH" sz="1100" spc="-1" strike="noStrike">
              <a:solidFill>
                <a:srgbClr val="000000"/>
              </a:solidFill>
              <a:latin typeface="Calibri"/>
            </a:rPr>
            <a:t>1</a:t>
          </a:r>
          <a:endParaRPr b="0" lang="en-PH" sz="1100" spc="-1" strike="noStrike">
            <a:latin typeface="Times New Roman"/>
          </a:endParaRPr>
        </a:p>
      </xdr:txBody>
    </xdr:sp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271440</xdr:colOff>
      <xdr:row>8</xdr:row>
      <xdr:rowOff>304920</xdr:rowOff>
    </xdr:to>
    <xdr:sp>
      <xdr:nvSpPr>
        <xdr:cNvPr id="32" name="CustomShape 1"/>
        <xdr:cNvSpPr/>
      </xdr:nvSpPr>
      <xdr:spPr>
        <a:xfrm>
          <a:off x="0" y="2286000"/>
          <a:ext cx="271440" cy="304920"/>
        </a:xfrm>
        <a:custGeom>
          <a:avLst/>
          <a:gdLst/>
          <a:ahLst/>
          <a:rect l="l" t="t" r="r" b="b"/>
          <a:pathLst>
            <a:path w="21600" h="21600">
              <a:moveTo>
                <a:pt x="0" y="0"/>
              </a:moveTo>
              <a:lnTo>
                <a:pt x="21600" y="0"/>
              </a:lnTo>
              <a:lnTo>
                <a:pt x="21600" y="21600"/>
              </a:lnTo>
              <a:lnTo>
                <a:pt x="0" y="21600"/>
              </a:lnTo>
              <a:lnTo>
                <a:pt x="0" y="0"/>
              </a:lnTo>
              <a:close/>
            </a:path>
          </a:pathLst>
        </a:custGeom>
        <a:solidFill>
          <a:srgbClr val="ffffff"/>
        </a:solidFill>
        <a:ln w="9360">
          <a:solidFill>
            <a:srgbClr val="4c4c4c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ctr"/>
        <a:p>
          <a:r>
            <a:rPr b="1" lang="en-PH" sz="1100" spc="-1" strike="noStrike">
              <a:solidFill>
                <a:srgbClr val="000000"/>
              </a:solidFill>
              <a:latin typeface="Calibri"/>
            </a:rPr>
            <a:t>6</a:t>
          </a:r>
          <a:endParaRPr b="0" lang="en-PH" sz="1100" spc="-1" strike="noStrike">
            <a:latin typeface="Times New Roman"/>
          </a:endParaRPr>
        </a:p>
      </xdr:txBody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271440</xdr:colOff>
      <xdr:row>4</xdr:row>
      <xdr:rowOff>85680</xdr:rowOff>
    </xdr:to>
    <xdr:sp>
      <xdr:nvSpPr>
        <xdr:cNvPr id="33" name="CustomShape 1"/>
        <xdr:cNvSpPr/>
      </xdr:nvSpPr>
      <xdr:spPr>
        <a:xfrm>
          <a:off x="0" y="1380960"/>
          <a:ext cx="271440" cy="276120"/>
        </a:xfrm>
        <a:custGeom>
          <a:avLst/>
          <a:gdLst/>
          <a:ahLst/>
          <a:rect l="l" t="t" r="r" b="b"/>
          <a:pathLst>
            <a:path w="21600" h="21600">
              <a:moveTo>
                <a:pt x="0" y="0"/>
              </a:moveTo>
              <a:lnTo>
                <a:pt x="21600" y="0"/>
              </a:lnTo>
              <a:lnTo>
                <a:pt x="21600" y="21600"/>
              </a:lnTo>
              <a:lnTo>
                <a:pt x="0" y="21600"/>
              </a:lnTo>
              <a:lnTo>
                <a:pt x="0" y="0"/>
              </a:lnTo>
              <a:close/>
            </a:path>
          </a:pathLst>
        </a:custGeom>
        <a:solidFill>
          <a:srgbClr val="ffffff"/>
        </a:solidFill>
        <a:ln w="9360">
          <a:solidFill>
            <a:srgbClr val="4c4c4c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ctr"/>
        <a:p>
          <a:r>
            <a:rPr b="1" lang="en-PH" sz="1100" spc="-1" strike="noStrike">
              <a:solidFill>
                <a:srgbClr val="000000"/>
              </a:solidFill>
              <a:latin typeface="Calibri"/>
            </a:rPr>
            <a:t>2</a:t>
          </a:r>
          <a:endParaRPr b="0" lang="en-PH" sz="1100" spc="-1" strike="noStrike">
            <a:latin typeface="Times New Roman"/>
          </a:endParaRPr>
        </a:p>
      </xdr:txBody>
    </xdr:sp>
    <xdr:clientData/>
  </xdr:twoCellAnchor>
  <xdr:twoCellAnchor editAs="oneCell">
    <xdr:from>
      <xdr:col>16</xdr:col>
      <xdr:colOff>360</xdr:colOff>
      <xdr:row>8</xdr:row>
      <xdr:rowOff>0</xdr:rowOff>
    </xdr:from>
    <xdr:to>
      <xdr:col>16</xdr:col>
      <xdr:colOff>273960</xdr:colOff>
      <xdr:row>8</xdr:row>
      <xdr:rowOff>304920</xdr:rowOff>
    </xdr:to>
    <xdr:sp>
      <xdr:nvSpPr>
        <xdr:cNvPr id="34" name="CustomShape 1"/>
        <xdr:cNvSpPr/>
      </xdr:nvSpPr>
      <xdr:spPr>
        <a:xfrm>
          <a:off x="1780560" y="2286000"/>
          <a:ext cx="273600" cy="304920"/>
        </a:xfrm>
        <a:custGeom>
          <a:avLst/>
          <a:gdLst/>
          <a:ahLst/>
          <a:rect l="l" t="t" r="r" b="b"/>
          <a:pathLst>
            <a:path w="21600" h="21600">
              <a:moveTo>
                <a:pt x="0" y="0"/>
              </a:moveTo>
              <a:lnTo>
                <a:pt x="21600" y="0"/>
              </a:lnTo>
              <a:lnTo>
                <a:pt x="21600" y="21600"/>
              </a:lnTo>
              <a:lnTo>
                <a:pt x="0" y="21600"/>
              </a:lnTo>
              <a:lnTo>
                <a:pt x="0" y="0"/>
              </a:lnTo>
              <a:close/>
            </a:path>
          </a:pathLst>
        </a:custGeom>
        <a:solidFill>
          <a:srgbClr val="ffffff"/>
        </a:solidFill>
        <a:ln w="9360">
          <a:solidFill>
            <a:srgbClr val="4c4c4c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ctr"/>
        <a:p>
          <a:r>
            <a:rPr b="1" lang="en-PH" sz="1100" spc="-1" strike="noStrike">
              <a:solidFill>
                <a:srgbClr val="000000"/>
              </a:solidFill>
              <a:latin typeface="Calibri"/>
            </a:rPr>
            <a:t>7</a:t>
          </a:r>
          <a:endParaRPr b="0" lang="en-PH" sz="1100" spc="-1" strike="noStrike">
            <a:latin typeface="Times New Roman"/>
          </a:endParaRPr>
        </a:p>
      </xdr:txBody>
    </xdr:sp>
    <xdr:clientData/>
  </xdr:twoCellAnchor>
  <xdr:twoCellAnchor editAs="oneCell">
    <xdr:from>
      <xdr:col>21</xdr:col>
      <xdr:colOff>10440</xdr:colOff>
      <xdr:row>8</xdr:row>
      <xdr:rowOff>0</xdr:rowOff>
    </xdr:from>
    <xdr:to>
      <xdr:col>21</xdr:col>
      <xdr:colOff>281880</xdr:colOff>
      <xdr:row>8</xdr:row>
      <xdr:rowOff>304920</xdr:rowOff>
    </xdr:to>
    <xdr:sp>
      <xdr:nvSpPr>
        <xdr:cNvPr id="35" name="CustomShape 1"/>
        <xdr:cNvSpPr/>
      </xdr:nvSpPr>
      <xdr:spPr>
        <a:xfrm>
          <a:off x="7456320" y="2286000"/>
          <a:ext cx="271440" cy="304920"/>
        </a:xfrm>
        <a:custGeom>
          <a:avLst/>
          <a:gdLst/>
          <a:ahLst/>
          <a:rect l="l" t="t" r="r" b="b"/>
          <a:pathLst>
            <a:path w="21600" h="21600">
              <a:moveTo>
                <a:pt x="0" y="0"/>
              </a:moveTo>
              <a:lnTo>
                <a:pt x="21600" y="0"/>
              </a:lnTo>
              <a:lnTo>
                <a:pt x="21600" y="21600"/>
              </a:lnTo>
              <a:lnTo>
                <a:pt x="0" y="21600"/>
              </a:lnTo>
              <a:lnTo>
                <a:pt x="0" y="0"/>
              </a:lnTo>
              <a:close/>
            </a:path>
          </a:pathLst>
        </a:custGeom>
        <a:solidFill>
          <a:srgbClr val="ffffff"/>
        </a:solidFill>
        <a:ln w="9360">
          <a:solidFill>
            <a:srgbClr val="4c4c4c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ctr"/>
        <a:p>
          <a:r>
            <a:rPr b="1" lang="en-PH" sz="1100" spc="-1" strike="noStrike">
              <a:solidFill>
                <a:srgbClr val="000000"/>
              </a:solidFill>
              <a:latin typeface="Calibri"/>
            </a:rPr>
            <a:t>8</a:t>
          </a:r>
          <a:endParaRPr b="0" lang="en-PH" sz="1100" spc="-1" strike="noStrike">
            <a:latin typeface="Times New Roman"/>
          </a:endParaRPr>
        </a:p>
      </xdr:txBody>
    </xdr:sp>
    <xdr:clientData/>
  </xdr:twoCellAnchor>
  <xdr:twoCellAnchor editAs="oneCell">
    <xdr:from>
      <xdr:col>25</xdr:col>
      <xdr:colOff>10440</xdr:colOff>
      <xdr:row>8</xdr:row>
      <xdr:rowOff>9360</xdr:rowOff>
    </xdr:from>
    <xdr:to>
      <xdr:col>25</xdr:col>
      <xdr:colOff>281880</xdr:colOff>
      <xdr:row>9</xdr:row>
      <xdr:rowOff>9360</xdr:rowOff>
    </xdr:to>
    <xdr:sp>
      <xdr:nvSpPr>
        <xdr:cNvPr id="36" name="CustomShape 1"/>
        <xdr:cNvSpPr/>
      </xdr:nvSpPr>
      <xdr:spPr>
        <a:xfrm>
          <a:off x="8793000" y="2295360"/>
          <a:ext cx="271440" cy="304560"/>
        </a:xfrm>
        <a:custGeom>
          <a:avLst/>
          <a:gdLst/>
          <a:ahLst/>
          <a:rect l="l" t="t" r="r" b="b"/>
          <a:pathLst>
            <a:path w="21600" h="21600">
              <a:moveTo>
                <a:pt x="0" y="0"/>
              </a:moveTo>
              <a:lnTo>
                <a:pt x="21600" y="0"/>
              </a:lnTo>
              <a:lnTo>
                <a:pt x="21600" y="21600"/>
              </a:lnTo>
              <a:lnTo>
                <a:pt x="0" y="21600"/>
              </a:lnTo>
              <a:lnTo>
                <a:pt x="0" y="0"/>
              </a:lnTo>
              <a:close/>
            </a:path>
          </a:pathLst>
        </a:custGeom>
        <a:solidFill>
          <a:srgbClr val="ffffff"/>
        </a:solidFill>
        <a:ln>
          <a:noFill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ctr"/>
        <a:p>
          <a:r>
            <a:rPr b="1" lang="en-PH" sz="1100" spc="-1" strike="noStrike">
              <a:solidFill>
                <a:srgbClr val="000000"/>
              </a:solidFill>
              <a:latin typeface="Calibri"/>
            </a:rPr>
            <a:t>9</a:t>
          </a:r>
          <a:endParaRPr b="0" lang="en-PH" sz="1100" spc="-1" strike="noStrike">
            <a:latin typeface="Times New Roman"/>
          </a:endParaRPr>
        </a:p>
      </xdr:txBody>
    </xdr:sp>
    <xdr:clientData/>
  </xdr:twoCellAnchor>
  <xdr:twoCellAnchor editAs="oneCell">
    <xdr:from>
      <xdr:col>27</xdr:col>
      <xdr:colOff>360</xdr:colOff>
      <xdr:row>8</xdr:row>
      <xdr:rowOff>0</xdr:rowOff>
    </xdr:from>
    <xdr:to>
      <xdr:col>27</xdr:col>
      <xdr:colOff>271800</xdr:colOff>
      <xdr:row>8</xdr:row>
      <xdr:rowOff>304920</xdr:rowOff>
    </xdr:to>
    <xdr:sp>
      <xdr:nvSpPr>
        <xdr:cNvPr id="37" name="CustomShape 1"/>
        <xdr:cNvSpPr/>
      </xdr:nvSpPr>
      <xdr:spPr>
        <a:xfrm>
          <a:off x="9204480" y="2286000"/>
          <a:ext cx="271440" cy="304920"/>
        </a:xfrm>
        <a:custGeom>
          <a:avLst/>
          <a:gdLst/>
          <a:ahLst/>
          <a:rect l="l" t="t" r="r" b="b"/>
          <a:pathLst>
            <a:path w="21600" h="21600">
              <a:moveTo>
                <a:pt x="0" y="0"/>
              </a:moveTo>
              <a:lnTo>
                <a:pt x="21600" y="0"/>
              </a:lnTo>
              <a:lnTo>
                <a:pt x="21600" y="21600"/>
              </a:lnTo>
              <a:lnTo>
                <a:pt x="0" y="21600"/>
              </a:lnTo>
              <a:lnTo>
                <a:pt x="0" y="0"/>
              </a:lnTo>
              <a:close/>
            </a:path>
          </a:pathLst>
        </a:custGeom>
        <a:solidFill>
          <a:srgbClr val="ffffff"/>
        </a:solidFill>
        <a:ln w="9360">
          <a:solidFill>
            <a:srgbClr val="4c4c4c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9000" rIns="9000" tIns="46800" bIns="46800" anchor="ctr"/>
        <a:p>
          <a:pPr algn="ctr"/>
          <a:r>
            <a:rPr b="1" lang="en-PH" sz="1100" spc="-1" strike="noStrike">
              <a:solidFill>
                <a:srgbClr val="000000"/>
              </a:solidFill>
              <a:latin typeface="Calibri"/>
            </a:rPr>
            <a:t>10</a:t>
          </a:r>
          <a:endParaRPr b="0" lang="en-PH" sz="1100" spc="-1" strike="noStrike">
            <a:latin typeface="Times New Roman"/>
          </a:endParaRPr>
        </a:p>
      </xdr:txBody>
    </xdr:sp>
    <xdr:clientData/>
  </xdr:twoCellAnchor>
  <xdr:twoCellAnchor editAs="oneCell">
    <xdr:from>
      <xdr:col>31</xdr:col>
      <xdr:colOff>10440</xdr:colOff>
      <xdr:row>8</xdr:row>
      <xdr:rowOff>0</xdr:rowOff>
    </xdr:from>
    <xdr:to>
      <xdr:col>32</xdr:col>
      <xdr:colOff>11160</xdr:colOff>
      <xdr:row>8</xdr:row>
      <xdr:rowOff>304920</xdr:rowOff>
    </xdr:to>
    <xdr:sp>
      <xdr:nvSpPr>
        <xdr:cNvPr id="38" name="CustomShape 1"/>
        <xdr:cNvSpPr/>
      </xdr:nvSpPr>
      <xdr:spPr>
        <a:xfrm>
          <a:off x="10792440" y="2286000"/>
          <a:ext cx="312120" cy="304920"/>
        </a:xfrm>
        <a:custGeom>
          <a:avLst/>
          <a:gdLst/>
          <a:ahLst/>
          <a:rect l="l" t="t" r="r" b="b"/>
          <a:pathLst>
            <a:path w="21600" h="21600">
              <a:moveTo>
                <a:pt x="0" y="0"/>
              </a:moveTo>
              <a:lnTo>
                <a:pt x="21600" y="0"/>
              </a:lnTo>
              <a:lnTo>
                <a:pt x="21600" y="21600"/>
              </a:lnTo>
              <a:lnTo>
                <a:pt x="0" y="21600"/>
              </a:lnTo>
              <a:lnTo>
                <a:pt x="0" y="0"/>
              </a:lnTo>
              <a:close/>
            </a:path>
          </a:pathLst>
        </a:custGeom>
        <a:solidFill>
          <a:srgbClr val="ffffff"/>
        </a:solidFill>
        <a:ln w="9360">
          <a:solidFill>
            <a:srgbClr val="4c4c4c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9000" rIns="9000" tIns="46800" bIns="46800" anchor="ctr"/>
        <a:p>
          <a:pPr algn="ctr"/>
          <a:r>
            <a:rPr b="1" lang="en-PH" sz="1100" spc="-1" strike="noStrike">
              <a:solidFill>
                <a:srgbClr val="000000"/>
              </a:solidFill>
              <a:latin typeface="Calibri"/>
            </a:rPr>
            <a:t>11</a:t>
          </a:r>
          <a:endParaRPr b="0" lang="en-PH" sz="1100" spc="-1" strike="noStrike">
            <a:latin typeface="Times New Roman"/>
          </a:endParaRPr>
        </a:p>
      </xdr:txBody>
    </xdr:sp>
    <xdr:clientData/>
  </xdr:twoCellAnchor>
  <xdr:twoCellAnchor editAs="oneCell">
    <xdr:from>
      <xdr:col>16</xdr:col>
      <xdr:colOff>162000</xdr:colOff>
      <xdr:row>29</xdr:row>
      <xdr:rowOff>0</xdr:rowOff>
    </xdr:from>
    <xdr:to>
      <xdr:col>17</xdr:col>
      <xdr:colOff>211320</xdr:colOff>
      <xdr:row>29</xdr:row>
      <xdr:rowOff>0</xdr:rowOff>
    </xdr:to>
    <xdr:sp>
      <xdr:nvSpPr>
        <xdr:cNvPr id="39" name="Line 1"/>
        <xdr:cNvSpPr/>
      </xdr:nvSpPr>
      <xdr:spPr>
        <a:xfrm>
          <a:off x="1942200" y="6676920"/>
          <a:ext cx="1790640" cy="0"/>
        </a:xfrm>
        <a:prstGeom prst="line">
          <a:avLst/>
        </a:prstGeom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19</xdr:col>
      <xdr:colOff>121680</xdr:colOff>
      <xdr:row>29</xdr:row>
      <xdr:rowOff>9720</xdr:rowOff>
    </xdr:from>
    <xdr:to>
      <xdr:col>21</xdr:col>
      <xdr:colOff>191160</xdr:colOff>
      <xdr:row>29</xdr:row>
      <xdr:rowOff>9720</xdr:rowOff>
    </xdr:to>
    <xdr:sp>
      <xdr:nvSpPr>
        <xdr:cNvPr id="40" name="Line 1"/>
        <xdr:cNvSpPr/>
      </xdr:nvSpPr>
      <xdr:spPr>
        <a:xfrm>
          <a:off x="5796360" y="6686640"/>
          <a:ext cx="1840680" cy="0"/>
        </a:xfrm>
        <a:prstGeom prst="line">
          <a:avLst/>
        </a:prstGeom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23</xdr:col>
      <xdr:colOff>130680</xdr:colOff>
      <xdr:row>29</xdr:row>
      <xdr:rowOff>0</xdr:rowOff>
    </xdr:from>
    <xdr:to>
      <xdr:col>27</xdr:col>
      <xdr:colOff>221760</xdr:colOff>
      <xdr:row>29</xdr:row>
      <xdr:rowOff>0</xdr:rowOff>
    </xdr:to>
    <xdr:sp>
      <xdr:nvSpPr>
        <xdr:cNvPr id="41" name="Line 1"/>
        <xdr:cNvSpPr/>
      </xdr:nvSpPr>
      <xdr:spPr>
        <a:xfrm>
          <a:off x="8411040" y="6676920"/>
          <a:ext cx="1014840" cy="0"/>
        </a:xfrm>
        <a:prstGeom prst="line">
          <a:avLst/>
        </a:prstGeom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21</xdr:col>
      <xdr:colOff>0</xdr:colOff>
      <xdr:row>23</xdr:row>
      <xdr:rowOff>0</xdr:rowOff>
    </xdr:from>
    <xdr:to>
      <xdr:col>21</xdr:col>
      <xdr:colOff>271440</xdr:colOff>
      <xdr:row>23</xdr:row>
      <xdr:rowOff>380880</xdr:rowOff>
    </xdr:to>
    <xdr:sp>
      <xdr:nvSpPr>
        <xdr:cNvPr id="42" name="CustomShape 1"/>
        <xdr:cNvSpPr/>
      </xdr:nvSpPr>
      <xdr:spPr>
        <a:xfrm>
          <a:off x="7445880" y="4905360"/>
          <a:ext cx="271440" cy="380880"/>
        </a:xfrm>
        <a:custGeom>
          <a:avLst/>
          <a:gdLst/>
          <a:ahLst/>
          <a:rect l="l" t="t" r="r" b="b"/>
          <a:pathLst>
            <a:path w="21600" h="21600">
              <a:moveTo>
                <a:pt x="0" y="0"/>
              </a:moveTo>
              <a:lnTo>
                <a:pt x="21600" y="0"/>
              </a:lnTo>
              <a:lnTo>
                <a:pt x="21600" y="21600"/>
              </a:lnTo>
              <a:lnTo>
                <a:pt x="0" y="21600"/>
              </a:lnTo>
              <a:lnTo>
                <a:pt x="0" y="0"/>
              </a:lnTo>
              <a:close/>
            </a:path>
          </a:pathLst>
        </a:custGeom>
        <a:solidFill>
          <a:srgbClr val="ffffff"/>
        </a:solidFill>
        <a:ln w="9360">
          <a:solidFill>
            <a:srgbClr val="4c4c4c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9000" rIns="9000" tIns="46800" bIns="46800" anchor="ctr"/>
        <a:p>
          <a:pPr algn="ctr"/>
          <a:r>
            <a:rPr b="1" lang="en-PH" sz="1100" spc="-1" strike="noStrike">
              <a:solidFill>
                <a:srgbClr val="000000"/>
              </a:solidFill>
              <a:latin typeface="Calibri"/>
            </a:rPr>
            <a:t>14</a:t>
          </a:r>
          <a:endParaRPr b="0" lang="en-PH" sz="1100" spc="-1" strike="noStrike">
            <a:latin typeface="Times New Roman"/>
          </a:endParaRPr>
        </a:p>
      </xdr:txBody>
    </xdr:sp>
    <xdr:clientData/>
  </xdr:twoCellAnchor>
  <xdr:twoCellAnchor editAs="oneCell">
    <xdr:from>
      <xdr:col>23</xdr:col>
      <xdr:colOff>351720</xdr:colOff>
      <xdr:row>25</xdr:row>
      <xdr:rowOff>77040</xdr:rowOff>
    </xdr:from>
    <xdr:to>
      <xdr:col>25</xdr:col>
      <xdr:colOff>392400</xdr:colOff>
      <xdr:row>25</xdr:row>
      <xdr:rowOff>77760</xdr:rowOff>
    </xdr:to>
    <xdr:cxnSp>
      <xdr:nvCxnSpPr>
        <xdr:cNvPr id="43" name="Line 1"/>
        <xdr:cNvCxnSpPr/>
        <xdr:nvPr/>
      </xdr:nvCxnSpPr>
      <xdr:spPr>
        <a:xfrm>
          <a:off x="8632080" y="5763240"/>
          <a:ext cx="543240" cy="1080"/>
        </a:xfrm>
        <a:prstGeom prst="straightConnector1">
          <a:avLst/>
        </a:prstGeom>
        <a:ln w="9360">
          <a:solidFill>
            <a:srgbClr val="000000"/>
          </a:solidFill>
          <a:miter/>
          <a:tailEnd len="med" type="arrow" w="med"/>
        </a:ln>
      </xdr:spPr>
    </xdr:cxnSp>
    <xdr:clientData/>
  </xdr:twoCellAnchor>
  <xdr:twoCellAnchor editAs="oneCell">
    <xdr:from>
      <xdr:col>20</xdr:col>
      <xdr:colOff>360</xdr:colOff>
      <xdr:row>3</xdr:row>
      <xdr:rowOff>0</xdr:rowOff>
    </xdr:from>
    <xdr:to>
      <xdr:col>21</xdr:col>
      <xdr:colOff>251640</xdr:colOff>
      <xdr:row>4</xdr:row>
      <xdr:rowOff>114840</xdr:rowOff>
    </xdr:to>
    <xdr:sp>
      <xdr:nvSpPr>
        <xdr:cNvPr id="44" name="CustomShape 1"/>
        <xdr:cNvSpPr/>
      </xdr:nvSpPr>
      <xdr:spPr>
        <a:xfrm>
          <a:off x="7426440" y="1380960"/>
          <a:ext cx="271080" cy="305280"/>
        </a:xfrm>
        <a:custGeom>
          <a:avLst/>
          <a:gdLst/>
          <a:ahLst/>
          <a:rect l="l" t="t" r="r" b="b"/>
          <a:pathLst>
            <a:path w="21600" h="21600">
              <a:moveTo>
                <a:pt x="0" y="0"/>
              </a:moveTo>
              <a:lnTo>
                <a:pt x="21600" y="0"/>
              </a:lnTo>
              <a:lnTo>
                <a:pt x="21600" y="21600"/>
              </a:lnTo>
              <a:lnTo>
                <a:pt x="0" y="21600"/>
              </a:lnTo>
              <a:lnTo>
                <a:pt x="0" y="0"/>
              </a:lnTo>
              <a:close/>
            </a:path>
          </a:pathLst>
        </a:custGeom>
        <a:solidFill>
          <a:srgbClr val="ffffff"/>
        </a:solidFill>
        <a:ln w="9360">
          <a:solidFill>
            <a:srgbClr val="4c4c4c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ctr"/>
        <a:p>
          <a:r>
            <a:rPr b="1" lang="en-PH" sz="1100" spc="-1" strike="noStrike">
              <a:solidFill>
                <a:srgbClr val="000000"/>
              </a:solidFill>
              <a:latin typeface="Calibri"/>
            </a:rPr>
            <a:t>3</a:t>
          </a:r>
          <a:endParaRPr b="0" lang="en-PH" sz="1100" spc="-1" strike="noStrike">
            <a:latin typeface="Times New Roman"/>
          </a:endParaRPr>
        </a:p>
      </xdr:txBody>
    </xdr:sp>
    <xdr:clientData/>
  </xdr:twoCellAnchor>
  <xdr:twoCellAnchor editAs="oneCell">
    <xdr:from>
      <xdr:col>25</xdr:col>
      <xdr:colOff>0</xdr:colOff>
      <xdr:row>3</xdr:row>
      <xdr:rowOff>0</xdr:rowOff>
    </xdr:from>
    <xdr:to>
      <xdr:col>25</xdr:col>
      <xdr:colOff>271800</xdr:colOff>
      <xdr:row>4</xdr:row>
      <xdr:rowOff>114840</xdr:rowOff>
    </xdr:to>
    <xdr:sp>
      <xdr:nvSpPr>
        <xdr:cNvPr id="45" name="CustomShape 1"/>
        <xdr:cNvSpPr/>
      </xdr:nvSpPr>
      <xdr:spPr>
        <a:xfrm>
          <a:off x="8782560" y="1380960"/>
          <a:ext cx="271800" cy="305280"/>
        </a:xfrm>
        <a:custGeom>
          <a:avLst/>
          <a:gdLst/>
          <a:ahLst/>
          <a:rect l="l" t="t" r="r" b="b"/>
          <a:pathLst>
            <a:path w="21600" h="21600">
              <a:moveTo>
                <a:pt x="0" y="0"/>
              </a:moveTo>
              <a:lnTo>
                <a:pt x="21600" y="0"/>
              </a:lnTo>
              <a:lnTo>
                <a:pt x="21600" y="21600"/>
              </a:lnTo>
              <a:lnTo>
                <a:pt x="0" y="21600"/>
              </a:lnTo>
              <a:lnTo>
                <a:pt x="0" y="0"/>
              </a:lnTo>
              <a:close/>
            </a:path>
          </a:pathLst>
        </a:custGeom>
        <a:solidFill>
          <a:srgbClr val="ffffff"/>
        </a:solidFill>
        <a:ln w="9360">
          <a:solidFill>
            <a:srgbClr val="4c4c4c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ctr"/>
        <a:p>
          <a:r>
            <a:rPr b="1" lang="en-PH" sz="1100" spc="-1" strike="noStrike">
              <a:solidFill>
                <a:srgbClr val="000000"/>
              </a:solidFill>
              <a:latin typeface="Calibri"/>
            </a:rPr>
            <a:t>4</a:t>
          </a:r>
          <a:endParaRPr b="0" lang="en-PH" sz="1100" spc="-1" strike="noStrike">
            <a:latin typeface="Times New Roman"/>
          </a:endParaRPr>
        </a:p>
      </xdr:txBody>
    </xdr:sp>
    <xdr:clientData/>
  </xdr:twoCellAnchor>
  <xdr:twoCellAnchor editAs="oneCell">
    <xdr:from>
      <xdr:col>31</xdr:col>
      <xdr:colOff>360</xdr:colOff>
      <xdr:row>3</xdr:row>
      <xdr:rowOff>0</xdr:rowOff>
    </xdr:from>
    <xdr:to>
      <xdr:col>31</xdr:col>
      <xdr:colOff>261720</xdr:colOff>
      <xdr:row>4</xdr:row>
      <xdr:rowOff>114840</xdr:rowOff>
    </xdr:to>
    <xdr:sp>
      <xdr:nvSpPr>
        <xdr:cNvPr id="46" name="CustomShape 1"/>
        <xdr:cNvSpPr/>
      </xdr:nvSpPr>
      <xdr:spPr>
        <a:xfrm>
          <a:off x="10782360" y="1380960"/>
          <a:ext cx="261360" cy="305280"/>
        </a:xfrm>
        <a:custGeom>
          <a:avLst/>
          <a:gdLst/>
          <a:ahLst/>
          <a:rect l="l" t="t" r="r" b="b"/>
          <a:pathLst>
            <a:path w="21600" h="21600">
              <a:moveTo>
                <a:pt x="0" y="0"/>
              </a:moveTo>
              <a:lnTo>
                <a:pt x="21600" y="0"/>
              </a:lnTo>
              <a:lnTo>
                <a:pt x="21600" y="21600"/>
              </a:lnTo>
              <a:lnTo>
                <a:pt x="0" y="21600"/>
              </a:lnTo>
              <a:lnTo>
                <a:pt x="0" y="0"/>
              </a:lnTo>
              <a:close/>
            </a:path>
          </a:pathLst>
        </a:custGeom>
        <a:solidFill>
          <a:srgbClr val="ffffff"/>
        </a:solidFill>
        <a:ln w="9360">
          <a:solidFill>
            <a:srgbClr val="4c4c4c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ctr"/>
        <a:p>
          <a:r>
            <a:rPr b="1" lang="en-PH" sz="1100" spc="-1" strike="noStrike">
              <a:solidFill>
                <a:srgbClr val="000000"/>
              </a:solidFill>
              <a:latin typeface="Calibri"/>
            </a:rPr>
            <a:t>5</a:t>
          </a:r>
          <a:endParaRPr b="0" lang="en-PH" sz="1100" spc="-1" strike="noStrike">
            <a:latin typeface="Times New Roman"/>
          </a:endParaRPr>
        </a:p>
      </xdr:txBody>
    </xdr:sp>
    <xdr:clientData/>
  </xdr:twoCellAnchor>
  <xdr:twoCellAnchor editAs="oneCell">
    <xdr:from>
      <xdr:col>31</xdr:col>
      <xdr:colOff>10440</xdr:colOff>
      <xdr:row>23</xdr:row>
      <xdr:rowOff>19440</xdr:rowOff>
    </xdr:from>
    <xdr:to>
      <xdr:col>31</xdr:col>
      <xdr:colOff>271800</xdr:colOff>
      <xdr:row>23</xdr:row>
      <xdr:rowOff>266400</xdr:rowOff>
    </xdr:to>
    <xdr:sp>
      <xdr:nvSpPr>
        <xdr:cNvPr id="47" name="CustomShape 1"/>
        <xdr:cNvSpPr/>
      </xdr:nvSpPr>
      <xdr:spPr>
        <a:xfrm>
          <a:off x="10792440" y="4924800"/>
          <a:ext cx="261360" cy="246960"/>
        </a:xfrm>
        <a:custGeom>
          <a:avLst/>
          <a:gdLst/>
          <a:ahLst/>
          <a:rect l="l" t="t" r="r" b="b"/>
          <a:pathLst>
            <a:path w="21600" h="21600">
              <a:moveTo>
                <a:pt x="0" y="0"/>
              </a:moveTo>
              <a:lnTo>
                <a:pt x="21600" y="0"/>
              </a:lnTo>
              <a:lnTo>
                <a:pt x="21600" y="21600"/>
              </a:lnTo>
              <a:lnTo>
                <a:pt x="0" y="21600"/>
              </a:lnTo>
              <a:lnTo>
                <a:pt x="0" y="0"/>
              </a:lnTo>
              <a:close/>
            </a:path>
          </a:pathLst>
        </a:custGeom>
        <a:solidFill>
          <a:srgbClr val="ffffff"/>
        </a:solidFill>
        <a:ln>
          <a:noFill/>
        </a:ln>
      </xdr:spPr>
      <xdr:style>
        <a:lnRef idx="0"/>
        <a:fillRef idx="0"/>
        <a:effectRef idx="0"/>
        <a:fontRef idx="minor"/>
      </xdr:style>
      <xdr:txBody>
        <a:bodyPr lIns="9000" rIns="9000" tIns="46800" bIns="46800" anchor="ctr"/>
        <a:p>
          <a:pPr algn="ctr"/>
          <a:r>
            <a:rPr b="1" lang="en-PH" sz="1100" spc="-1" strike="noStrike">
              <a:solidFill>
                <a:srgbClr val="000000"/>
              </a:solidFill>
              <a:latin typeface="Calibri"/>
            </a:rPr>
            <a:t>15</a:t>
          </a:r>
          <a:endParaRPr b="0" lang="en-PH" sz="1100" spc="-1" strike="noStrike">
            <a:latin typeface="Times New Roman"/>
          </a:endParaRPr>
        </a:p>
      </xdr:txBody>
    </xdr:sp>
    <xdr:clientData/>
  </xdr:twoCellAnchor>
  <xdr:twoCellAnchor editAs="oneCell">
    <xdr:from>
      <xdr:col>0</xdr:col>
      <xdr:colOff>0</xdr:colOff>
      <xdr:row>23</xdr:row>
      <xdr:rowOff>0</xdr:rowOff>
    </xdr:from>
    <xdr:to>
      <xdr:col>0</xdr:col>
      <xdr:colOff>271440</xdr:colOff>
      <xdr:row>23</xdr:row>
      <xdr:rowOff>380880</xdr:rowOff>
    </xdr:to>
    <xdr:sp>
      <xdr:nvSpPr>
        <xdr:cNvPr id="48" name="CustomShape 1"/>
        <xdr:cNvSpPr/>
      </xdr:nvSpPr>
      <xdr:spPr>
        <a:xfrm>
          <a:off x="0" y="4905360"/>
          <a:ext cx="271440" cy="380880"/>
        </a:xfrm>
        <a:custGeom>
          <a:avLst/>
          <a:gdLst/>
          <a:ahLst/>
          <a:rect l="l" t="t" r="r" b="b"/>
          <a:pathLst>
            <a:path w="21600" h="21600">
              <a:moveTo>
                <a:pt x="0" y="0"/>
              </a:moveTo>
              <a:lnTo>
                <a:pt x="21600" y="0"/>
              </a:lnTo>
              <a:lnTo>
                <a:pt x="21600" y="21600"/>
              </a:lnTo>
              <a:lnTo>
                <a:pt x="0" y="21600"/>
              </a:lnTo>
              <a:lnTo>
                <a:pt x="0" y="0"/>
              </a:lnTo>
              <a:close/>
            </a:path>
          </a:pathLst>
        </a:custGeom>
        <a:solidFill>
          <a:srgbClr val="ffffff"/>
        </a:solidFill>
        <a:ln w="9360">
          <a:solidFill>
            <a:srgbClr val="4c4c4c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9000" rIns="9000" tIns="46800" bIns="46800" anchor="ctr"/>
        <a:p>
          <a:pPr algn="ctr"/>
          <a:r>
            <a:rPr b="1" lang="en-PH" sz="1100" spc="-1" strike="noStrike">
              <a:solidFill>
                <a:srgbClr val="000000"/>
              </a:solidFill>
              <a:latin typeface="Calibri"/>
            </a:rPr>
            <a:t>12</a:t>
          </a:r>
          <a:endParaRPr b="0" lang="en-PH" sz="1100" spc="-1" strike="noStrike">
            <a:latin typeface="Times New Roman"/>
          </a:endParaRPr>
        </a:p>
      </xdr:txBody>
    </xdr:sp>
    <xdr:clientData/>
  </xdr:twoCellAnchor>
  <xdr:twoCellAnchor editAs="oneCell">
    <xdr:from>
      <xdr:col>0</xdr:col>
      <xdr:colOff>0</xdr:colOff>
      <xdr:row>27</xdr:row>
      <xdr:rowOff>0</xdr:rowOff>
    </xdr:from>
    <xdr:to>
      <xdr:col>0</xdr:col>
      <xdr:colOff>271440</xdr:colOff>
      <xdr:row>28</xdr:row>
      <xdr:rowOff>143280</xdr:rowOff>
    </xdr:to>
    <xdr:sp>
      <xdr:nvSpPr>
        <xdr:cNvPr id="49" name="CustomShape 1"/>
        <xdr:cNvSpPr/>
      </xdr:nvSpPr>
      <xdr:spPr>
        <a:xfrm>
          <a:off x="0" y="6153120"/>
          <a:ext cx="271440" cy="304920"/>
        </a:xfrm>
        <a:custGeom>
          <a:avLst/>
          <a:gdLst/>
          <a:ahLst/>
          <a:rect l="l" t="t" r="r" b="b"/>
          <a:pathLst>
            <a:path w="21600" h="21600">
              <a:moveTo>
                <a:pt x="0" y="0"/>
              </a:moveTo>
              <a:lnTo>
                <a:pt x="21600" y="0"/>
              </a:lnTo>
              <a:lnTo>
                <a:pt x="21600" y="21600"/>
              </a:lnTo>
              <a:lnTo>
                <a:pt x="0" y="21600"/>
              </a:lnTo>
              <a:lnTo>
                <a:pt x="0" y="0"/>
              </a:lnTo>
              <a:close/>
            </a:path>
          </a:pathLst>
        </a:custGeom>
        <a:solidFill>
          <a:srgbClr val="ffffff"/>
        </a:solidFill>
        <a:ln w="9360">
          <a:solidFill>
            <a:srgbClr val="4c4c4c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9000" rIns="9000" tIns="46800" bIns="46800" anchor="ctr"/>
        <a:p>
          <a:pPr algn="ctr"/>
          <a:r>
            <a:rPr b="1" lang="en-PH" sz="1100" spc="-1" strike="noStrike">
              <a:solidFill>
                <a:srgbClr val="000000"/>
              </a:solidFill>
              <a:latin typeface="Calibri"/>
            </a:rPr>
            <a:t>16</a:t>
          </a:r>
          <a:endParaRPr b="0" lang="en-PH" sz="1100" spc="-1" strike="noStrike">
            <a:latin typeface="Times New Roman"/>
          </a:endParaRPr>
        </a:p>
      </xdr:txBody>
    </xdr:sp>
    <xdr:clientData/>
  </xdr:twoCellAnchor>
  <xdr:twoCellAnchor editAs="oneCell">
    <xdr:from>
      <xdr:col>7</xdr:col>
      <xdr:colOff>0</xdr:colOff>
      <xdr:row>23</xdr:row>
      <xdr:rowOff>0</xdr:rowOff>
    </xdr:from>
    <xdr:to>
      <xdr:col>9</xdr:col>
      <xdr:colOff>39960</xdr:colOff>
      <xdr:row>23</xdr:row>
      <xdr:rowOff>380880</xdr:rowOff>
    </xdr:to>
    <xdr:sp>
      <xdr:nvSpPr>
        <xdr:cNvPr id="50" name="CustomShape 1"/>
        <xdr:cNvSpPr/>
      </xdr:nvSpPr>
      <xdr:spPr>
        <a:xfrm>
          <a:off x="800640" y="4905360"/>
          <a:ext cx="280080" cy="380880"/>
        </a:xfrm>
        <a:custGeom>
          <a:avLst/>
          <a:gdLst/>
          <a:ahLst/>
          <a:rect l="l" t="t" r="r" b="b"/>
          <a:pathLst>
            <a:path w="21600" h="21600">
              <a:moveTo>
                <a:pt x="0" y="0"/>
              </a:moveTo>
              <a:lnTo>
                <a:pt x="21600" y="0"/>
              </a:lnTo>
              <a:lnTo>
                <a:pt x="21600" y="21600"/>
              </a:lnTo>
              <a:lnTo>
                <a:pt x="0" y="21600"/>
              </a:lnTo>
              <a:lnTo>
                <a:pt x="0" y="0"/>
              </a:lnTo>
              <a:close/>
            </a:path>
          </a:pathLst>
        </a:custGeom>
        <a:solidFill>
          <a:srgbClr val="ffffff"/>
        </a:solidFill>
        <a:ln w="9360">
          <a:solidFill>
            <a:srgbClr val="4c4c4c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9000" rIns="9000" tIns="46800" bIns="46800" anchor="ctr"/>
        <a:p>
          <a:pPr algn="ctr"/>
          <a:r>
            <a:rPr b="1" lang="en-PH" sz="1100" spc="-1" strike="noStrike">
              <a:solidFill>
                <a:srgbClr val="000000"/>
              </a:solidFill>
              <a:latin typeface="Calibri"/>
            </a:rPr>
            <a:t>13</a:t>
          </a:r>
          <a:endParaRPr b="0" lang="en-PH" sz="1100" spc="-1" strike="noStrike">
            <a:latin typeface="Times New Roman"/>
          </a:endParaRPr>
        </a:p>
      </xdr:txBody>
    </xdr:sp>
    <xdr:clientData/>
  </xdr:twoCellAnchor>
  <xdr:twoCellAnchor editAs="oneCell">
    <xdr:from>
      <xdr:col>31</xdr:col>
      <xdr:colOff>241200</xdr:colOff>
      <xdr:row>23</xdr:row>
      <xdr:rowOff>238320</xdr:rowOff>
    </xdr:from>
    <xdr:to>
      <xdr:col>32</xdr:col>
      <xdr:colOff>946080</xdr:colOff>
      <xdr:row>24</xdr:row>
      <xdr:rowOff>9360</xdr:rowOff>
    </xdr:to>
    <xdr:sp>
      <xdr:nvSpPr>
        <xdr:cNvPr id="51" name="CustomShape 1"/>
        <xdr:cNvSpPr/>
      </xdr:nvSpPr>
      <xdr:spPr>
        <a:xfrm>
          <a:off x="11023200" y="5143680"/>
          <a:ext cx="1016280" cy="151920"/>
        </a:xfrm>
        <a:custGeom>
          <a:avLst/>
          <a:gdLst/>
          <a:ahLst/>
          <a:rect l="l" t="t" r="r" b="b"/>
          <a:pathLst>
            <a:path w="21600" h="21600">
              <a:moveTo>
                <a:pt x="0" y="0"/>
              </a:moveTo>
              <a:lnTo>
                <a:pt x="21600" y="0"/>
              </a:lnTo>
              <a:lnTo>
                <a:pt x="21600" y="21600"/>
              </a:lnTo>
              <a:lnTo>
                <a:pt x="0" y="21600"/>
              </a:lnTo>
              <a:lnTo>
                <a:pt x="0" y="0"/>
              </a:lnTo>
              <a:close/>
            </a:path>
          </a:pathLst>
        </a:custGeom>
        <a:solidFill>
          <a:srgbClr val="ffffff"/>
        </a:solidFill>
        <a:ln>
          <a:noFill/>
        </a:ln>
      </xdr:spPr>
      <xdr:style>
        <a:lnRef idx="0"/>
        <a:fillRef idx="0"/>
        <a:effectRef idx="0"/>
        <a:fontRef idx="minor"/>
      </xdr:style>
      <xdr:txBody>
        <a:bodyPr lIns="9000" rIns="9000" tIns="46800" bIns="46800" anchor="ctr"/>
        <a:p>
          <a:r>
            <a:rPr b="1" lang="en-PH" sz="500" spc="-1" strike="noStrike">
              <a:solidFill>
                <a:srgbClr val="000000"/>
              </a:solidFill>
              <a:latin typeface="Calibri"/>
            </a:rPr>
            <a:t>SIGNATURE OVER PRINTED NAME</a:t>
          </a:r>
          <a:endParaRPr b="0" lang="en-PH" sz="500" spc="-1" strike="noStrike">
            <a:latin typeface="Times New Roman"/>
          </a:endParaRPr>
        </a:p>
      </xdr:txBody>
    </xdr:sp>
    <xdr:clientData/>
  </xdr:twoCellAnchor>
  <xdr:twoCellAnchor editAs="oneCell">
    <xdr:from>
      <xdr:col>31</xdr:col>
      <xdr:colOff>130680</xdr:colOff>
      <xdr:row>24</xdr:row>
      <xdr:rowOff>258120</xdr:rowOff>
    </xdr:from>
    <xdr:to>
      <xdr:col>32</xdr:col>
      <xdr:colOff>846000</xdr:colOff>
      <xdr:row>24</xdr:row>
      <xdr:rowOff>371880</xdr:rowOff>
    </xdr:to>
    <xdr:sp>
      <xdr:nvSpPr>
        <xdr:cNvPr id="52" name="CustomShape 1"/>
        <xdr:cNvSpPr/>
      </xdr:nvSpPr>
      <xdr:spPr>
        <a:xfrm>
          <a:off x="10912680" y="5544360"/>
          <a:ext cx="1026720" cy="113760"/>
        </a:xfrm>
        <a:custGeom>
          <a:avLst/>
          <a:gdLst/>
          <a:ahLst/>
          <a:rect l="l" t="t" r="r" b="b"/>
          <a:pathLst>
            <a:path w="21600" h="21600">
              <a:moveTo>
                <a:pt x="0" y="0"/>
              </a:moveTo>
              <a:lnTo>
                <a:pt x="21600" y="0"/>
              </a:lnTo>
              <a:lnTo>
                <a:pt x="21600" y="21600"/>
              </a:lnTo>
              <a:lnTo>
                <a:pt x="0" y="21600"/>
              </a:lnTo>
              <a:lnTo>
                <a:pt x="0" y="0"/>
              </a:lnTo>
              <a:close/>
            </a:path>
          </a:pathLst>
        </a:custGeom>
        <a:solidFill>
          <a:srgbClr val="ffffff"/>
        </a:solidFill>
        <a:ln>
          <a:noFill/>
        </a:ln>
      </xdr:spPr>
      <xdr:style>
        <a:lnRef idx="0"/>
        <a:fillRef idx="0"/>
        <a:effectRef idx="0"/>
        <a:fontRef idx="minor"/>
      </xdr:style>
      <xdr:txBody>
        <a:bodyPr lIns="9000" rIns="9000" tIns="46800" bIns="46800" anchor="ctr"/>
        <a:p>
          <a:pPr algn="ctr"/>
          <a:r>
            <a:rPr b="1" lang="en-PH" sz="500" spc="-1" strike="noStrike">
              <a:solidFill>
                <a:srgbClr val="000000"/>
              </a:solidFill>
              <a:latin typeface="Calibri"/>
            </a:rPr>
            <a:t>OFFICIAL DESIGNATION</a:t>
          </a:r>
          <a:endParaRPr b="0" lang="en-PH" sz="500" spc="-1" strike="noStrike">
            <a:latin typeface="Times New Roman"/>
          </a:endParaRPr>
        </a:p>
      </xdr:txBody>
    </xdr:sp>
    <xdr:clientData/>
  </xdr:twoCellAnchor>
  <xdr:twoCellAnchor editAs="oneCell">
    <xdr:from>
      <xdr:col>31</xdr:col>
      <xdr:colOff>120600</xdr:colOff>
      <xdr:row>25</xdr:row>
      <xdr:rowOff>286560</xdr:rowOff>
    </xdr:from>
    <xdr:to>
      <xdr:col>32</xdr:col>
      <xdr:colOff>825480</xdr:colOff>
      <xdr:row>25</xdr:row>
      <xdr:rowOff>428760</xdr:rowOff>
    </xdr:to>
    <xdr:sp>
      <xdr:nvSpPr>
        <xdr:cNvPr id="53" name="CustomShape 1"/>
        <xdr:cNvSpPr/>
      </xdr:nvSpPr>
      <xdr:spPr>
        <a:xfrm>
          <a:off x="10902600" y="5972760"/>
          <a:ext cx="1016280" cy="142200"/>
        </a:xfrm>
        <a:custGeom>
          <a:avLst/>
          <a:gdLst/>
          <a:ahLst/>
          <a:rect l="l" t="t" r="r" b="b"/>
          <a:pathLst>
            <a:path w="21600" h="21600">
              <a:moveTo>
                <a:pt x="0" y="0"/>
              </a:moveTo>
              <a:lnTo>
                <a:pt x="21600" y="0"/>
              </a:lnTo>
              <a:lnTo>
                <a:pt x="21600" y="21600"/>
              </a:lnTo>
              <a:lnTo>
                <a:pt x="0" y="21600"/>
              </a:lnTo>
              <a:lnTo>
                <a:pt x="0" y="0"/>
              </a:lnTo>
              <a:close/>
            </a:path>
          </a:pathLst>
        </a:custGeom>
        <a:solidFill>
          <a:srgbClr val="ffffff"/>
        </a:solidFill>
        <a:ln>
          <a:noFill/>
        </a:ln>
      </xdr:spPr>
      <xdr:style>
        <a:lnRef idx="0"/>
        <a:fillRef idx="0"/>
        <a:effectRef idx="0"/>
        <a:fontRef idx="minor"/>
      </xdr:style>
      <xdr:txBody>
        <a:bodyPr lIns="9000" rIns="9000" tIns="46800" bIns="46800" anchor="ctr"/>
        <a:p>
          <a:pPr algn="ctr"/>
          <a:r>
            <a:rPr b="1" lang="en-PH" sz="500" spc="-1" strike="noStrike">
              <a:solidFill>
                <a:srgbClr val="000000"/>
              </a:solidFill>
              <a:latin typeface="Calibri"/>
            </a:rPr>
            <a:t>DATE</a:t>
          </a:r>
          <a:endParaRPr b="0" lang="en-PH" sz="500" spc="-1" strike="noStrike">
            <a:latin typeface="Times New Roman"/>
          </a:endParaRPr>
        </a:p>
      </xdr:txBody>
    </xdr:sp>
    <xdr:clientData/>
  </xdr:twoCellAnchor>
  <xdr:twoCellAnchor editAs="oneCell">
    <xdr:from>
      <xdr:col>21</xdr:col>
      <xdr:colOff>0</xdr:colOff>
      <xdr:row>1</xdr:row>
      <xdr:rowOff>10080</xdr:rowOff>
    </xdr:from>
    <xdr:to>
      <xdr:col>29</xdr:col>
      <xdr:colOff>121680</xdr:colOff>
      <xdr:row>1</xdr:row>
      <xdr:rowOff>324000</xdr:rowOff>
    </xdr:to>
    <xdr:sp>
      <xdr:nvSpPr>
        <xdr:cNvPr id="54" name="CustomShape 1"/>
        <xdr:cNvSpPr/>
      </xdr:nvSpPr>
      <xdr:spPr>
        <a:xfrm>
          <a:off x="7445880" y="743400"/>
          <a:ext cx="2683800" cy="313920"/>
        </a:xfrm>
        <a:custGeom>
          <a:avLst/>
          <a:gdLst/>
          <a:ahLst/>
          <a:rect l="l" t="t" r="r" b="b"/>
          <a:pathLst>
            <a:path w="21600" h="21600">
              <a:moveTo>
                <a:pt x="0" y="0"/>
              </a:moveTo>
              <a:lnTo>
                <a:pt x="21600" y="0"/>
              </a:lnTo>
              <a:lnTo>
                <a:pt x="21600" y="21600"/>
              </a:lnTo>
              <a:lnTo>
                <a:pt x="0" y="21600"/>
              </a:lnTo>
              <a:lnTo>
                <a:pt x="0" y="0"/>
              </a:lnTo>
              <a:close/>
            </a:path>
          </a:pathLst>
        </a:custGeom>
        <a:solidFill>
          <a:srgbClr val="ffffff"/>
        </a:solidFill>
        <a:ln w="9360">
          <a:solidFill>
            <a:srgbClr val="bcbcbc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/>
        <a:p>
          <a:r>
            <a:rPr b="0" lang="en-PH" sz="1000" spc="-1" strike="noStrike">
              <a:solidFill>
                <a:srgbClr val="000000"/>
              </a:solidFill>
              <a:latin typeface="Calibri"/>
            </a:rPr>
            <a:t>Date Received: ________________________</a:t>
          </a:r>
          <a:endParaRPr b="0" lang="en-PH" sz="1000" spc="-1" strike="noStrike">
            <a:latin typeface="Times New Roman"/>
          </a:endParaRPr>
        </a:p>
      </xdr:txBody>
    </xdr:sp>
    <xdr:clientData/>
  </xdr:twoCellAnchor>
  <xdr:twoCellAnchor editAs="oneCell">
    <xdr:from>
      <xdr:col>21</xdr:col>
      <xdr:colOff>0</xdr:colOff>
      <xdr:row>2</xdr:row>
      <xdr:rowOff>360</xdr:rowOff>
    </xdr:from>
    <xdr:to>
      <xdr:col>29</xdr:col>
      <xdr:colOff>121680</xdr:colOff>
      <xdr:row>2</xdr:row>
      <xdr:rowOff>229320</xdr:rowOff>
    </xdr:to>
    <xdr:sp>
      <xdr:nvSpPr>
        <xdr:cNvPr id="55" name="CustomShape 1"/>
        <xdr:cNvSpPr/>
      </xdr:nvSpPr>
      <xdr:spPr>
        <a:xfrm>
          <a:off x="7445880" y="1057320"/>
          <a:ext cx="2683800" cy="228960"/>
        </a:xfrm>
        <a:custGeom>
          <a:avLst/>
          <a:gdLst/>
          <a:ahLst/>
          <a:rect l="l" t="t" r="r" b="b"/>
          <a:pathLst>
            <a:path w="21600" h="21600">
              <a:moveTo>
                <a:pt x="0" y="0"/>
              </a:moveTo>
              <a:lnTo>
                <a:pt x="21600" y="0"/>
              </a:lnTo>
              <a:lnTo>
                <a:pt x="21600" y="21600"/>
              </a:lnTo>
              <a:lnTo>
                <a:pt x="0" y="21600"/>
              </a:lnTo>
              <a:lnTo>
                <a:pt x="0" y="0"/>
              </a:lnTo>
              <a:close/>
            </a:path>
          </a:pathLst>
        </a:custGeom>
        <a:solidFill>
          <a:srgbClr val="ffffff"/>
        </a:solidFill>
        <a:ln w="9360">
          <a:solidFill>
            <a:srgbClr val="bcbcbc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/>
        <a:p>
          <a:r>
            <a:rPr b="0" lang="en-PH" sz="1000" spc="-1" strike="noStrike">
              <a:solidFill>
                <a:srgbClr val="000000"/>
              </a:solidFill>
              <a:latin typeface="Calibri"/>
            </a:rPr>
            <a:t>By :________________________</a:t>
          </a:r>
          <a:endParaRPr b="0" lang="en-PH" sz="1000" spc="-1" strike="noStrike">
            <a:latin typeface="Times New Roman"/>
          </a:endParaRPr>
        </a:p>
      </xdr:txBody>
    </xdr:sp>
    <xdr:clientData/>
  </xdr:twoCellAnchor>
  <xdr:twoCellAnchor editAs="oneCell">
    <xdr:from>
      <xdr:col>21</xdr:col>
      <xdr:colOff>10440</xdr:colOff>
      <xdr:row>2</xdr:row>
      <xdr:rowOff>200160</xdr:rowOff>
    </xdr:from>
    <xdr:to>
      <xdr:col>28</xdr:col>
      <xdr:colOff>272520</xdr:colOff>
      <xdr:row>2</xdr:row>
      <xdr:rowOff>305280</xdr:rowOff>
    </xdr:to>
    <xdr:sp>
      <xdr:nvSpPr>
        <xdr:cNvPr id="56" name="CustomShape 1"/>
        <xdr:cNvSpPr/>
      </xdr:nvSpPr>
      <xdr:spPr>
        <a:xfrm>
          <a:off x="7456320" y="1257120"/>
          <a:ext cx="2301480" cy="105120"/>
        </a:xfrm>
        <a:custGeom>
          <a:avLst/>
          <a:gdLst/>
          <a:ahLst/>
          <a:rect l="l" t="t" r="r" b="b"/>
          <a:pathLst>
            <a:path w="21600" h="21600">
              <a:moveTo>
                <a:pt x="0" y="0"/>
              </a:moveTo>
              <a:lnTo>
                <a:pt x="21600" y="0"/>
              </a:lnTo>
              <a:lnTo>
                <a:pt x="21600" y="21600"/>
              </a:lnTo>
              <a:lnTo>
                <a:pt x="0" y="21600"/>
              </a:lnTo>
              <a:lnTo>
                <a:pt x="0" y="0"/>
              </a:lnTo>
              <a:close/>
            </a:path>
          </a:pathLst>
        </a:custGeom>
        <a:solidFill>
          <a:srgbClr val="ffffff"/>
        </a:solidFill>
        <a:ln w="9360">
          <a:solidFill>
            <a:srgbClr val="bcbcbc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90000" rIns="90000" tIns="9000" bIns="9000"/>
        <a:p>
          <a:pPr algn="ctr"/>
          <a:r>
            <a:rPr b="0" lang="en-PH" sz="800" spc="-1" strike="noStrike">
              <a:solidFill>
                <a:srgbClr val="000000"/>
              </a:solidFill>
              <a:latin typeface="Calibri"/>
            </a:rPr>
            <a:t>Signature Over Printed Name</a:t>
          </a:r>
          <a:endParaRPr b="0" lang="en-PH" sz="800" spc="-1" strike="noStrike">
            <a:latin typeface="Times New Roman"/>
          </a:endParaRPr>
        </a:p>
      </xdr:txBody>
    </xdr:sp>
    <xdr:clientData/>
  </xdr:twoCellAnchor>
  <xdr:twoCellAnchor editAs="oneCell">
    <xdr:from>
      <xdr:col>29</xdr:col>
      <xdr:colOff>120960</xdr:colOff>
      <xdr:row>1</xdr:row>
      <xdr:rowOff>10080</xdr:rowOff>
    </xdr:from>
    <xdr:to>
      <xdr:col>32</xdr:col>
      <xdr:colOff>926280</xdr:colOff>
      <xdr:row>1</xdr:row>
      <xdr:rowOff>324000</xdr:rowOff>
    </xdr:to>
    <xdr:sp>
      <xdr:nvSpPr>
        <xdr:cNvPr id="57" name="CustomShape 1"/>
        <xdr:cNvSpPr/>
      </xdr:nvSpPr>
      <xdr:spPr>
        <a:xfrm>
          <a:off x="10128960" y="743400"/>
          <a:ext cx="1890720" cy="313920"/>
        </a:xfrm>
        <a:custGeom>
          <a:avLst/>
          <a:gdLst/>
          <a:ahLst/>
          <a:rect l="l" t="t" r="r" b="b"/>
          <a:pathLst>
            <a:path w="21600" h="21600">
              <a:moveTo>
                <a:pt x="0" y="0"/>
              </a:moveTo>
              <a:lnTo>
                <a:pt x="21600" y="0"/>
              </a:lnTo>
              <a:lnTo>
                <a:pt x="21600" y="21600"/>
              </a:lnTo>
              <a:lnTo>
                <a:pt x="0" y="21600"/>
              </a:lnTo>
              <a:lnTo>
                <a:pt x="0" y="0"/>
              </a:lnTo>
              <a:close/>
            </a:path>
          </a:pathLst>
        </a:custGeom>
        <a:solidFill>
          <a:srgbClr val="ffffff"/>
        </a:solidFill>
        <a:ln w="9360">
          <a:solidFill>
            <a:srgbClr val="bcbcbc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/>
        <a:p>
          <a:r>
            <a:rPr b="0" lang="en-PH" sz="1100" spc="-1" strike="noStrike">
              <a:solidFill>
                <a:srgbClr val="000000"/>
              </a:solidFill>
              <a:latin typeface="Calibri"/>
            </a:rPr>
            <a:t>Action Taken:</a:t>
          </a:r>
          <a:endParaRPr b="0" lang="en-PH" sz="1100" spc="-1" strike="noStrike">
            <a:latin typeface="Times New Roman"/>
          </a:endParaRPr>
        </a:p>
      </xdr:txBody>
    </xdr:sp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T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RowHeight="12.75" zeroHeight="false" outlineLevelRow="0" outlineLevelCol="0"/>
  <cols>
    <col collapsed="false" customWidth="true" hidden="false" outlineLevel="0" max="1" min="1" style="1" width="9.4"/>
    <col collapsed="false" customWidth="true" hidden="false" outlineLevel="0" max="2" min="2" style="2" width="28.67"/>
    <col collapsed="false" customWidth="true" hidden="false" outlineLevel="0" max="3" min="3" style="2" width="8.69"/>
    <col collapsed="false" customWidth="true" hidden="false" outlineLevel="0" max="4" min="4" style="2" width="28.67"/>
    <col collapsed="false" customWidth="true" hidden="false" outlineLevel="0" max="5" min="5" style="2" width="28.38"/>
    <col collapsed="false" customWidth="true" hidden="false" outlineLevel="0" max="6" min="6" style="3" width="16.68"/>
    <col collapsed="false" customWidth="true" hidden="false" outlineLevel="0" max="7" min="7" style="3" width="12.69"/>
    <col collapsed="false" customWidth="true" hidden="false" outlineLevel="0" max="8" min="8" style="3" width="7.98"/>
    <col collapsed="false" customWidth="true" hidden="false" outlineLevel="0" max="9" min="9" style="4" width="17.68"/>
    <col collapsed="false" customWidth="true" hidden="false" outlineLevel="0" max="10" min="10" style="3" width="3.7"/>
    <col collapsed="false" customWidth="true" hidden="true" outlineLevel="0" max="13" min="11" style="3" width="10.69"/>
    <col collapsed="false" customWidth="true" hidden="true" outlineLevel="0" max="14" min="14" style="5" width="5.7"/>
    <col collapsed="false" customWidth="true" hidden="true" outlineLevel="0" max="17" min="15" style="6" width="5.7"/>
    <col collapsed="false" customWidth="true" hidden="true" outlineLevel="0" max="32" min="18" style="6" width="9.13"/>
    <col collapsed="false" customWidth="true" hidden="true" outlineLevel="0" max="35" min="33" style="7" width="9.13"/>
    <col collapsed="false" customWidth="true" hidden="true" outlineLevel="0" max="58" min="36" style="6" width="9.13"/>
    <col collapsed="false" customWidth="true" hidden="false" outlineLevel="0" max="60" min="59" style="6" width="10.69"/>
    <col collapsed="false" customWidth="true" hidden="false" outlineLevel="0" max="61" min="61" style="6" width="20.68"/>
    <col collapsed="false" customWidth="true" hidden="true" outlineLevel="0" max="66" min="62" style="8" width="9.13"/>
    <col collapsed="false" customWidth="true" hidden="true" outlineLevel="0" max="70" min="67" style="6" width="9.13"/>
    <col collapsed="false" customWidth="true" hidden="false" outlineLevel="0" max="71" min="71" style="9" width="9.13"/>
    <col collapsed="false" customWidth="true" hidden="false" outlineLevel="0" max="72" min="72" style="10" width="10.69"/>
    <col collapsed="false" customWidth="true" hidden="false" outlineLevel="0" max="73" min="73" style="6" width="16.26"/>
    <col collapsed="false" customWidth="true" hidden="false" outlineLevel="0" max="111" min="74" style="6" width="9.13"/>
    <col collapsed="false" customWidth="true" hidden="false" outlineLevel="0" max="117" min="112" style="6" width="6.69"/>
    <col collapsed="false" customWidth="true" hidden="false" outlineLevel="0" max="121" min="118" style="11" width="8.69"/>
    <col collapsed="false" customWidth="true" hidden="false" outlineLevel="0" max="128" min="122" style="6" width="9.13"/>
    <col collapsed="false" customWidth="true" hidden="false" outlineLevel="0" max="136" min="129" style="0" width="8.84"/>
    <col collapsed="false" customWidth="true" hidden="false" outlineLevel="0" max="137" min="137" style="12" width="2.84"/>
    <col collapsed="false" customWidth="true" hidden="false" outlineLevel="0" max="257" min="138" style="6" width="9.13"/>
    <col collapsed="false" customWidth="true" hidden="false" outlineLevel="0" max="1025" min="258" style="0" width="9.13"/>
  </cols>
  <sheetData>
    <row r="1" s="36" customFormat="true" ht="12" hidden="false" customHeight="true" outlineLevel="0" collapsed="false">
      <c r="A1" s="13" t="s">
        <v>0</v>
      </c>
      <c r="B1" s="14"/>
      <c r="C1" s="14"/>
      <c r="D1" s="14"/>
      <c r="E1" s="15" t="str">
        <f aca="false">CONCATENATE("EMPLOYEE COUNT  ",(COUNT(BJ9:BJ25548)))</f>
        <v>EMPLOYEE COUNT  12</v>
      </c>
      <c r="F1" s="16" t="s">
        <v>1</v>
      </c>
      <c r="G1" s="17"/>
      <c r="H1" s="17"/>
      <c r="I1" s="18" t="s">
        <v>2</v>
      </c>
      <c r="J1" s="18"/>
      <c r="K1" s="19" t="s">
        <v>3</v>
      </c>
      <c r="L1" s="19"/>
      <c r="M1" s="20" t="s">
        <v>4</v>
      </c>
      <c r="N1" s="21" t="s">
        <v>5</v>
      </c>
      <c r="O1" s="21"/>
      <c r="P1" s="22" t="s">
        <v>6</v>
      </c>
      <c r="Q1" s="22"/>
      <c r="R1" s="22" t="s">
        <v>7</v>
      </c>
      <c r="S1" s="22"/>
      <c r="T1" s="23" t="s">
        <v>8</v>
      </c>
      <c r="U1" s="24" t="s">
        <v>9</v>
      </c>
      <c r="V1" s="24" t="s">
        <v>10</v>
      </c>
      <c r="W1" s="25" t="s">
        <v>11</v>
      </c>
      <c r="X1" s="25" t="s">
        <v>12</v>
      </c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7"/>
      <c r="AJ1" s="27"/>
      <c r="AK1" s="27"/>
      <c r="AL1" s="28"/>
      <c r="AM1" s="28"/>
      <c r="AN1" s="28"/>
      <c r="AO1" s="28"/>
      <c r="AP1" s="28"/>
      <c r="AQ1" s="28"/>
      <c r="AR1" s="28"/>
      <c r="AS1" s="28"/>
      <c r="AT1" s="28"/>
      <c r="AU1" s="28"/>
      <c r="AV1" s="28"/>
      <c r="AW1" s="28"/>
      <c r="AX1" s="28"/>
      <c r="AY1" s="28"/>
      <c r="AZ1" s="28"/>
      <c r="BA1" s="28"/>
      <c r="BB1" s="28"/>
      <c r="BC1" s="28"/>
      <c r="BD1" s="28"/>
      <c r="BE1" s="28"/>
      <c r="BF1" s="28"/>
      <c r="BG1" s="29"/>
      <c r="BH1" s="29"/>
      <c r="BI1" s="30" t="s">
        <v>13</v>
      </c>
      <c r="BJ1" s="31"/>
      <c r="BK1" s="26"/>
      <c r="BL1" s="26"/>
      <c r="BM1" s="26"/>
      <c r="BN1" s="28"/>
      <c r="BO1" s="28"/>
      <c r="BP1" s="26"/>
      <c r="BQ1" s="26"/>
      <c r="BR1" s="26"/>
      <c r="BS1" s="32" t="n">
        <f aca="false">SUM(BG9:BG10011)</f>
        <v>0</v>
      </c>
      <c r="BT1" s="32"/>
      <c r="BU1" s="33" t="s">
        <v>14</v>
      </c>
      <c r="BV1" s="34"/>
      <c r="BW1" s="35"/>
      <c r="DH1" s="37"/>
      <c r="DI1" s="37"/>
      <c r="DJ1" s="37"/>
      <c r="DK1" s="38"/>
      <c r="DL1" s="38"/>
      <c r="DM1" s="38"/>
      <c r="DN1" s="38"/>
      <c r="DO1" s="38"/>
      <c r="DP1" s="38"/>
      <c r="DQ1" s="38"/>
      <c r="DR1" s="39"/>
      <c r="DS1" s="39"/>
      <c r="DT1" s="39"/>
      <c r="DU1" s="39"/>
      <c r="DV1" s="39"/>
      <c r="DW1" s="39"/>
      <c r="DX1" s="40"/>
      <c r="DY1" s="38"/>
      <c r="DZ1" s="38"/>
      <c r="EA1" s="38"/>
      <c r="EB1" s="38"/>
      <c r="EC1" s="38"/>
      <c r="ED1" s="38"/>
      <c r="EE1" s="38"/>
      <c r="EF1" s="38"/>
      <c r="EG1" s="38"/>
      <c r="EH1" s="38"/>
      <c r="EI1" s="38"/>
      <c r="EJ1" s="38"/>
      <c r="EK1" s="38"/>
      <c r="EL1" s="38"/>
      <c r="EM1" s="38"/>
      <c r="EN1" s="38"/>
      <c r="EO1" s="38"/>
      <c r="EP1" s="38"/>
      <c r="EQ1" s="38"/>
      <c r="ER1" s="38"/>
    </row>
    <row r="2" s="36" customFormat="true" ht="12.75" hidden="false" customHeight="true" outlineLevel="0" collapsed="false">
      <c r="A2" s="13" t="s">
        <v>15</v>
      </c>
      <c r="B2" s="41"/>
      <c r="C2" s="41"/>
      <c r="D2" s="41"/>
      <c r="E2" s="42" t="str">
        <f aca="false">IF(M5=0," ",IF(M5&gt;0,"REPORT OVERPAYMENT",IF(M5&lt;0,"REPORT UNDERPAYMENT")))</f>
        <v> </v>
      </c>
      <c r="F2" s="16" t="s">
        <v>16</v>
      </c>
      <c r="G2" s="43" t="s">
        <v>17</v>
      </c>
      <c r="H2" s="43"/>
      <c r="I2" s="44" t="s">
        <v>18</v>
      </c>
      <c r="J2" s="44"/>
      <c r="K2" s="45" t="n">
        <f aca="false">IF(E5&lt;=3,1,IF(E5&lt;=6,2,IF(E5&lt;=9,3,IF(E5&lt;=12,4))))</f>
        <v>4</v>
      </c>
      <c r="L2" s="45" t="n">
        <f aca="false">IF(K2=1,1,IF(K2&lt;5,0))</f>
        <v>0</v>
      </c>
      <c r="M2" s="46" t="n">
        <f aca="false">BG2-BS1-BS2</f>
        <v>0</v>
      </c>
      <c r="N2" s="27" t="n">
        <f aca="false">IF(E5&gt;=7,0,IF(E5=1,"JANUARY",IF(E5=2,"FEBRUARY",IF(E5=3,"MARCH",IF(E5=4,"APRIL",IF(E5=5,"MAY",IF(E5=6,"JUNE")))))))</f>
        <v>0</v>
      </c>
      <c r="O2" s="27"/>
      <c r="P2" s="47" t="n">
        <f aca="false">BG2*100</f>
        <v>0</v>
      </c>
      <c r="Q2" s="47"/>
      <c r="R2" s="48" t="n">
        <f aca="false">P2</f>
        <v>0</v>
      </c>
      <c r="S2" s="48"/>
      <c r="T2" s="49" t="n">
        <f aca="false">FALSE()</f>
        <v>0</v>
      </c>
      <c r="U2" s="25" t="s">
        <v>19</v>
      </c>
      <c r="V2" s="25" t="s">
        <v>19</v>
      </c>
      <c r="W2" s="50" t="n">
        <v>2004</v>
      </c>
      <c r="X2" s="26" t="n">
        <v>2005</v>
      </c>
      <c r="Y2" s="26" t="n">
        <v>2006</v>
      </c>
      <c r="Z2" s="26" t="n">
        <v>2007</v>
      </c>
      <c r="AA2" s="26" t="n">
        <v>2008</v>
      </c>
      <c r="AB2" s="26" t="n">
        <v>2009</v>
      </c>
      <c r="AC2" s="26" t="n">
        <v>2010</v>
      </c>
      <c r="AD2" s="26" t="n">
        <v>2011</v>
      </c>
      <c r="AE2" s="26" t="n">
        <v>2012</v>
      </c>
      <c r="AF2" s="26" t="n">
        <v>2013</v>
      </c>
      <c r="AG2" s="26" t="n">
        <v>2014</v>
      </c>
      <c r="AH2" s="26" t="n">
        <v>2015</v>
      </c>
      <c r="AI2" s="27"/>
      <c r="AJ2" s="27"/>
      <c r="AK2" s="27"/>
      <c r="AL2" s="51"/>
      <c r="AM2" s="49"/>
      <c r="AN2" s="52"/>
      <c r="AO2" s="52"/>
      <c r="AP2" s="52"/>
      <c r="AQ2" s="52"/>
      <c r="AR2" s="52"/>
      <c r="AS2" s="52"/>
      <c r="AT2" s="52"/>
      <c r="AU2" s="52"/>
      <c r="AV2" s="52"/>
      <c r="AW2" s="52"/>
      <c r="AX2" s="52"/>
      <c r="AY2" s="52"/>
      <c r="AZ2" s="52"/>
      <c r="BA2" s="52"/>
      <c r="BB2" s="52"/>
      <c r="BC2" s="52"/>
      <c r="BD2" s="52"/>
      <c r="BE2" s="52"/>
      <c r="BF2" s="52"/>
      <c r="BG2" s="53"/>
      <c r="BH2" s="53"/>
      <c r="BI2" s="30" t="str">
        <f aca="false">IF(E3="PRIVATE","TOTAL ES",IF(E3="HOUSEHOLD","TOTAL ES",IF(E3="GOVERNMENT","TOTAL GS",0)))</f>
        <v>TOTAL ES</v>
      </c>
      <c r="BJ2" s="26"/>
      <c r="BK2" s="26"/>
      <c r="BL2" s="26"/>
      <c r="BM2" s="26"/>
      <c r="BN2" s="49"/>
      <c r="BO2" s="49"/>
      <c r="BP2" s="27" t="s">
        <v>20</v>
      </c>
      <c r="BQ2" s="27"/>
      <c r="BR2" s="49"/>
      <c r="BS2" s="32" t="n">
        <f aca="false">SUM(BH9:BH10011)</f>
        <v>0</v>
      </c>
      <c r="BT2" s="32"/>
      <c r="BU2" s="54" t="s">
        <v>21</v>
      </c>
      <c r="BV2" s="34"/>
      <c r="BW2" s="35"/>
      <c r="DH2" s="55"/>
      <c r="DI2" s="55"/>
      <c r="DJ2" s="55"/>
      <c r="DK2" s="56"/>
      <c r="DL2" s="56"/>
      <c r="DM2" s="56"/>
      <c r="DN2" s="56"/>
      <c r="DO2" s="56"/>
      <c r="DP2" s="56"/>
      <c r="DQ2" s="56"/>
      <c r="DR2" s="39"/>
      <c r="DS2" s="39"/>
      <c r="DT2" s="39"/>
      <c r="DU2" s="39"/>
      <c r="DV2" s="39"/>
      <c r="DW2" s="39"/>
      <c r="DX2" s="57"/>
      <c r="DY2" s="56"/>
      <c r="DZ2" s="56"/>
      <c r="EA2" s="56"/>
      <c r="EB2" s="56"/>
      <c r="EC2" s="56"/>
      <c r="ED2" s="56"/>
      <c r="EE2" s="56"/>
      <c r="EF2" s="56"/>
      <c r="EG2" s="56"/>
      <c r="EH2" s="56"/>
      <c r="EI2" s="56"/>
      <c r="EJ2" s="56"/>
      <c r="EK2" s="56"/>
      <c r="EL2" s="56"/>
      <c r="EM2" s="56"/>
      <c r="EN2" s="56"/>
      <c r="EO2" s="56"/>
      <c r="EP2" s="56"/>
      <c r="EQ2" s="56"/>
      <c r="ER2" s="56"/>
    </row>
    <row r="3" s="36" customFormat="true" ht="12.75" hidden="false" customHeight="true" outlineLevel="0" collapsed="false">
      <c r="A3" s="13" t="s">
        <v>22</v>
      </c>
      <c r="B3" s="58"/>
      <c r="C3" s="58"/>
      <c r="D3" s="16" t="s">
        <v>23</v>
      </c>
      <c r="E3" s="59" t="s">
        <v>24</v>
      </c>
      <c r="F3" s="16" t="s">
        <v>25</v>
      </c>
      <c r="G3" s="60"/>
      <c r="H3" s="60"/>
      <c r="I3" s="44" t="s">
        <v>26</v>
      </c>
      <c r="J3" s="44"/>
      <c r="K3" s="61" t="s">
        <v>27</v>
      </c>
      <c r="L3" s="45" t="n">
        <f aca="false">IF(K2=2,1,IF(K2&lt;5,0))</f>
        <v>0</v>
      </c>
      <c r="M3" s="62" t="n">
        <f aca="false">BG2-BS1-BS3</f>
        <v>0</v>
      </c>
      <c r="N3" s="27" t="str">
        <f aca="false">IF(E5&lt;=6,0,IF(E5=7,"JULY",IF(E5=8,"AUGUST",IF(E5=9,"SEPTEMBER",IF(E5=10,"OCTOBER",IF(E5=11,"NOVEMBER",IF(E5=12,"DECEMBER")))))))</f>
        <v>DECEMBER</v>
      </c>
      <c r="O3" s="27"/>
      <c r="P3" s="47" t="n">
        <f aca="false">BS3*100</f>
        <v>0</v>
      </c>
      <c r="Q3" s="47"/>
      <c r="R3" s="47" t="n">
        <f aca="false">P3</f>
        <v>0</v>
      </c>
      <c r="S3" s="47"/>
      <c r="T3" s="21" t="s">
        <v>28</v>
      </c>
      <c r="U3" s="49" t="n">
        <f aca="false">IF(E3="PRIVATE",1,0)</f>
        <v>1</v>
      </c>
      <c r="V3" s="50" t="s">
        <v>24</v>
      </c>
      <c r="W3" s="50"/>
      <c r="X3" s="26"/>
      <c r="Y3" s="63" t="n">
        <v>7306</v>
      </c>
      <c r="Z3" s="63"/>
      <c r="AA3" s="26"/>
      <c r="AB3" s="26"/>
      <c r="AC3" s="26"/>
      <c r="AD3" s="26"/>
      <c r="AE3" s="26"/>
      <c r="AF3" s="26"/>
      <c r="AG3" s="26"/>
      <c r="AH3" s="26"/>
      <c r="AI3" s="27"/>
      <c r="AJ3" s="27"/>
      <c r="AK3" s="27"/>
      <c r="AL3" s="51"/>
      <c r="AM3" s="49"/>
      <c r="AN3" s="49"/>
      <c r="AO3" s="49"/>
      <c r="AP3" s="49"/>
      <c r="AQ3" s="49"/>
      <c r="AR3" s="49"/>
      <c r="AS3" s="49"/>
      <c r="AT3" s="49"/>
      <c r="AU3" s="49"/>
      <c r="AV3" s="49"/>
      <c r="AW3" s="49"/>
      <c r="AX3" s="49"/>
      <c r="AY3" s="49"/>
      <c r="AZ3" s="49"/>
      <c r="BA3" s="49"/>
      <c r="BB3" s="49"/>
      <c r="BC3" s="49"/>
      <c r="BD3" s="49"/>
      <c r="BE3" s="49"/>
      <c r="BF3" s="49"/>
      <c r="BG3" s="64"/>
      <c r="BH3" s="64"/>
      <c r="BI3" s="65" t="str">
        <f aca="false">IF(F6=0,"NO ALLOTED GS",IF(F6&gt;0,"TOTAL ALLOTED"))</f>
        <v>NO ALLOTED GS</v>
      </c>
      <c r="BJ3" s="66"/>
      <c r="BK3" s="67"/>
      <c r="BL3" s="67"/>
      <c r="BM3" s="67"/>
      <c r="BN3" s="68"/>
      <c r="BO3" s="68"/>
      <c r="BP3" s="68" t="s">
        <v>29</v>
      </c>
      <c r="BQ3" s="68"/>
      <c r="BR3" s="68"/>
      <c r="BS3" s="69" t="n">
        <f aca="false">SUM(BI9:BI10011)</f>
        <v>0</v>
      </c>
      <c r="BT3" s="69"/>
      <c r="BU3" s="54" t="s">
        <v>30</v>
      </c>
      <c r="BV3" s="34"/>
      <c r="BW3" s="35"/>
      <c r="DH3" s="37"/>
      <c r="DI3" s="37"/>
      <c r="DJ3" s="37"/>
      <c r="DK3" s="38"/>
      <c r="DL3" s="38"/>
      <c r="DM3" s="38"/>
      <c r="DN3" s="38"/>
      <c r="DO3" s="38"/>
      <c r="DP3" s="38"/>
      <c r="DQ3" s="38"/>
      <c r="DR3" s="39"/>
      <c r="DS3" s="39"/>
      <c r="DT3" s="39"/>
      <c r="DU3" s="39"/>
      <c r="DV3" s="39"/>
      <c r="DW3" s="39"/>
      <c r="DX3" s="40"/>
      <c r="DY3" s="38"/>
      <c r="DZ3" s="38"/>
      <c r="EA3" s="38"/>
      <c r="EB3" s="38"/>
      <c r="EC3" s="38"/>
      <c r="ED3" s="38"/>
      <c r="EE3" s="38"/>
      <c r="EF3" s="38"/>
      <c r="EG3" s="38"/>
      <c r="EH3" s="38"/>
      <c r="EI3" s="38"/>
      <c r="EJ3" s="38"/>
      <c r="EK3" s="38"/>
      <c r="EL3" s="38"/>
      <c r="EM3" s="38"/>
      <c r="EN3" s="38"/>
      <c r="EO3" s="38"/>
      <c r="EP3" s="38"/>
      <c r="EQ3" s="70"/>
      <c r="ER3" s="70"/>
    </row>
    <row r="4" s="36" customFormat="true" ht="12.75" hidden="false" customHeight="true" outlineLevel="0" collapsed="false">
      <c r="A4" s="13" t="s">
        <v>31</v>
      </c>
      <c r="B4" s="71"/>
      <c r="C4" s="71"/>
      <c r="D4" s="16" t="s">
        <v>32</v>
      </c>
      <c r="E4" s="72" t="n">
        <v>2015</v>
      </c>
      <c r="F4" s="16" t="s">
        <v>33</v>
      </c>
      <c r="G4" s="73" t="s">
        <v>34</v>
      </c>
      <c r="H4" s="73"/>
      <c r="I4" s="44" t="s">
        <v>35</v>
      </c>
      <c r="J4" s="44"/>
      <c r="K4" s="74" t="n">
        <f aca="false">IF(E6="R",TRUE(),IF(E6="A",FALSE()))</f>
        <v>1</v>
      </c>
      <c r="L4" s="45" t="n">
        <f aca="false">IF(K2=3,1,IF(K2&lt;5,0))</f>
        <v>0</v>
      </c>
      <c r="M4" s="75" t="s">
        <v>36</v>
      </c>
      <c r="N4" s="22" t="str">
        <f aca="false">IF(N2=0,N3,IF(N3=0,N2,0))</f>
        <v>DECEMBER</v>
      </c>
      <c r="O4" s="22"/>
      <c r="P4" s="47" t="n">
        <f aca="false">BS1*2</f>
        <v>0</v>
      </c>
      <c r="Q4" s="47"/>
      <c r="R4" s="47" t="n">
        <f aca="false">P4*100</f>
        <v>0</v>
      </c>
      <c r="S4" s="47"/>
      <c r="T4" s="45" t="n">
        <f aca="false">COUNTIF(BG9:BG25548,"&gt;0")</f>
        <v>0</v>
      </c>
      <c r="U4" s="49" t="n">
        <f aca="false">IF(E3="GOVERNMENT",1,0)</f>
        <v>0</v>
      </c>
      <c r="V4" s="45" t="s">
        <v>37</v>
      </c>
      <c r="W4" s="26"/>
      <c r="X4" s="26"/>
      <c r="Y4" s="63" t="n">
        <v>41274</v>
      </c>
      <c r="Z4" s="63"/>
      <c r="AA4" s="26"/>
      <c r="AB4" s="26"/>
      <c r="AC4" s="26"/>
      <c r="AD4" s="26"/>
      <c r="AE4" s="26"/>
      <c r="AF4" s="26"/>
      <c r="AG4" s="26"/>
      <c r="AH4" s="27"/>
      <c r="AI4" s="27"/>
      <c r="AJ4" s="27"/>
      <c r="AK4" s="51"/>
      <c r="AL4" s="49"/>
      <c r="AM4" s="49"/>
      <c r="AN4" s="49"/>
      <c r="AO4" s="49"/>
      <c r="AP4" s="49"/>
      <c r="AQ4" s="49"/>
      <c r="AR4" s="49"/>
      <c r="AS4" s="49"/>
      <c r="AT4" s="49"/>
      <c r="AU4" s="49"/>
      <c r="AV4" s="49"/>
      <c r="AW4" s="49"/>
      <c r="AX4" s="49"/>
      <c r="AY4" s="49"/>
      <c r="AZ4" s="49"/>
      <c r="BA4" s="49"/>
      <c r="BB4" s="49"/>
      <c r="BC4" s="49"/>
      <c r="BD4" s="49"/>
      <c r="BE4" s="49"/>
      <c r="BF4" s="49"/>
      <c r="BG4" s="76" t="str">
        <f aca="false">N4</f>
        <v>DECEMBER</v>
      </c>
      <c r="BH4" s="76"/>
      <c r="BI4" s="65" t="s">
        <v>38</v>
      </c>
      <c r="BJ4" s="67"/>
      <c r="BK4" s="67"/>
      <c r="BL4" s="67"/>
      <c r="BM4" s="67"/>
      <c r="BN4" s="68"/>
      <c r="BO4" s="68"/>
      <c r="BP4" s="77" t="s">
        <v>39</v>
      </c>
      <c r="BQ4" s="77"/>
      <c r="BR4" s="77"/>
      <c r="BS4" s="78" t="n">
        <f aca="false">IF(F6=0,0,IF(F6&gt;0,BS1-BS3))</f>
        <v>0</v>
      </c>
      <c r="BT4" s="78"/>
      <c r="BU4" s="54" t="s">
        <v>40</v>
      </c>
      <c r="DH4" s="79"/>
      <c r="DI4" s="79"/>
      <c r="DJ4" s="79"/>
      <c r="DK4" s="80"/>
      <c r="DL4" s="80"/>
      <c r="DM4" s="81"/>
      <c r="DN4" s="81"/>
      <c r="DO4" s="81"/>
      <c r="DP4" s="81"/>
      <c r="DQ4" s="81"/>
      <c r="DR4" s="39"/>
      <c r="DS4" s="39"/>
      <c r="DT4" s="39"/>
      <c r="DU4" s="39"/>
      <c r="DV4" s="39"/>
      <c r="DW4" s="39"/>
      <c r="DX4" s="82"/>
      <c r="DY4" s="80"/>
      <c r="DZ4" s="80"/>
      <c r="EA4" s="80"/>
      <c r="EB4" s="80"/>
      <c r="EC4" s="80"/>
      <c r="ED4" s="80"/>
      <c r="EE4" s="80"/>
      <c r="EF4" s="80"/>
      <c r="EG4" s="80"/>
      <c r="EH4" s="80"/>
      <c r="EI4" s="80"/>
      <c r="EJ4" s="80"/>
      <c r="EK4" s="80"/>
      <c r="EL4" s="80"/>
      <c r="EM4" s="80"/>
      <c r="EN4" s="80"/>
      <c r="EO4" s="80"/>
      <c r="EP4" s="81"/>
      <c r="EQ4" s="81"/>
      <c r="ER4" s="81"/>
    </row>
    <row r="5" s="36" customFormat="true" ht="12.75" hidden="false" customHeight="true" outlineLevel="0" collapsed="false">
      <c r="A5" s="13" t="s">
        <v>41</v>
      </c>
      <c r="B5" s="71"/>
      <c r="C5" s="71"/>
      <c r="D5" s="83" t="s">
        <v>5</v>
      </c>
      <c r="E5" s="72" t="n">
        <v>12</v>
      </c>
      <c r="F5" s="16" t="s">
        <v>42</v>
      </c>
      <c r="G5" s="73" t="s">
        <v>43</v>
      </c>
      <c r="H5" s="73"/>
      <c r="I5" s="44" t="s">
        <v>44</v>
      </c>
      <c r="J5" s="44"/>
      <c r="K5" s="84" t="n">
        <f aca="false">IF(E6="R",FALSE(),IF(E6="A",TRUE()))</f>
        <v>0</v>
      </c>
      <c r="L5" s="45" t="n">
        <f aca="false">IF(K2=4,1,IF(K2&lt;5,0))</f>
        <v>1</v>
      </c>
      <c r="M5" s="62" t="n">
        <f aca="false">IF(F6=0,M2,IF(F6&gt;0,M3))</f>
        <v>0</v>
      </c>
      <c r="N5" s="50"/>
      <c r="O5" s="50"/>
      <c r="P5" s="27" t="n">
        <f aca="false">BS5*100</f>
        <v>0</v>
      </c>
      <c r="Q5" s="27"/>
      <c r="R5" s="47" t="n">
        <f aca="false">P5</f>
        <v>0</v>
      </c>
      <c r="S5" s="47"/>
      <c r="T5" s="50" t="n">
        <f aca="false">COUNTIF(BH9:BH25548,"&gt;0")</f>
        <v>0</v>
      </c>
      <c r="U5" s="49" t="n">
        <f aca="false">IF(E3="HOUSEHOLD",1,0)</f>
        <v>0</v>
      </c>
      <c r="V5" s="50" t="s">
        <v>45</v>
      </c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7"/>
      <c r="AI5" s="27"/>
      <c r="AJ5" s="27"/>
      <c r="AK5" s="85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86" t="n">
        <f aca="false">IF(BS3=0,BS5,IF(BS3&gt;0,BS6))</f>
        <v>0</v>
      </c>
      <c r="BH5" s="86"/>
      <c r="BI5" s="87" t="str">
        <f aca="false">CONCATENATE(BI1," ","&amp;"," ",BI2)</f>
        <v>TOTAL PS &amp; TOTAL ES</v>
      </c>
      <c r="BJ5" s="26"/>
      <c r="BK5" s="26"/>
      <c r="BL5" s="26"/>
      <c r="BM5" s="26"/>
      <c r="BN5" s="22"/>
      <c r="BO5" s="22"/>
      <c r="BP5" s="26"/>
      <c r="BQ5" s="26"/>
      <c r="BR5" s="26"/>
      <c r="BS5" s="88" t="n">
        <f aca="false">BS1+BS2</f>
        <v>0</v>
      </c>
      <c r="BT5" s="88"/>
      <c r="BU5" s="54" t="s">
        <v>46</v>
      </c>
      <c r="DH5" s="79"/>
      <c r="DI5" s="79"/>
      <c r="DJ5" s="79"/>
      <c r="DK5" s="80"/>
      <c r="DL5" s="80"/>
      <c r="DM5" s="81"/>
      <c r="DN5" s="81"/>
      <c r="DO5" s="81"/>
      <c r="DP5" s="81"/>
      <c r="DQ5" s="81"/>
      <c r="DR5" s="39"/>
      <c r="DS5" s="39"/>
      <c r="DT5" s="39"/>
      <c r="DU5" s="39"/>
      <c r="DV5" s="39"/>
      <c r="DW5" s="39"/>
      <c r="DX5" s="39"/>
      <c r="DY5" s="39"/>
      <c r="DZ5" s="82"/>
      <c r="EA5" s="80"/>
      <c r="EB5" s="80"/>
      <c r="EC5" s="80"/>
      <c r="ED5" s="80"/>
      <c r="EE5" s="80"/>
      <c r="EF5" s="80"/>
      <c r="EG5" s="80"/>
      <c r="EH5" s="80"/>
      <c r="EI5" s="80"/>
      <c r="EJ5" s="80"/>
      <c r="EK5" s="80"/>
      <c r="EL5" s="80"/>
      <c r="EM5" s="80"/>
      <c r="EN5" s="80"/>
      <c r="EO5" s="80"/>
      <c r="EP5" s="80"/>
      <c r="EQ5" s="80"/>
      <c r="ER5" s="81"/>
      <c r="ES5" s="81"/>
      <c r="ET5" s="81"/>
    </row>
    <row r="6" s="36" customFormat="true" ht="12.75" hidden="false" customHeight="true" outlineLevel="0" collapsed="false">
      <c r="A6" s="13" t="s">
        <v>47</v>
      </c>
      <c r="B6" s="71"/>
      <c r="C6" s="71"/>
      <c r="D6" s="83" t="s">
        <v>27</v>
      </c>
      <c r="E6" s="89" t="s">
        <v>9</v>
      </c>
      <c r="F6" s="90"/>
      <c r="G6" s="91"/>
      <c r="H6" s="91"/>
      <c r="I6" s="44" t="s">
        <v>36</v>
      </c>
      <c r="J6" s="44"/>
      <c r="K6" s="26" t="n">
        <f aca="false">FALSE()</f>
        <v>0</v>
      </c>
      <c r="L6" s="45" t="n">
        <f aca="false">IF(K3=4,1,IF(K3&lt;5,0))</f>
        <v>0</v>
      </c>
      <c r="M6" s="62" t="str">
        <f aca="false">IF(F7=0,M3,IF(F7&gt;0,M4))</f>
        <v>OVER/UNDER</v>
      </c>
      <c r="N6" s="50"/>
      <c r="O6" s="50"/>
      <c r="P6" s="27" t="n">
        <f aca="false">BS6*100</f>
        <v>0</v>
      </c>
      <c r="Q6" s="27"/>
      <c r="R6" s="47" t="n">
        <f aca="false">P6</f>
        <v>0</v>
      </c>
      <c r="S6" s="47"/>
      <c r="T6" s="50" t="n">
        <f aca="false">COUNTIF(BI9:BI25548,"&gt;0")</f>
        <v>0</v>
      </c>
      <c r="U6" s="49" t="n">
        <f aca="false">SUM(U3:U4)</f>
        <v>1</v>
      </c>
      <c r="V6" s="50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7"/>
      <c r="AI6" s="27"/>
      <c r="AJ6" s="27"/>
      <c r="AK6" s="85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92" t="n">
        <f aca="false">IF(F6&gt;0,BG2-BS6,IF(F6=0,BG2-BS5))</f>
        <v>0</v>
      </c>
      <c r="BH6" s="92"/>
      <c r="BI6" s="93" t="str">
        <f aca="false">CONCATENATE(BI1," ","+"," ",BI3)</f>
        <v>TOTAL PS + NO ALLOTED GS</v>
      </c>
      <c r="BJ6" s="67"/>
      <c r="BK6" s="94"/>
      <c r="BL6" s="94"/>
      <c r="BM6" s="94"/>
      <c r="BN6" s="94"/>
      <c r="BO6" s="67"/>
      <c r="BP6" s="95"/>
      <c r="BQ6" s="95"/>
      <c r="BR6" s="95"/>
      <c r="BS6" s="96" t="n">
        <f aca="false">BS1+BS3</f>
        <v>0</v>
      </c>
      <c r="BT6" s="96"/>
      <c r="BU6" s="97"/>
      <c r="BV6" s="39"/>
      <c r="BW6" s="39"/>
      <c r="BX6" s="39"/>
      <c r="BY6" s="39"/>
      <c r="BZ6" s="39"/>
      <c r="CA6" s="39"/>
      <c r="CB6" s="39"/>
      <c r="CC6" s="98"/>
    </row>
    <row r="7" s="36" customFormat="true" ht="12.75" hidden="false" customHeight="true" outlineLevel="0" collapsed="false">
      <c r="A7" s="13" t="s">
        <v>48</v>
      </c>
      <c r="B7" s="99"/>
      <c r="C7" s="99"/>
      <c r="D7" s="83" t="s">
        <v>49</v>
      </c>
      <c r="E7" s="100" t="n">
        <f aca="true">NOW()</f>
        <v>43414.5904380231</v>
      </c>
      <c r="F7" s="101" t="s">
        <v>50</v>
      </c>
      <c r="G7" s="102" t="s">
        <v>51</v>
      </c>
      <c r="H7" s="101" t="s">
        <v>52</v>
      </c>
      <c r="I7" s="103" t="s">
        <v>53</v>
      </c>
      <c r="J7" s="104" t="s">
        <v>54</v>
      </c>
      <c r="K7" s="26"/>
      <c r="L7" s="45"/>
      <c r="M7" s="62"/>
      <c r="N7" s="50"/>
      <c r="O7" s="50"/>
      <c r="P7" s="27"/>
      <c r="Q7" s="27"/>
      <c r="R7" s="47"/>
      <c r="S7" s="47"/>
      <c r="T7" s="50"/>
      <c r="U7" s="49"/>
      <c r="V7" s="50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7"/>
      <c r="AI7" s="27"/>
      <c r="AJ7" s="27"/>
      <c r="AK7" s="85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105" t="s">
        <v>55</v>
      </c>
      <c r="BH7" s="106" t="str">
        <f aca="false">IF(E3="PRIVATE","ES",IF(E3="HOUSEHOLD","ES",IF(E3="GOVERNMENT","GS",0)))</f>
        <v>ES</v>
      </c>
      <c r="BI7" s="106" t="s">
        <v>56</v>
      </c>
      <c r="BJ7" s="107"/>
      <c r="BK7" s="108"/>
      <c r="BL7" s="108"/>
      <c r="BM7" s="108"/>
      <c r="BN7" s="108"/>
      <c r="BO7" s="107"/>
      <c r="BP7" s="109"/>
      <c r="BQ7" s="109"/>
      <c r="BR7" s="109"/>
      <c r="BS7" s="110" t="s">
        <v>57</v>
      </c>
      <c r="BT7" s="111" t="s">
        <v>58</v>
      </c>
      <c r="BU7" s="97"/>
      <c r="BV7" s="39"/>
      <c r="BW7" s="39"/>
      <c r="BX7" s="39"/>
      <c r="BY7" s="39"/>
      <c r="BZ7" s="39"/>
      <c r="CA7" s="39"/>
      <c r="CB7" s="39"/>
      <c r="CC7" s="98"/>
    </row>
    <row r="8" s="36" customFormat="true" ht="12.75" hidden="false" customHeight="true" outlineLevel="0" collapsed="false">
      <c r="A8" s="13" t="s">
        <v>59</v>
      </c>
      <c r="B8" s="112" t="s">
        <v>60</v>
      </c>
      <c r="C8" s="112" t="s">
        <v>61</v>
      </c>
      <c r="D8" s="112" t="s">
        <v>62</v>
      </c>
      <c r="E8" s="112" t="s">
        <v>63</v>
      </c>
      <c r="F8" s="101"/>
      <c r="G8" s="102"/>
      <c r="H8" s="101"/>
      <c r="I8" s="103"/>
      <c r="J8" s="104"/>
      <c r="K8" s="113" t="n">
        <f aca="false">E5</f>
        <v>12</v>
      </c>
      <c r="L8" s="104" t="n">
        <f aca="false">E4</f>
        <v>2015</v>
      </c>
      <c r="M8" s="114" t="n">
        <f aca="false">G3</f>
        <v>0</v>
      </c>
      <c r="N8" s="105" t="s">
        <v>64</v>
      </c>
      <c r="O8" s="105" t="s">
        <v>65</v>
      </c>
      <c r="P8" s="105" t="s">
        <v>66</v>
      </c>
      <c r="Q8" s="105" t="s">
        <v>67</v>
      </c>
      <c r="R8" s="105" t="s">
        <v>68</v>
      </c>
      <c r="S8" s="105" t="s">
        <v>64</v>
      </c>
      <c r="T8" s="105" t="s">
        <v>65</v>
      </c>
      <c r="U8" s="105" t="s">
        <v>66</v>
      </c>
      <c r="V8" s="105" t="s">
        <v>67</v>
      </c>
      <c r="W8" s="105" t="s">
        <v>69</v>
      </c>
      <c r="X8" s="105" t="s">
        <v>70</v>
      </c>
      <c r="Y8" s="105" t="s">
        <v>64</v>
      </c>
      <c r="Z8" s="105" t="s">
        <v>65</v>
      </c>
      <c r="AA8" s="105" t="s">
        <v>66</v>
      </c>
      <c r="AB8" s="105" t="s">
        <v>71</v>
      </c>
      <c r="AC8" s="105" t="s">
        <v>67</v>
      </c>
      <c r="AD8" s="105" t="s">
        <v>69</v>
      </c>
      <c r="AE8" s="105" t="s">
        <v>72</v>
      </c>
      <c r="AF8" s="105" t="s">
        <v>64</v>
      </c>
      <c r="AG8" s="105" t="s">
        <v>65</v>
      </c>
      <c r="AH8" s="105" t="s">
        <v>66</v>
      </c>
      <c r="AI8" s="105" t="s">
        <v>73</v>
      </c>
      <c r="AJ8" s="105" t="s">
        <v>74</v>
      </c>
      <c r="AK8" s="105" t="s">
        <v>67</v>
      </c>
      <c r="AL8" s="105" t="s">
        <v>69</v>
      </c>
      <c r="AM8" s="105" t="s">
        <v>75</v>
      </c>
      <c r="AN8" s="105" t="s">
        <v>76</v>
      </c>
      <c r="AO8" s="105" t="s">
        <v>64</v>
      </c>
      <c r="AP8" s="105" t="s">
        <v>65</v>
      </c>
      <c r="AQ8" s="105" t="s">
        <v>66</v>
      </c>
      <c r="AR8" s="105" t="s">
        <v>73</v>
      </c>
      <c r="AS8" s="115" t="s">
        <v>77</v>
      </c>
      <c r="AT8" s="105" t="s">
        <v>67</v>
      </c>
      <c r="AU8" s="105" t="s">
        <v>69</v>
      </c>
      <c r="AV8" s="105" t="s">
        <v>75</v>
      </c>
      <c r="AW8" s="105" t="s">
        <v>78</v>
      </c>
      <c r="AX8" s="105" t="s">
        <v>64</v>
      </c>
      <c r="AY8" s="105" t="s">
        <v>65</v>
      </c>
      <c r="AZ8" s="105" t="s">
        <v>66</v>
      </c>
      <c r="BA8" s="105" t="s">
        <v>73</v>
      </c>
      <c r="BB8" s="115" t="s">
        <v>79</v>
      </c>
      <c r="BC8" s="105" t="s">
        <v>67</v>
      </c>
      <c r="BD8" s="105" t="s">
        <v>69</v>
      </c>
      <c r="BE8" s="105" t="s">
        <v>75</v>
      </c>
      <c r="BF8" s="105" t="s">
        <v>80</v>
      </c>
      <c r="BG8" s="105"/>
      <c r="BH8" s="106"/>
      <c r="BI8" s="106"/>
      <c r="BJ8" s="116" t="s">
        <v>81</v>
      </c>
      <c r="BK8" s="116"/>
      <c r="BL8" s="116"/>
      <c r="BM8" s="116"/>
      <c r="BN8" s="116"/>
      <c r="BO8" s="117" t="s">
        <v>82</v>
      </c>
      <c r="BP8" s="117"/>
      <c r="BQ8" s="117" t="s">
        <v>83</v>
      </c>
      <c r="BR8" s="117" t="s">
        <v>58</v>
      </c>
      <c r="BS8" s="110"/>
      <c r="BT8" s="111"/>
      <c r="BU8" s="39"/>
      <c r="BV8" s="39"/>
      <c r="BX8" s="39"/>
      <c r="BY8" s="39"/>
      <c r="BZ8" s="39"/>
      <c r="CA8" s="39"/>
      <c r="CB8" s="39"/>
      <c r="CC8" s="98"/>
    </row>
    <row r="9" customFormat="false" ht="12.75" hidden="false" customHeight="true" outlineLevel="0" collapsed="false">
      <c r="A9" s="27" t="n">
        <v>1</v>
      </c>
      <c r="B9" s="118"/>
      <c r="C9" s="118"/>
      <c r="D9" s="118"/>
      <c r="E9" s="118"/>
      <c r="F9" s="119"/>
      <c r="G9" s="120"/>
      <c r="H9" s="121"/>
      <c r="I9" s="122"/>
      <c r="J9" s="123" t="n">
        <f aca="false">IF(L9=2008,AF9+AG9+AH9+AI9+AJ9,IF(L9=2009,AF9+AG9+AH9+AI9+AJ9,IF(L9=2010,AF9+AG9+AH9+AI9+AJ9,IF(L9=2011,AF9+AG9+AH9+AI9+AJ9,IF(L9=2012,AF9+AG9+AH9+AI9+AJ9,IF(L9=2013,AO9+AP9+AQ9+AR9+AS9,IF(L9=2014,AX9+AY9+AZ9+BA9+BB9,IF(L9=2015,AX9+AY9+AZ9+BA9+BB9))))))))</f>
        <v>0</v>
      </c>
      <c r="K9" s="123" t="n">
        <f aca="false">K8</f>
        <v>12</v>
      </c>
      <c r="L9" s="74" t="n">
        <f aca="false">L8</f>
        <v>2015</v>
      </c>
      <c r="M9" s="124" t="n">
        <f aca="false">M8</f>
        <v>0</v>
      </c>
      <c r="N9" s="74" t="str">
        <f aca="false">IF(I9=0,"0",IF(I9&lt;=4999.99,"1",IF(I9&lt;=5999.99,"2",IF(I9&lt;=6999.99,"3",IF(I9&lt;=7999.99,"4",IF(I9&lt;=8999.99,"5",IF(I9&lt;=9999.99,"6",IF(I9&gt;=9999.99,"0",0))))))))</f>
        <v>0</v>
      </c>
      <c r="O9" s="74" t="str">
        <f aca="false">IF(I9&lt;=9999.99,"0",IF(I9&lt;=10999.99,"7",IF(I9&lt;=11999.99,"8",IF(I9&lt;=12999.99,"9",IF(I9&lt;=13999.99,"10",IF(I9&lt;=14999.99,"11",IF(I9&gt;=14999.99,"0")))))))</f>
        <v>0</v>
      </c>
      <c r="P9" s="74" t="str">
        <f aca="false">IF(I9&lt;=14999.99,"0",IF(I9&gt;=15000,"12"))</f>
        <v>0</v>
      </c>
      <c r="Q9" s="74" t="n">
        <f aca="false">IF(J9=1,"50",IF(J9=2,"62.50",IF(J9=3,"75",IF(J9=4,"87.5",IF(J9=5,"100",IF(J9=6,"112.50",IF(J9=7,"125",IF(J9=8,"137.50",0))))))))</f>
        <v>0</v>
      </c>
      <c r="R9" s="74" t="n">
        <f aca="false">IF(J9=9,"150",IF(J9=10,"162.50",IF(J9=11,"175",IF(J9=12,"187.50",0))))</f>
        <v>0</v>
      </c>
      <c r="S9" s="27" t="str">
        <f aca="false">IF(I9=0,"0",IF(I9&lt;=4999.99,"1",IF(I9&lt;=5999.99,"2",IF(I9&lt;=6999.99,"3",IF(I9&lt;=7999.99,"4",IF(I9&lt;=8999.99,"5",IF(I9&lt;=9999.99,"6",IF(I9&gt;=9999.99,"0",0))))))))</f>
        <v>0</v>
      </c>
      <c r="T9" s="27" t="str">
        <f aca="false">IF(I9&lt;=9999.99,"0",IF(I9&lt;=10999.99,"7",IF(I9&lt;=11999.99,"8",IF(I9&lt;=12999.99,"9",IF(I9&lt;=13999.99,"10",IF(I9&lt;=14999.99,"11",IF(I9&gt;=14999.99,"0")))))))</f>
        <v>0</v>
      </c>
      <c r="U9" s="27" t="str">
        <f aca="false">IF(I9&lt;=14999.99,"0",IF(I9&lt;=15999.99,"12",IF(I9&lt;=16999.99,"13",IF(I9&lt;=17999.99,"14",IF(I9&lt;=18999.99,"15",IF(I9&lt;=19999.99,"16",IF(I9&gt;=20000,"17")))))))</f>
        <v>0</v>
      </c>
      <c r="V9" s="125" t="n">
        <f aca="false">IF(J9=1,"50",IF(J9=2,"62.50",IF(J9=3,"75",IF(J9=4,"87.5",IF(J9=5,"100",IF(J9=6,"112.50",IF(J9=7,"125",IF(J9=8,"137.50",0))))))))</f>
        <v>0</v>
      </c>
      <c r="W9" s="125" t="n">
        <f aca="false">IF(J9=9,"150",IF(J9=10,"162.50",IF(J9=11,"175",IF(J9=12,"187.50",IF(J9=13,"200",IF(J9=14,"212.5",IF(J9=15,"225",IF(J9=16,"237.5",0))))))))</f>
        <v>0</v>
      </c>
      <c r="X9" s="125" t="n">
        <f aca="false">IF(J9=17,"250",0)</f>
        <v>0</v>
      </c>
      <c r="Y9" s="27" t="str">
        <f aca="false">IF(I9=0,"0",IF(I9&lt;=4999.99,"1",IF(I9&lt;=5999.99,"2",IF(I9&lt;=6999.99,"3",IF(I9&lt;=7999.99,"4",IF(I9&lt;=8999.99,"5",IF(I9&lt;=9999.99,"6",IF(I9&gt;=9999.99,"0",0))))))))</f>
        <v>0</v>
      </c>
      <c r="Z9" s="27" t="str">
        <f aca="false">IF(I9&lt;=9999.99,"0",IF(I9&lt;=10999.99,"7",IF(I9&lt;=11999.99,"8",IF(I9&lt;=12999.99,"9",IF(I9&lt;=13999.99,"10",IF(I9&lt;=14999.99,"11",IF(I9&gt;=14999.99,"0")))))))</f>
        <v>0</v>
      </c>
      <c r="AA9" s="27" t="str">
        <f aca="false">IF(I9&lt;=14999.99,"0",IF(I9&lt;=15999.99,"12",IF(I9&lt;=16999.99,"13",IF(I9&lt;=17999.99,"14",IF(I9&lt;=18999.99,"15",IF(I9&lt;=19999.99,"16",IF(I9&lt;=20999.99,"17",IF(I9&gt;=20999.99,"0"))))))))</f>
        <v>0</v>
      </c>
      <c r="AB9" s="27" t="str">
        <f aca="false">IF(I9&lt;=20999.99,"0",IF(I9&lt;=21999.99,"18",IF(I9&lt;=22999.99,"19",IF(I9&lt;=23999.99,"20",IF(I9&lt;=24999.99,"21",IF(I9&gt;=25000,"22"))))))</f>
        <v>0</v>
      </c>
      <c r="AC9" s="125" t="n">
        <f aca="false">IF(J9=1,"50",IF(J9=2,"62.50",IF(J9=3,"75",IF(J9=4,"87.5",IF(J9=5,"100",IF(J9=6,"112.50",IF(J9=7,"125",IF(J9=8,"137.50",0))))))))</f>
        <v>0</v>
      </c>
      <c r="AD9" s="125" t="n">
        <f aca="false">IF(J9=9,"150",IF(J9=10,"162.50",IF(J9=11,"175",IF(J9=12,"187.50",IF(J9=13,"200",IF(J9=14,"212.5",IF(J9=15,"225",IF(J9=16,"237.5",0))))))))</f>
        <v>0</v>
      </c>
      <c r="AE9" s="125" t="n">
        <f aca="false">IF(J9=17,"250",IF(J9=18,"262.50",IF(J9=19,"275",IF(J9=20,"287.50",IF(J9=21,"300",IF(J9=22,"312.50",0))))))</f>
        <v>0</v>
      </c>
      <c r="AF9" s="27" t="str">
        <f aca="false">IF(I9=0,"0",IF(I9&lt;=4999.99,"1",IF(I9&lt;=5999.99,"2",IF(I9&lt;=6999.99,"3",IF(I9&lt;=7999.99,"4",IF(I9&lt;=8999.99,"5",IF(I9&lt;=9999.99,"6",IF(I9&gt;=9999.99,"0",0))))))))</f>
        <v>0</v>
      </c>
      <c r="AG9" s="27" t="str">
        <f aca="false">IF(I9&lt;=9999.99,"0",IF(I9&lt;=10999.99,"7",IF(I9&lt;=11999.99,"8",IF(I9&lt;=12999.99,"9",IF(I9&lt;=13999.99,"10",IF(I9&lt;=14999.99,"11",IF(I9&gt;=14999.99,"0")))))))</f>
        <v>0</v>
      </c>
      <c r="AH9" s="27" t="str">
        <f aca="false">IF(I9&lt;=14999.99,"0",IF(I9&lt;=15999.99,"12",IF(I9&lt;=16999.99,"13",IF(I9&lt;=17999.99,"14",IF(I9&lt;=18999.99,"15",IF(I9&lt;=19999.99,"16",IF(I9&lt;=20999.99,"17",IF(I9&gt;=20999.99,"0"))))))))</f>
        <v>0</v>
      </c>
      <c r="AI9" s="27" t="str">
        <f aca="false">IF(I9&lt;=20999.99,"0",IF(I9&lt;=21999.99,"18",IF(I9&lt;=22999.99,"19",IF(I9&lt;=23999.99,"20",IF(I9&lt;=24999.99,"21",IF(I9&lt;=25999.99,"22",IF(I9&lt;=26999.99,"23",IF(I9&gt;=26999.99,"0"))))))))</f>
        <v>0</v>
      </c>
      <c r="AJ9" s="27" t="str">
        <f aca="false">IF(I9&lt;=26999.99,"0",IF(I9&lt;=27999.99,"24",IF(I9&lt;=28999.99,"25",IF(I9&lt;=29999.99,"26",IF(I9&gt;=30000,"27")))))</f>
        <v>0</v>
      </c>
      <c r="AK9" s="125" t="n">
        <f aca="false">IF(J9=1,"50",IF(J9=2,"62.50",IF(J9=3,"75",IF(J9=4,"87.5",IF(J9=5,"100",IF(J9=6,"112.50",IF(J9=7,"125",IF(J9=8,"137.50",0))))))))</f>
        <v>0</v>
      </c>
      <c r="AL9" s="125" t="n">
        <f aca="false">IF(J9=9,"150",IF(J9=10,"162.50",IF(J9=11,"175",IF(J9=12,"187.50",IF(J9=13,"200",IF(J9=14,"212.5",IF(J9=15,"225",IF(J9=16,"237.5",0))))))))</f>
        <v>0</v>
      </c>
      <c r="AM9" s="125" t="n">
        <f aca="false">IF(J9=17,"250",IF(J9=18,"262.50",IF(J9=19,"275",IF(J9=20,"287.50",IF(J9=21,"300",IF(J9=22,"312.50",IF(J9=23,"325",IF(J9=24,"337.50",0))))))))</f>
        <v>0</v>
      </c>
      <c r="AN9" s="125" t="n">
        <f aca="false">IF(J9=25,"350",IF(J9=26,"362.50",IF(J9=27,"375",0)))</f>
        <v>0</v>
      </c>
      <c r="AO9" s="27" t="str">
        <f aca="false">IF(I9=0,"0",IF(I9&lt;=7999.99,"1",IF(I9&lt;=8999.99,"2",IF(I9&lt;=9999.99,"3",IF(I9&lt;=10999.99,"4",IF(I9&lt;=11999.99,"5",IF(I9&lt;=12999.99,"6",IF(I9&gt;=12999.99,"0",0))))))))</f>
        <v>0</v>
      </c>
      <c r="AP9" s="27" t="str">
        <f aca="false">IF(I9&lt;=12999.99,"0",IF(I9&lt;=13999.99,"7",IF(I9&lt;=14999.99,"8",IF(I9&lt;=15999.99,"9",IF(I9&lt;=16999.99,"10",IF(I9&lt;=17999.99,"11",IF(I9&gt;=17999.99,"0")))))))</f>
        <v>0</v>
      </c>
      <c r="AQ9" s="27" t="str">
        <f aca="false">IF(I9&lt;=17999.99,"0",IF(I9&lt;=18999.99,"12",IF(I9&lt;=19999.99,"13",IF(I9&lt;=20999.99,"14",IF(I9&lt;=21999.99,"15",IF(I9&lt;=22999.99,"16",IF(I9&lt;=23999.99,"17",IF(I9&gt;=23999.99,"0"))))))))</f>
        <v>0</v>
      </c>
      <c r="AR9" s="27" t="str">
        <f aca="false">IF(I9&lt;=23999.99,"0",IF(I9&lt;=24999.99,"18",IF(I9&lt;=25999.99,"19",IF(I9&lt;=26999.99,"20",IF(I9&lt;=27999.99,"21",IF(I9&lt;=28999.99,"22",IF(I9&lt;=29999.99,"23",IF(I9&gt;=29999.99,"0"))))))))</f>
        <v>0</v>
      </c>
      <c r="AS9" s="27" t="str">
        <f aca="false">IF(I9&lt;=29999.99,"0",IF(I9&lt;=30999.99,"24",IF(I9&lt;=31999.99,"25",IF(I9&lt;=32999.99,"26",IF(I9&lt;=33999.99,"27",IF(I9&lt;=34999.99,"28",IF(I9&gt;=35000,"29")))))))</f>
        <v>0</v>
      </c>
      <c r="AT9" s="27" t="n">
        <f aca="false">IF(J9=1,"87.50",IF(J9=2,"100",IF(J9=3,"112.50",IF(J9=4,"125",IF(J9=5,"137.50",IF(J9=6,"150",IF(J9=7,"162.50",IF(J9=8,"175",0))))))))</f>
        <v>0</v>
      </c>
      <c r="AU9" s="27" t="n">
        <f aca="false">IF(J9=9,"187.50",IF(J9=10,"200",IF(J9=11,"212.50",IF(J9=12,"225",IF(J9=13,"237.50",IF(J9=14,"250",IF(J9=15,"262.50",IF(J9=16,"275",0))))))))</f>
        <v>0</v>
      </c>
      <c r="AV9" s="27" t="n">
        <f aca="false">IF(J9=17,"287.50",IF(J9=18,"300",IF(J9=19,"312.50",IF(J9=20,"325",IF(J9=21,"337.50",IF(J9=22,"350",IF(J9=23,"362.50",IF(J9=24,"375",0))))))))</f>
        <v>0</v>
      </c>
      <c r="AW9" s="27" t="n">
        <f aca="false">IF(J9=25,"387.50",IF(J9=26,"400",IF(J9=27,"412.50",IF(J9=28,"425",IF(J9=29,"437.50",0)))))</f>
        <v>0</v>
      </c>
      <c r="AX9" s="27" t="str">
        <f aca="false">IF(I9=0,"0",IF(I9&lt;=8999.99,"1",IF(I9&lt;=9999.99,"2",IF(I9&lt;=10999.99,"3",IF(I9&lt;=11999.99,"4",IF(I9&lt;=12999.99,"5",IF(I9&lt;=13999.99,"6",IF(I9&gt;=13999.99,"0",0))))))))</f>
        <v>0</v>
      </c>
      <c r="AY9" s="27" t="str">
        <f aca="false">IF(I9&lt;=13999.99,"0",IF(I9&lt;=14999.99,"7",IF(I9&lt;=15999.99,"8",IF(I9&lt;=16999.99,"9",IF(I9&lt;=17999.99,"10",IF(I9&lt;=18999.99,"11",IF(I9&gt;=18999.99,"0")))))))</f>
        <v>0</v>
      </c>
      <c r="AZ9" s="27" t="str">
        <f aca="false">IF(I9&lt;=18999.99,"0",IF(I9&lt;=19999.99,"12",IF(I9&lt;=20999.99,"13",IF(I9&lt;=21999.99,"14",IF(I9&lt;=22999.99,"15",IF(I9&lt;=23999.99,"16",IF(I9&lt;=24999.99,"17",IF(I9&gt;=24999.99,"0"))))))))</f>
        <v>0</v>
      </c>
      <c r="BA9" s="27" t="str">
        <f aca="false">IF(I9&lt;=24999.99,"0",IF(I9&lt;=25999.99,"18",IF(I9&lt;=26999.99,"19",IF(I9&lt;=27999.99,"20",IF(I9&lt;=28999.99,"21",IF(I9&lt;=29999.99,"22",IF(I9&lt;=30999.99,"23",IF(I9&gt;=30999.99,"0"))))))))</f>
        <v>0</v>
      </c>
      <c r="BB9" s="27" t="str">
        <f aca="false">IF(I9&lt;=30999.99,"0",IF(I9&lt;=31999.99,"24",IF(I9&lt;=32999.99,"25",IF(I9&lt;=33999.99,"26",IF(I9&lt;=34999.99,"27",IF(I9&gt;=35000,"28"))))))</f>
        <v>0</v>
      </c>
      <c r="BC9" s="27" t="n">
        <f aca="false">IF(J9=1,"100",IF(J9=2,"112.50",IF(J9=3,"125",IF(J9=4,"137.50",IF(J9=5,"150",IF(J9=6,"162.50",IF(J9=7,"175",IF(J9=8,"187.50",0))))))))</f>
        <v>0</v>
      </c>
      <c r="BD9" s="27" t="n">
        <f aca="false">IF(J9=9,"200",IF(J9=10,"212.50",IF(J9=11,"225",IF(J9=12,"237.50",IF(J9=13,"250",IF(J9=14,"262.50",IF(J9=15,"275",IF(J9=16,"287.50",0))))))))</f>
        <v>0</v>
      </c>
      <c r="BE9" s="27" t="n">
        <f aca="false">IF(J9=17,"300",IF(J9=18,"312.50",IF(J9=19,"325",IF(J9=20,"337.50",IF(J9=21,"350",IF(J9=22,"362.50",IF(J9=23,"375",IF(J9=24,"387.50",0))))))))</f>
        <v>0</v>
      </c>
      <c r="BF9" s="27" t="n">
        <f aca="false">IF(J9=25,"400",IF(J9=26,"412.50",IF(J9=27,"425",IF(J9=28,"437.50",0))))</f>
        <v>0</v>
      </c>
      <c r="BG9" s="125" t="n">
        <f aca="false">IF(L9=2008,AK9+AL9+AM9+AN9,IF(L9=2009,AK9+AL9+AM9+AN9,IF(L9=2010,AK9+AL9+AM9+AN9,IF(L9=2011,AK9+AL9+AM9+AN9,IF(L9=2012,AK9+AL9+AM9+AN9,IF(L9=2013,AT9+AU9+AV9+AW9,IF(L9=2014,BC9+BD9+BE9+BF9,IF(L9=2015,BC9+BD9+BE9+BF9))))))))</f>
        <v>0</v>
      </c>
      <c r="BH9" s="125" t="n">
        <f aca="false">IF(L9=2008,AK9+AL9+AM9+AN9,IF(L9=2009,AK9+AL9+AM9+AN9,IF(L9=2010,AK9+AL9+AM9+AN9,IF(L9=2011,AK9+AL9+AM9+AN9,IF(L9=2012,AK9+AL9+AM9+AN9,IF(L9=2013,AT9+AU9+AV9+AW9,IF(L9=2014,BC9+BD9+BE9+BF9,IF(L9=2015,BC9+BD9+BE9+BF9))))))))</f>
        <v>0</v>
      </c>
      <c r="BI9" s="126" t="n">
        <f aca="false">IF(BH9=0,0,IF(BH9&lt;=M9,BH9,IF(BH9&gt;=M9,M9)))</f>
        <v>0</v>
      </c>
      <c r="BJ9" s="127" t="n">
        <f aca="false">CODE(B9:B18)</f>
        <v>0</v>
      </c>
      <c r="BK9" s="127" t="n">
        <f aca="false">ISBLANK(E9)</f>
        <v>1</v>
      </c>
      <c r="BL9" s="127" t="n">
        <f aca="false">CODE(E9)</f>
        <v>0</v>
      </c>
      <c r="BM9" s="127" t="str">
        <f aca="false">CHAR(BL9)</f>
        <v>_x0000_</v>
      </c>
      <c r="BN9" s="128" t="n">
        <f aca="false">ISBLANK(F9)</f>
        <v>1</v>
      </c>
      <c r="BO9" s="129" t="n">
        <f aca="false">ISBLANK(BS9)</f>
        <v>1</v>
      </c>
      <c r="BP9" s="130" t="n">
        <f aca="false">ISBLANK(BT9)</f>
        <v>1</v>
      </c>
      <c r="BQ9" s="130" t="n">
        <f aca="false">ISBLANK(G9)</f>
        <v>1</v>
      </c>
      <c r="BR9" s="130" t="str">
        <f aca="false">TEXT(BT9,"MMDDYYYY")</f>
        <v>12301899</v>
      </c>
      <c r="BS9" s="131"/>
      <c r="BT9" s="132"/>
      <c r="BU9" s="0"/>
      <c r="BV9" s="0"/>
      <c r="BZ9" s="0"/>
      <c r="CA9" s="0"/>
      <c r="CB9" s="0"/>
      <c r="CC9" s="12"/>
      <c r="DN9" s="6"/>
      <c r="DO9" s="6"/>
      <c r="DP9" s="6"/>
      <c r="DQ9" s="6"/>
      <c r="DY9" s="6"/>
      <c r="DZ9" s="6"/>
      <c r="EA9" s="6"/>
      <c r="EB9" s="6"/>
      <c r="EC9" s="6"/>
      <c r="ED9" s="6"/>
      <c r="EE9" s="6"/>
      <c r="EF9" s="6"/>
      <c r="EG9" s="6"/>
    </row>
    <row r="10" customFormat="false" ht="12.75" hidden="false" customHeight="true" outlineLevel="0" collapsed="false">
      <c r="A10" s="27" t="n">
        <f aca="false">A9+1</f>
        <v>2</v>
      </c>
      <c r="B10" s="118"/>
      <c r="C10" s="118"/>
      <c r="D10" s="118"/>
      <c r="E10" s="118"/>
      <c r="F10" s="119"/>
      <c r="G10" s="120"/>
      <c r="H10" s="121"/>
      <c r="I10" s="122"/>
      <c r="J10" s="123" t="n">
        <f aca="false">IF(L10=2008,AF10+AG10+AH10+AI10+AJ10,IF(L10=2009,AF10+AG10+AH10+AI10+AJ10,IF(L10=2010,AF10+AG10+AH10+AI10+AJ10,IF(L10=2011,AF10+AG10+AH10+AI10+AJ10,IF(L10=2012,AF10+AG10+AH10+AI10+AJ10,IF(L10=2013,AO10+AP10+AQ10+AR10+AS10,IF(L10=2014,AX10+AY10+AZ10+BA10+BB10,IF(L10=2015,AX10+AY10+AZ10+BA10+BB10))))))))</f>
        <v>0</v>
      </c>
      <c r="K10" s="123" t="n">
        <f aca="false">K9</f>
        <v>12</v>
      </c>
      <c r="L10" s="74" t="n">
        <f aca="false">L9</f>
        <v>2015</v>
      </c>
      <c r="M10" s="124" t="n">
        <f aca="false">M9</f>
        <v>0</v>
      </c>
      <c r="N10" s="74" t="str">
        <f aca="false">IF(I10=0,"0",IF(I10&lt;=4999.99,"1",IF(I10&lt;=5999.99,"2",IF(I10&lt;=6999.99,"3",IF(I10&lt;=7999.99,"4",IF(I10&lt;=8999.99,"5",IF(I10&lt;=9999.99,"6",IF(I10&gt;=9999.99,"0",0))))))))</f>
        <v>0</v>
      </c>
      <c r="O10" s="74" t="str">
        <f aca="false">IF(I10&lt;=9999.99,"0",IF(I10&lt;=10999.99,"7",IF(I10&lt;=11999.99,"8",IF(I10&lt;=12999.99,"9",IF(I10&lt;=13999.99,"10",IF(I10&lt;=14999.99,"11",IF(I10&gt;=14999.99,"0")))))))</f>
        <v>0</v>
      </c>
      <c r="P10" s="74" t="str">
        <f aca="false">IF(I10&lt;=14999.99,"0",IF(I10&gt;=15000,"12"))</f>
        <v>0</v>
      </c>
      <c r="Q10" s="74" t="n">
        <f aca="false">IF(J10=1,"50",IF(J10=2,"62.50",IF(J10=3,"75",IF(J10=4,"87.5",IF(J10=5,"100",IF(J10=6,"112.50",IF(J10=7,"125",IF(J10=8,"137.50",0))))))))</f>
        <v>0</v>
      </c>
      <c r="R10" s="74" t="n">
        <f aca="false">IF(J10=9,"150",IF(J10=10,"162.50",IF(J10=11,"175",IF(J10=12,"187.50",0))))</f>
        <v>0</v>
      </c>
      <c r="S10" s="27" t="str">
        <f aca="false">IF(I10=0,"0",IF(I10&lt;=4999.99,"1",IF(I10&lt;=5999.99,"2",IF(I10&lt;=6999.99,"3",IF(I10&lt;=7999.99,"4",IF(I10&lt;=8999.99,"5",IF(I10&lt;=9999.99,"6",IF(I10&gt;=9999.99,"0",0))))))))</f>
        <v>0</v>
      </c>
      <c r="T10" s="27" t="str">
        <f aca="false">IF(I10&lt;=9999.99,"0",IF(I10&lt;=10999.99,"7",IF(I10&lt;=11999.99,"8",IF(I10&lt;=12999.99,"9",IF(I10&lt;=13999.99,"10",IF(I10&lt;=14999.99,"11",IF(I10&gt;=14999.99,"0")))))))</f>
        <v>0</v>
      </c>
      <c r="U10" s="27" t="str">
        <f aca="false">IF(I10&lt;=14999.99,"0",IF(I10&lt;=15999.99,"12",IF(I10&lt;=16999.99,"13",IF(I10&lt;=17999.99,"14",IF(I10&lt;=18999.99,"15",IF(I10&lt;=19999.99,"16",IF(I10&gt;=20000,"17")))))))</f>
        <v>0</v>
      </c>
      <c r="V10" s="125" t="n">
        <f aca="false">IF(J10=1,"50",IF(J10=2,"62.50",IF(J10=3,"75",IF(J10=4,"87.5",IF(J10=5,"100",IF(J10=6,"112.50",IF(J10=7,"125",IF(J10=8,"137.50",0))))))))</f>
        <v>0</v>
      </c>
      <c r="W10" s="125" t="n">
        <f aca="false">IF(J10=9,"150",IF(J10=10,"162.50",IF(J10=11,"175",IF(J10=12,"187.50",IF(J10=13,"200",IF(J10=14,"212.5",IF(J10=15,"225",IF(J10=16,"237.5",0))))))))</f>
        <v>0</v>
      </c>
      <c r="X10" s="125" t="n">
        <f aca="false">IF(J10=17,"250",0)</f>
        <v>0</v>
      </c>
      <c r="Y10" s="27" t="str">
        <f aca="false">IF(I10=0,"0",IF(I10&lt;=4999.99,"1",IF(I10&lt;=5999.99,"2",IF(I10&lt;=6999.99,"3",IF(I10&lt;=7999.99,"4",IF(I10&lt;=8999.99,"5",IF(I10&lt;=9999.99,"6",IF(I10&gt;=9999.99,"0",0))))))))</f>
        <v>0</v>
      </c>
      <c r="Z10" s="27" t="str">
        <f aca="false">IF(I10&lt;=9999.99,"0",IF(I10&lt;=10999.99,"7",IF(I10&lt;=11999.99,"8",IF(I10&lt;=12999.99,"9",IF(I10&lt;=13999.99,"10",IF(I10&lt;=14999.99,"11",IF(I10&gt;=14999.99,"0")))))))</f>
        <v>0</v>
      </c>
      <c r="AA10" s="27" t="str">
        <f aca="false">IF(I10&lt;=14999.99,"0",IF(I10&lt;=15999.99,"12",IF(I10&lt;=16999.99,"13",IF(I10&lt;=17999.99,"14",IF(I10&lt;=18999.99,"15",IF(I10&lt;=19999.99,"16",IF(I10&lt;=20999.99,"17",IF(I10&gt;=20999.99,"0"))))))))</f>
        <v>0</v>
      </c>
      <c r="AB10" s="27" t="str">
        <f aca="false">IF(I10&lt;=20999.99,"0",IF(I10&lt;=21999.99,"18",IF(I10&lt;=22999.99,"19",IF(I10&lt;=23999.99,"20",IF(I10&lt;=24999.99,"21",IF(I10&gt;=25000,"22"))))))</f>
        <v>0</v>
      </c>
      <c r="AC10" s="125" t="n">
        <f aca="false">IF(J10=1,"50",IF(J10=2,"62.50",IF(J10=3,"75",IF(J10=4,"87.5",IF(J10=5,"100",IF(J10=6,"112.50",IF(J10=7,"125",IF(J10=8,"137.50",0))))))))</f>
        <v>0</v>
      </c>
      <c r="AD10" s="125" t="n">
        <f aca="false">IF(J10=9,"150",IF(J10=10,"162.50",IF(J10=11,"175",IF(J10=12,"187.50",IF(J10=13,"200",IF(J10=14,"212.5",IF(J10=15,"225",IF(J10=16,"237.5",0))))))))</f>
        <v>0</v>
      </c>
      <c r="AE10" s="125" t="n">
        <f aca="false">IF(J10=17,"250",IF(J10=18,"262.50",IF(J10=19,"275",IF(J10=20,"287.50",IF(J10=21,"300",IF(J10=22,"312.50",0))))))</f>
        <v>0</v>
      </c>
      <c r="AF10" s="27" t="str">
        <f aca="false">IF(I10=0,"0",IF(I10&lt;=4999.99,"1",IF(I10&lt;=5999.99,"2",IF(I10&lt;=6999.99,"3",IF(I10&lt;=7999.99,"4",IF(I10&lt;=8999.99,"5",IF(I10&lt;=9999.99,"6",IF(I10&gt;=9999.99,"0",0))))))))</f>
        <v>0</v>
      </c>
      <c r="AG10" s="27" t="str">
        <f aca="false">IF(I10&lt;=9999.99,"0",IF(I10&lt;=10999.99,"7",IF(I10&lt;=11999.99,"8",IF(I10&lt;=12999.99,"9",IF(I10&lt;=13999.99,"10",IF(I10&lt;=14999.99,"11",IF(I10&gt;=14999.99,"0")))))))</f>
        <v>0</v>
      </c>
      <c r="AH10" s="27" t="str">
        <f aca="false">IF(I10&lt;=14999.99,"0",IF(I10&lt;=15999.99,"12",IF(I10&lt;=16999.99,"13",IF(I10&lt;=17999.99,"14",IF(I10&lt;=18999.99,"15",IF(I10&lt;=19999.99,"16",IF(I10&lt;=20999.99,"17",IF(I10&gt;=20999.99,"0"))))))))</f>
        <v>0</v>
      </c>
      <c r="AI10" s="27" t="str">
        <f aca="false">IF(I10&lt;=20999.99,"0",IF(I10&lt;=21999.99,"18",IF(I10&lt;=22999.99,"19",IF(I10&lt;=23999.99,"20",IF(I10&lt;=24999.99,"21",IF(I10&lt;=25999.99,"22",IF(I10&lt;=26999.99,"23",IF(I10&gt;=26999.99,"0"))))))))</f>
        <v>0</v>
      </c>
      <c r="AJ10" s="27" t="str">
        <f aca="false">IF(I10&lt;=26999.99,"0",IF(I10&lt;=27999.99,"24",IF(I10&lt;=28999.99,"25",IF(I10&lt;=29999.99,"26",IF(I10&gt;=30000,"27")))))</f>
        <v>0</v>
      </c>
      <c r="AK10" s="125" t="n">
        <f aca="false">IF(J10=1,"50",IF(J10=2,"62.50",IF(J10=3,"75",IF(J10=4,"87.5",IF(J10=5,"100",IF(J10=6,"112.50",IF(J10=7,"125",IF(J10=8,"137.50",0))))))))</f>
        <v>0</v>
      </c>
      <c r="AL10" s="125" t="n">
        <f aca="false">IF(J10=9,"150",IF(J10=10,"162.50",IF(J10=11,"175",IF(J10=12,"187.50",IF(J10=13,"200",IF(J10=14,"212.5",IF(J10=15,"225",IF(J10=16,"237.5",0))))))))</f>
        <v>0</v>
      </c>
      <c r="AM10" s="125" t="n">
        <f aca="false">IF(J10=17,"250",IF(J10=18,"262.50",IF(J10=19,"275",IF(J10=20,"287.50",IF(J10=21,"300",IF(J10=22,"312.50",IF(J10=23,"325",IF(J10=24,"337.50",0))))))))</f>
        <v>0</v>
      </c>
      <c r="AN10" s="125" t="n">
        <f aca="false">IF(J10=25,"350",IF(J10=26,"362.50",IF(J10=27,"375",0)))</f>
        <v>0</v>
      </c>
      <c r="AO10" s="27" t="str">
        <f aca="false">IF(I10=0,"0",IF(I10&lt;=7999.99,"1",IF(I10&lt;=8999.99,"2",IF(I10&lt;=9999.99,"3",IF(I10&lt;=10999.99,"4",IF(I10&lt;=11999.99,"5",IF(I10&lt;=12999.99,"6",IF(I10&gt;=12999.99,"0",0))))))))</f>
        <v>0</v>
      </c>
      <c r="AP10" s="27" t="str">
        <f aca="false">IF(I10&lt;=12999.99,"0",IF(I10&lt;=13999.99,"7",IF(I10&lt;=14999.99,"8",IF(I10&lt;=15999.99,"9",IF(I10&lt;=16999.99,"10",IF(I10&lt;=17999.99,"11",IF(I10&gt;=17999.99,"0")))))))</f>
        <v>0</v>
      </c>
      <c r="AQ10" s="27" t="str">
        <f aca="false">IF(I10&lt;=17999.99,"0",IF(I10&lt;=18999.99,"12",IF(I10&lt;=19999.99,"13",IF(I10&lt;=20999.99,"14",IF(I10&lt;=21999.99,"15",IF(I10&lt;=22999.99,"16",IF(I10&lt;=23999.99,"17",IF(I10&gt;=23999.99,"0"))))))))</f>
        <v>0</v>
      </c>
      <c r="AR10" s="27" t="str">
        <f aca="false">IF(I10&lt;=23999.99,"0",IF(I10&lt;=24999.99,"18",IF(I10&lt;=25999.99,"19",IF(I10&lt;=26999.99,"20",IF(I10&lt;=27999.99,"21",IF(I10&lt;=28999.99,"22",IF(I10&lt;=29999.99,"23",IF(I10&gt;=29999.99,"0"))))))))</f>
        <v>0</v>
      </c>
      <c r="AS10" s="27" t="str">
        <f aca="false">IF(I10&lt;=29999.99,"0",IF(I10&lt;=30999.99,"24",IF(I10&lt;=31999.99,"25",IF(I10&lt;=32999.99,"26",IF(I10&lt;=33999.99,"27",IF(I10&lt;=34999.99,"28",IF(I10&gt;=35000,"29")))))))</f>
        <v>0</v>
      </c>
      <c r="AT10" s="27" t="n">
        <f aca="false">IF(J10=1,"87.50",IF(J10=2,"100",IF(J10=3,"112.50",IF(J10=4,"125",IF(J10=5,"137.50",IF(J10=6,"150",IF(J10=7,"162.50",IF(J10=8,"175",0))))))))</f>
        <v>0</v>
      </c>
      <c r="AU10" s="27" t="n">
        <f aca="false">IF(J10=9,"187.50",IF(J10=10,"200",IF(J10=11,"212.50",IF(J10=12,"225",IF(J10=13,"237.50",IF(J10=14,"250",IF(J10=15,"262.50",IF(J10=16,"275",0))))))))</f>
        <v>0</v>
      </c>
      <c r="AV10" s="27" t="n">
        <f aca="false">IF(J10=17,"287.50",IF(J10=18,"300",IF(J10=19,"312.50",IF(J10=20,"325",IF(J10=21,"337.50",IF(J10=22,"350",IF(J10=23,"362.50",IF(J10=24,"375",0))))))))</f>
        <v>0</v>
      </c>
      <c r="AW10" s="27" t="n">
        <f aca="false">IF(J10=25,"387.50",IF(J10=26,"400",IF(J10=27,"412.50",IF(J10=28,"425",IF(J10=29,"437.50",0)))))</f>
        <v>0</v>
      </c>
      <c r="AX10" s="27" t="str">
        <f aca="false">IF(I10=0,"0",IF(I10&lt;=8999.99,"1",IF(I10&lt;=9999.99,"2",IF(I10&lt;=10999.99,"3",IF(I10&lt;=11999.99,"4",IF(I10&lt;=12999.99,"5",IF(I10&lt;=13999.99,"6",IF(I10&gt;=13999.99,"0",0))))))))</f>
        <v>0</v>
      </c>
      <c r="AY10" s="27" t="str">
        <f aca="false">IF(I10&lt;=13999.99,"0",IF(I10&lt;=14999.99,"7",IF(I10&lt;=15999.99,"8",IF(I10&lt;=16999.99,"9",IF(I10&lt;=17999.99,"10",IF(I10&lt;=18999.99,"11",IF(I10&gt;=18999.99,"0")))))))</f>
        <v>0</v>
      </c>
      <c r="AZ10" s="27" t="str">
        <f aca="false">IF(I10&lt;=18999.99,"0",IF(I10&lt;=19999.99,"12",IF(I10&lt;=20999.99,"13",IF(I10&lt;=21999.99,"14",IF(I10&lt;=22999.99,"15",IF(I10&lt;=23999.99,"16",IF(I10&lt;=24999.99,"17",IF(I10&gt;=24999.99,"0"))))))))</f>
        <v>0</v>
      </c>
      <c r="BA10" s="27" t="str">
        <f aca="false">IF(I10&lt;=24999.99,"0",IF(I10&lt;=25999.99,"18",IF(I10&lt;=26999.99,"19",IF(I10&lt;=27999.99,"20",IF(I10&lt;=28999.99,"21",IF(I10&lt;=29999.99,"22",IF(I10&lt;=30999.99,"23",IF(I10&gt;=30999.99,"0"))))))))</f>
        <v>0</v>
      </c>
      <c r="BB10" s="27" t="str">
        <f aca="false">IF(I10&lt;=30999.99,"0",IF(I10&lt;=31999.99,"24",IF(I10&lt;=32999.99,"25",IF(I10&lt;=33999.99,"26",IF(I10&lt;=34999.99,"27",IF(I10&gt;=35000,"28"))))))</f>
        <v>0</v>
      </c>
      <c r="BC10" s="27" t="n">
        <f aca="false">IF(J10=1,"100",IF(J10=2,"112.50",IF(J10=3,"125",IF(J10=4,"137.50",IF(J10=5,"150",IF(J10=6,"162.50",IF(J10=7,"175",IF(J10=8,"187.50",0))))))))</f>
        <v>0</v>
      </c>
      <c r="BD10" s="27" t="n">
        <f aca="false">IF(J10=9,"200",IF(J10=10,"212.50",IF(J10=11,"225",IF(J10=12,"237.50",IF(J10=13,"250",IF(J10=14,"262.50",IF(J10=15,"275",IF(J10=16,"287.50",0))))))))</f>
        <v>0</v>
      </c>
      <c r="BE10" s="27" t="n">
        <f aca="false">IF(J10=17,"300",IF(J10=18,"312.50",IF(J10=19,"325",IF(J10=20,"337.50",IF(J10=21,"350",IF(J10=22,"362.50",IF(J10=23,"375",IF(J10=24,"387.50",0))))))))</f>
        <v>0</v>
      </c>
      <c r="BF10" s="27" t="n">
        <f aca="false">IF(J10=25,"400",IF(J10=26,"412.50",IF(J10=27,"425",IF(J10=28,"437.50",0))))</f>
        <v>0</v>
      </c>
      <c r="BG10" s="125" t="n">
        <f aca="false">IF(L10=2008,AK10+AL10+AM10+AN10,IF(L10=2009,AK10+AL10+AM10+AN10,IF(L10=2010,AK10+AL10+AM10+AN10,IF(L10=2011,AK10+AL10+AM10+AN10,IF(L10=2012,AK10+AL10+AM10+AN10,IF(L10=2013,AT10+AU10+AV10+AW10,IF(L10=2014,BC10+BD10+BE10+BF10,IF(L10=2015,BC10+BD10+BE10+BF10))))))))</f>
        <v>0</v>
      </c>
      <c r="BH10" s="125" t="n">
        <f aca="false">IF(L10=2008,AK10+AL10+AM10+AN10,IF(L10=2009,AK10+AL10+AM10+AN10,IF(L10=2010,AK10+AL10+AM10+AN10,IF(L10=2011,AK10+AL10+AM10+AN10,IF(L10=2012,AK10+AL10+AM10+AN10,IF(L10=2013,AT10+AU10+AV10+AW10,IF(L10=2014,BC10+BD10+BE10+BF10,IF(L10=2015,BC10+BD10+BE10+BF10))))))))</f>
        <v>0</v>
      </c>
      <c r="BI10" s="126" t="n">
        <f aca="false">IF(BH10=0,0,IF(BH10&lt;=M10,BH10,IF(BH10&gt;=M10,M10)))</f>
        <v>0</v>
      </c>
      <c r="BJ10" s="127" t="n">
        <f aca="false">CODE(B10:B19)</f>
        <v>0</v>
      </c>
      <c r="BK10" s="127" t="n">
        <f aca="false">ISBLANK(E10)</f>
        <v>1</v>
      </c>
      <c r="BL10" s="127" t="n">
        <f aca="false">CODE(E10)</f>
        <v>0</v>
      </c>
      <c r="BM10" s="127" t="str">
        <f aca="false">CHAR(BL10)</f>
        <v>_x0000_</v>
      </c>
      <c r="BN10" s="128" t="n">
        <f aca="false">ISBLANK(F10)</f>
        <v>1</v>
      </c>
      <c r="BO10" s="129" t="n">
        <f aca="false">ISBLANK(BS10)</f>
        <v>1</v>
      </c>
      <c r="BP10" s="130" t="n">
        <f aca="false">ISBLANK(BT10)</f>
        <v>1</v>
      </c>
      <c r="BQ10" s="130" t="n">
        <f aca="false">ISBLANK(G10)</f>
        <v>1</v>
      </c>
      <c r="BR10" s="130" t="str">
        <f aca="false">TEXT(BT10,"MMDDYYYY")</f>
        <v>12301899</v>
      </c>
      <c r="BS10" s="131"/>
      <c r="BT10" s="132"/>
      <c r="BU10" s="0"/>
      <c r="BV10" s="0"/>
      <c r="BW10" s="0"/>
      <c r="BZ10" s="0"/>
      <c r="CA10" s="0"/>
      <c r="CB10" s="0"/>
      <c r="CC10" s="12"/>
      <c r="DN10" s="6"/>
      <c r="DO10" s="6"/>
      <c r="DP10" s="6"/>
      <c r="DQ10" s="6"/>
      <c r="DY10" s="6"/>
      <c r="DZ10" s="6"/>
      <c r="EA10" s="6"/>
      <c r="EB10" s="6"/>
      <c r="EC10" s="6"/>
      <c r="ED10" s="6"/>
      <c r="EE10" s="6"/>
      <c r="EF10" s="6"/>
      <c r="EG10" s="6"/>
    </row>
    <row r="11" customFormat="false" ht="12.75" hidden="false" customHeight="true" outlineLevel="0" collapsed="false">
      <c r="A11" s="27" t="n">
        <f aca="false">A10+1</f>
        <v>3</v>
      </c>
      <c r="B11" s="118"/>
      <c r="C11" s="118"/>
      <c r="D11" s="118"/>
      <c r="E11" s="118"/>
      <c r="F11" s="119"/>
      <c r="G11" s="120"/>
      <c r="H11" s="121"/>
      <c r="I11" s="122"/>
      <c r="J11" s="123" t="n">
        <f aca="false">IF(L11=2008,AF11+AG11+AH11+AI11+AJ11,IF(L11=2009,AF11+AG11+AH11+AI11+AJ11,IF(L11=2010,AF11+AG11+AH11+AI11+AJ11,IF(L11=2011,AF11+AG11+AH11+AI11+AJ11,IF(L11=2012,AF11+AG11+AH11+AI11+AJ11,IF(L11=2013,AO11+AP11+AQ11+AR11+AS11,IF(L11=2014,AX11+AY11+AZ11+BA11+BB11,IF(L11=2015,AX11+AY11+AZ11+BA11+BB11))))))))</f>
        <v>0</v>
      </c>
      <c r="K11" s="123" t="n">
        <f aca="false">K10</f>
        <v>12</v>
      </c>
      <c r="L11" s="74" t="n">
        <f aca="false">L10</f>
        <v>2015</v>
      </c>
      <c r="M11" s="124" t="n">
        <f aca="false">M10</f>
        <v>0</v>
      </c>
      <c r="N11" s="74" t="str">
        <f aca="false">IF(I11=0,"0",IF(I11&lt;=4999.99,"1",IF(I11&lt;=5999.99,"2",IF(I11&lt;=6999.99,"3",IF(I11&lt;=7999.99,"4",IF(I11&lt;=8999.99,"5",IF(I11&lt;=9999.99,"6",IF(I11&gt;=9999.99,"0",0))))))))</f>
        <v>0</v>
      </c>
      <c r="O11" s="74" t="str">
        <f aca="false">IF(I11&lt;=9999.99,"0",IF(I11&lt;=10999.99,"7",IF(I11&lt;=11999.99,"8",IF(I11&lt;=12999.99,"9",IF(I11&lt;=13999.99,"10",IF(I11&lt;=14999.99,"11",IF(I11&gt;=14999.99,"0")))))))</f>
        <v>0</v>
      </c>
      <c r="P11" s="74" t="str">
        <f aca="false">IF(I11&lt;=14999.99,"0",IF(I11&gt;=15000,"12"))</f>
        <v>0</v>
      </c>
      <c r="Q11" s="74" t="n">
        <f aca="false">IF(J11=1,"50",IF(J11=2,"62.50",IF(J11=3,"75",IF(J11=4,"87.5",IF(J11=5,"100",IF(J11=6,"112.50",IF(J11=7,"125",IF(J11=8,"137.50",0))))))))</f>
        <v>0</v>
      </c>
      <c r="R11" s="74" t="n">
        <f aca="false">IF(J11=9,"150",IF(J11=10,"162.50",IF(J11=11,"175",IF(J11=12,"187.50",0))))</f>
        <v>0</v>
      </c>
      <c r="S11" s="27" t="str">
        <f aca="false">IF(I11=0,"0",IF(I11&lt;=4999.99,"1",IF(I11&lt;=5999.99,"2",IF(I11&lt;=6999.99,"3",IF(I11&lt;=7999.99,"4",IF(I11&lt;=8999.99,"5",IF(I11&lt;=9999.99,"6",IF(I11&gt;=9999.99,"0",0))))))))</f>
        <v>0</v>
      </c>
      <c r="T11" s="27" t="str">
        <f aca="false">IF(I11&lt;=9999.99,"0",IF(I11&lt;=10999.99,"7",IF(I11&lt;=11999.99,"8",IF(I11&lt;=12999.99,"9",IF(I11&lt;=13999.99,"10",IF(I11&lt;=14999.99,"11",IF(I11&gt;=14999.99,"0")))))))</f>
        <v>0</v>
      </c>
      <c r="U11" s="27" t="str">
        <f aca="false">IF(I11&lt;=14999.99,"0",IF(I11&lt;=15999.99,"12",IF(I11&lt;=16999.99,"13",IF(I11&lt;=17999.99,"14",IF(I11&lt;=18999.99,"15",IF(I11&lt;=19999.99,"16",IF(I11&gt;=20000,"17")))))))</f>
        <v>0</v>
      </c>
      <c r="V11" s="125" t="n">
        <f aca="false">IF(J11=1,"50",IF(J11=2,"62.50",IF(J11=3,"75",IF(J11=4,"87.5",IF(J11=5,"100",IF(J11=6,"112.50",IF(J11=7,"125",IF(J11=8,"137.50",0))))))))</f>
        <v>0</v>
      </c>
      <c r="W11" s="125" t="n">
        <f aca="false">IF(J11=9,"150",IF(J11=10,"162.50",IF(J11=11,"175",IF(J11=12,"187.50",IF(J11=13,"200",IF(J11=14,"212.5",IF(J11=15,"225",IF(J11=16,"237.5",0))))))))</f>
        <v>0</v>
      </c>
      <c r="X11" s="125" t="n">
        <f aca="false">IF(J11=17,"250",0)</f>
        <v>0</v>
      </c>
      <c r="Y11" s="27" t="str">
        <f aca="false">IF(I11=0,"0",IF(I11&lt;=4999.99,"1",IF(I11&lt;=5999.99,"2",IF(I11&lt;=6999.99,"3",IF(I11&lt;=7999.99,"4",IF(I11&lt;=8999.99,"5",IF(I11&lt;=9999.99,"6",IF(I11&gt;=9999.99,"0",0))))))))</f>
        <v>0</v>
      </c>
      <c r="Z11" s="27" t="str">
        <f aca="false">IF(I11&lt;=9999.99,"0",IF(I11&lt;=10999.99,"7",IF(I11&lt;=11999.99,"8",IF(I11&lt;=12999.99,"9",IF(I11&lt;=13999.99,"10",IF(I11&lt;=14999.99,"11",IF(I11&gt;=14999.99,"0")))))))</f>
        <v>0</v>
      </c>
      <c r="AA11" s="27" t="str">
        <f aca="false">IF(I11&lt;=14999.99,"0",IF(I11&lt;=15999.99,"12",IF(I11&lt;=16999.99,"13",IF(I11&lt;=17999.99,"14",IF(I11&lt;=18999.99,"15",IF(I11&lt;=19999.99,"16",IF(I11&lt;=20999.99,"17",IF(I11&gt;=20999.99,"0"))))))))</f>
        <v>0</v>
      </c>
      <c r="AB11" s="27" t="str">
        <f aca="false">IF(I11&lt;=20999.99,"0",IF(I11&lt;=21999.99,"18",IF(I11&lt;=22999.99,"19",IF(I11&lt;=23999.99,"20",IF(I11&lt;=24999.99,"21",IF(I11&gt;=25000,"22"))))))</f>
        <v>0</v>
      </c>
      <c r="AC11" s="125" t="n">
        <f aca="false">IF(J11=1,"50",IF(J11=2,"62.50",IF(J11=3,"75",IF(J11=4,"87.5",IF(J11=5,"100",IF(J11=6,"112.50",IF(J11=7,"125",IF(J11=8,"137.50",0))))))))</f>
        <v>0</v>
      </c>
      <c r="AD11" s="125" t="n">
        <f aca="false">IF(J11=9,"150",IF(J11=10,"162.50",IF(J11=11,"175",IF(J11=12,"187.50",IF(J11=13,"200",IF(J11=14,"212.5",IF(J11=15,"225",IF(J11=16,"237.5",0))))))))</f>
        <v>0</v>
      </c>
      <c r="AE11" s="125" t="n">
        <f aca="false">IF(J11=17,"250",IF(J11=18,"262.50",IF(J11=19,"275",IF(J11=20,"287.50",IF(J11=21,"300",IF(J11=22,"312.50",0))))))</f>
        <v>0</v>
      </c>
      <c r="AF11" s="27" t="str">
        <f aca="false">IF(I11=0,"0",IF(I11&lt;=4999.99,"1",IF(I11&lt;=5999.99,"2",IF(I11&lt;=6999.99,"3",IF(I11&lt;=7999.99,"4",IF(I11&lt;=8999.99,"5",IF(I11&lt;=9999.99,"6",IF(I11&gt;=9999.99,"0",0))))))))</f>
        <v>0</v>
      </c>
      <c r="AG11" s="27" t="str">
        <f aca="false">IF(I11&lt;=9999.99,"0",IF(I11&lt;=10999.99,"7",IF(I11&lt;=11999.99,"8",IF(I11&lt;=12999.99,"9",IF(I11&lt;=13999.99,"10",IF(I11&lt;=14999.99,"11",IF(I11&gt;=14999.99,"0")))))))</f>
        <v>0</v>
      </c>
      <c r="AH11" s="27" t="str">
        <f aca="false">IF(I11&lt;=14999.99,"0",IF(I11&lt;=15999.99,"12",IF(I11&lt;=16999.99,"13",IF(I11&lt;=17999.99,"14",IF(I11&lt;=18999.99,"15",IF(I11&lt;=19999.99,"16",IF(I11&lt;=20999.99,"17",IF(I11&gt;=20999.99,"0"))))))))</f>
        <v>0</v>
      </c>
      <c r="AI11" s="27" t="str">
        <f aca="false">IF(I11&lt;=20999.99,"0",IF(I11&lt;=21999.99,"18",IF(I11&lt;=22999.99,"19",IF(I11&lt;=23999.99,"20",IF(I11&lt;=24999.99,"21",IF(I11&lt;=25999.99,"22",IF(I11&lt;=26999.99,"23",IF(I11&gt;=26999.99,"0"))))))))</f>
        <v>0</v>
      </c>
      <c r="AJ11" s="27" t="str">
        <f aca="false">IF(I11&lt;=26999.99,"0",IF(I11&lt;=27999.99,"24",IF(I11&lt;=28999.99,"25",IF(I11&lt;=29999.99,"26",IF(I11&gt;=30000,"27")))))</f>
        <v>0</v>
      </c>
      <c r="AK11" s="125" t="n">
        <f aca="false">IF(J11=1,"50",IF(J11=2,"62.50",IF(J11=3,"75",IF(J11=4,"87.5",IF(J11=5,"100",IF(J11=6,"112.50",IF(J11=7,"125",IF(J11=8,"137.50",0))))))))</f>
        <v>0</v>
      </c>
      <c r="AL11" s="125" t="n">
        <f aca="false">IF(J11=9,"150",IF(J11=10,"162.50",IF(J11=11,"175",IF(J11=12,"187.50",IF(J11=13,"200",IF(J11=14,"212.5",IF(J11=15,"225",IF(J11=16,"237.5",0))))))))</f>
        <v>0</v>
      </c>
      <c r="AM11" s="125" t="n">
        <f aca="false">IF(J11=17,"250",IF(J11=18,"262.50",IF(J11=19,"275",IF(J11=20,"287.50",IF(J11=21,"300",IF(J11=22,"312.50",IF(J11=23,"325",IF(J11=24,"337.50",0))))))))</f>
        <v>0</v>
      </c>
      <c r="AN11" s="125" t="n">
        <f aca="false">IF(J11=25,"350",IF(J11=26,"362.50",IF(J11=27,"375",0)))</f>
        <v>0</v>
      </c>
      <c r="AO11" s="27" t="str">
        <f aca="false">IF(I11=0,"0",IF(I11&lt;=7999.99,"1",IF(I11&lt;=8999.99,"2",IF(I11&lt;=9999.99,"3",IF(I11&lt;=10999.99,"4",IF(I11&lt;=11999.99,"5",IF(I11&lt;=12999.99,"6",IF(I11&gt;=12999.99,"0",0))))))))</f>
        <v>0</v>
      </c>
      <c r="AP11" s="27" t="str">
        <f aca="false">IF(I11&lt;=12999.99,"0",IF(I11&lt;=13999.99,"7",IF(I11&lt;=14999.99,"8",IF(I11&lt;=15999.99,"9",IF(I11&lt;=16999.99,"10",IF(I11&lt;=17999.99,"11",IF(I11&gt;=17999.99,"0")))))))</f>
        <v>0</v>
      </c>
      <c r="AQ11" s="27" t="str">
        <f aca="false">IF(I11&lt;=17999.99,"0",IF(I11&lt;=18999.99,"12",IF(I11&lt;=19999.99,"13",IF(I11&lt;=20999.99,"14",IF(I11&lt;=21999.99,"15",IF(I11&lt;=22999.99,"16",IF(I11&lt;=23999.99,"17",IF(I11&gt;=23999.99,"0"))))))))</f>
        <v>0</v>
      </c>
      <c r="AR11" s="27" t="str">
        <f aca="false">IF(I11&lt;=23999.99,"0",IF(I11&lt;=24999.99,"18",IF(I11&lt;=25999.99,"19",IF(I11&lt;=26999.99,"20",IF(I11&lt;=27999.99,"21",IF(I11&lt;=28999.99,"22",IF(I11&lt;=29999.99,"23",IF(I11&gt;=29999.99,"0"))))))))</f>
        <v>0</v>
      </c>
      <c r="AS11" s="27" t="str">
        <f aca="false">IF(I11&lt;=29999.99,"0",IF(I11&lt;=30999.99,"24",IF(I11&lt;=31999.99,"25",IF(I11&lt;=32999.99,"26",IF(I11&lt;=33999.99,"27",IF(I11&lt;=34999.99,"28",IF(I11&gt;=35000,"29")))))))</f>
        <v>0</v>
      </c>
      <c r="AT11" s="27" t="n">
        <f aca="false">IF(J11=1,"87.50",IF(J11=2,"100",IF(J11=3,"112.50",IF(J11=4,"125",IF(J11=5,"137.50",IF(J11=6,"150",IF(J11=7,"162.50",IF(J11=8,"175",0))))))))</f>
        <v>0</v>
      </c>
      <c r="AU11" s="27" t="n">
        <f aca="false">IF(J11=9,"187.50",IF(J11=10,"200",IF(J11=11,"212.50",IF(J11=12,"225",IF(J11=13,"237.50",IF(J11=14,"250",IF(J11=15,"262.50",IF(J11=16,"275",0))))))))</f>
        <v>0</v>
      </c>
      <c r="AV11" s="27" t="n">
        <f aca="false">IF(J11=17,"287.50",IF(J11=18,"300",IF(J11=19,"312.50",IF(J11=20,"325",IF(J11=21,"337.50",IF(J11=22,"350",IF(J11=23,"362.50",IF(J11=24,"375",0))))))))</f>
        <v>0</v>
      </c>
      <c r="AW11" s="27" t="n">
        <f aca="false">IF(J11=25,"387.50",IF(J11=26,"400",IF(J11=27,"412.50",IF(J11=28,"425",IF(J11=29,"437.50",0)))))</f>
        <v>0</v>
      </c>
      <c r="AX11" s="27" t="str">
        <f aca="false">IF(I11=0,"0",IF(I11&lt;=8999.99,"1",IF(I11&lt;=9999.99,"2",IF(I11&lt;=10999.99,"3",IF(I11&lt;=11999.99,"4",IF(I11&lt;=12999.99,"5",IF(I11&lt;=13999.99,"6",IF(I11&gt;=13999.99,"0",0))))))))</f>
        <v>0</v>
      </c>
      <c r="AY11" s="27" t="str">
        <f aca="false">IF(I11&lt;=13999.99,"0",IF(I11&lt;=14999.99,"7",IF(I11&lt;=15999.99,"8",IF(I11&lt;=16999.99,"9",IF(I11&lt;=17999.99,"10",IF(I11&lt;=18999.99,"11",IF(I11&gt;=18999.99,"0")))))))</f>
        <v>0</v>
      </c>
      <c r="AZ11" s="27" t="str">
        <f aca="false">IF(I11&lt;=18999.99,"0",IF(I11&lt;=19999.99,"12",IF(I11&lt;=20999.99,"13",IF(I11&lt;=21999.99,"14",IF(I11&lt;=22999.99,"15",IF(I11&lt;=23999.99,"16",IF(I11&lt;=24999.99,"17",IF(I11&gt;=24999.99,"0"))))))))</f>
        <v>0</v>
      </c>
      <c r="BA11" s="27" t="str">
        <f aca="false">IF(I11&lt;=24999.99,"0",IF(I11&lt;=25999.99,"18",IF(I11&lt;=26999.99,"19",IF(I11&lt;=27999.99,"20",IF(I11&lt;=28999.99,"21",IF(I11&lt;=29999.99,"22",IF(I11&lt;=30999.99,"23",IF(I11&gt;=30999.99,"0"))))))))</f>
        <v>0</v>
      </c>
      <c r="BB11" s="27" t="str">
        <f aca="false">IF(I11&lt;=30999.99,"0",IF(I11&lt;=31999.99,"24",IF(I11&lt;=32999.99,"25",IF(I11&lt;=33999.99,"26",IF(I11&lt;=34999.99,"27",IF(I11&gt;=35000,"28"))))))</f>
        <v>0</v>
      </c>
      <c r="BC11" s="27" t="n">
        <f aca="false">IF(J11=1,"100",IF(J11=2,"112.50",IF(J11=3,"125",IF(J11=4,"137.50",IF(J11=5,"150",IF(J11=6,"162.50",IF(J11=7,"175",IF(J11=8,"187.50",0))))))))</f>
        <v>0</v>
      </c>
      <c r="BD11" s="27" t="n">
        <f aca="false">IF(J11=9,"200",IF(J11=10,"212.50",IF(J11=11,"225",IF(J11=12,"237.50",IF(J11=13,"250",IF(J11=14,"262.50",IF(J11=15,"275",IF(J11=16,"287.50",0))))))))</f>
        <v>0</v>
      </c>
      <c r="BE11" s="27" t="n">
        <f aca="false">IF(J11=17,"300",IF(J11=18,"312.50",IF(J11=19,"325",IF(J11=20,"337.50",IF(J11=21,"350",IF(J11=22,"362.50",IF(J11=23,"375",IF(J11=24,"387.50",0))))))))</f>
        <v>0</v>
      </c>
      <c r="BF11" s="27" t="n">
        <f aca="false">IF(J11=25,"400",IF(J11=26,"412.50",IF(J11=27,"425",IF(J11=28,"437.50",0))))</f>
        <v>0</v>
      </c>
      <c r="BG11" s="125" t="n">
        <f aca="false">IF(L11=2008,AK11+AL11+AM11+AN11,IF(L11=2009,AK11+AL11+AM11+AN11,IF(L11=2010,AK11+AL11+AM11+AN11,IF(L11=2011,AK11+AL11+AM11+AN11,IF(L11=2012,AK11+AL11+AM11+AN11,IF(L11=2013,AT11+AU11+AV11+AW11,IF(L11=2014,BC11+BD11+BE11+BF11,IF(L11=2015,BC11+BD11+BE11+BF11))))))))</f>
        <v>0</v>
      </c>
      <c r="BH11" s="125" t="n">
        <f aca="false">IF(L11=2008,AK11+AL11+AM11+AN11,IF(L11=2009,AK11+AL11+AM11+AN11,IF(L11=2010,AK11+AL11+AM11+AN11,IF(L11=2011,AK11+AL11+AM11+AN11,IF(L11=2012,AK11+AL11+AM11+AN11,IF(L11=2013,AT11+AU11+AV11+AW11,IF(L11=2014,BC11+BD11+BE11+BF11,IF(L11=2015,BC11+BD11+BE11+BF11))))))))</f>
        <v>0</v>
      </c>
      <c r="BI11" s="126" t="n">
        <f aca="false">IF(BH11=0,0,IF(BH11&lt;=M11,BH11,IF(BH11&gt;=M11,M11)))</f>
        <v>0</v>
      </c>
      <c r="BJ11" s="127" t="n">
        <f aca="false">CODE(B11:B20)</f>
        <v>0</v>
      </c>
      <c r="BK11" s="127" t="n">
        <f aca="false">ISBLANK(E11)</f>
        <v>1</v>
      </c>
      <c r="BL11" s="127" t="n">
        <f aca="false">CODE(E11)</f>
        <v>0</v>
      </c>
      <c r="BM11" s="127" t="str">
        <f aca="false">CHAR(BL11)</f>
        <v>_x0000_</v>
      </c>
      <c r="BN11" s="128" t="n">
        <f aca="false">ISBLANK(F11)</f>
        <v>1</v>
      </c>
      <c r="BO11" s="129" t="n">
        <f aca="false">ISBLANK(BS11)</f>
        <v>1</v>
      </c>
      <c r="BP11" s="130" t="n">
        <f aca="false">ISBLANK(BT11)</f>
        <v>1</v>
      </c>
      <c r="BQ11" s="130" t="n">
        <f aca="false">ISBLANK(G11)</f>
        <v>1</v>
      </c>
      <c r="BR11" s="130" t="str">
        <f aca="false">TEXT(BT11,"MMDDYYYY")</f>
        <v>12301899</v>
      </c>
      <c r="BS11" s="131"/>
      <c r="BT11" s="132"/>
      <c r="BU11" s="0"/>
      <c r="BV11" s="0"/>
      <c r="BW11" s="0"/>
      <c r="BX11" s="0"/>
      <c r="BY11" s="0"/>
      <c r="BZ11" s="0"/>
      <c r="CA11" s="0"/>
      <c r="CB11" s="0"/>
      <c r="CC11" s="12"/>
      <c r="DN11" s="6"/>
      <c r="DO11" s="6"/>
      <c r="DP11" s="6"/>
      <c r="DQ11" s="6"/>
      <c r="DY11" s="6"/>
      <c r="DZ11" s="6"/>
      <c r="EA11" s="6"/>
      <c r="EB11" s="6"/>
      <c r="EC11" s="6"/>
      <c r="ED11" s="6"/>
      <c r="EE11" s="6"/>
      <c r="EF11" s="6"/>
      <c r="EG11" s="6"/>
    </row>
    <row r="12" customFormat="false" ht="12.75" hidden="false" customHeight="true" outlineLevel="0" collapsed="false">
      <c r="A12" s="27" t="n">
        <f aca="false">A11+1</f>
        <v>4</v>
      </c>
      <c r="B12" s="118"/>
      <c r="C12" s="118"/>
      <c r="D12" s="118"/>
      <c r="E12" s="118"/>
      <c r="F12" s="119"/>
      <c r="G12" s="120"/>
      <c r="H12" s="121"/>
      <c r="I12" s="122"/>
      <c r="J12" s="123" t="n">
        <f aca="false">IF(L12=2008,AF12+AG12+AH12+AI12+AJ12,IF(L12=2009,AF12+AG12+AH12+AI12+AJ12,IF(L12=2010,AF12+AG12+AH12+AI12+AJ12,IF(L12=2011,AF12+AG12+AH12+AI12+AJ12,IF(L12=2012,AF12+AG12+AH12+AI12+AJ12,IF(L12=2013,AO12+AP12+AQ12+AR12+AS12,IF(L12=2014,AX12+AY12+AZ12+BA12+BB12,IF(L12=2015,AX12+AY12+AZ12+BA12+BB12))))))))</f>
        <v>0</v>
      </c>
      <c r="K12" s="123" t="n">
        <f aca="false">K11</f>
        <v>12</v>
      </c>
      <c r="L12" s="74" t="n">
        <f aca="false">L11</f>
        <v>2015</v>
      </c>
      <c r="M12" s="124" t="n">
        <f aca="false">M11</f>
        <v>0</v>
      </c>
      <c r="N12" s="74" t="str">
        <f aca="false">IF(I12=0,"0",IF(I12&lt;=4999.99,"1",IF(I12&lt;=5999.99,"2",IF(I12&lt;=6999.99,"3",IF(I12&lt;=7999.99,"4",IF(I12&lt;=8999.99,"5",IF(I12&lt;=9999.99,"6",IF(I12&gt;=9999.99,"0",0))))))))</f>
        <v>0</v>
      </c>
      <c r="O12" s="74" t="str">
        <f aca="false">IF(I12&lt;=9999.99,"0",IF(I12&lt;=10999.99,"7",IF(I12&lt;=11999.99,"8",IF(I12&lt;=12999.99,"9",IF(I12&lt;=13999.99,"10",IF(I12&lt;=14999.99,"11",IF(I12&gt;=14999.99,"0")))))))</f>
        <v>0</v>
      </c>
      <c r="P12" s="74" t="str">
        <f aca="false">IF(I12&lt;=14999.99,"0",IF(I12&gt;=15000,"12"))</f>
        <v>0</v>
      </c>
      <c r="Q12" s="74" t="n">
        <f aca="false">IF(J12=1,"50",IF(J12=2,"62.50",IF(J12=3,"75",IF(J12=4,"87.5",IF(J12=5,"100",IF(J12=6,"112.50",IF(J12=7,"125",IF(J12=8,"137.50",0))))))))</f>
        <v>0</v>
      </c>
      <c r="R12" s="74" t="n">
        <f aca="false">IF(J12=9,"150",IF(J12=10,"162.50",IF(J12=11,"175",IF(J12=12,"187.50",0))))</f>
        <v>0</v>
      </c>
      <c r="S12" s="27" t="str">
        <f aca="false">IF(I12=0,"0",IF(I12&lt;=4999.99,"1",IF(I12&lt;=5999.99,"2",IF(I12&lt;=6999.99,"3",IF(I12&lt;=7999.99,"4",IF(I12&lt;=8999.99,"5",IF(I12&lt;=9999.99,"6",IF(I12&gt;=9999.99,"0",0))))))))</f>
        <v>0</v>
      </c>
      <c r="T12" s="27" t="str">
        <f aca="false">IF(I12&lt;=9999.99,"0",IF(I12&lt;=10999.99,"7",IF(I12&lt;=11999.99,"8",IF(I12&lt;=12999.99,"9",IF(I12&lt;=13999.99,"10",IF(I12&lt;=14999.99,"11",IF(I12&gt;=14999.99,"0")))))))</f>
        <v>0</v>
      </c>
      <c r="U12" s="27" t="str">
        <f aca="false">IF(I12&lt;=14999.99,"0",IF(I12&lt;=15999.99,"12",IF(I12&lt;=16999.99,"13",IF(I12&lt;=17999.99,"14",IF(I12&lt;=18999.99,"15",IF(I12&lt;=19999.99,"16",IF(I12&gt;=20000,"17")))))))</f>
        <v>0</v>
      </c>
      <c r="V12" s="125" t="n">
        <f aca="false">IF(J12=1,"50",IF(J12=2,"62.50",IF(J12=3,"75",IF(J12=4,"87.5",IF(J12=5,"100",IF(J12=6,"112.50",IF(J12=7,"125",IF(J12=8,"137.50",0))))))))</f>
        <v>0</v>
      </c>
      <c r="W12" s="125" t="n">
        <f aca="false">IF(J12=9,"150",IF(J12=10,"162.50",IF(J12=11,"175",IF(J12=12,"187.50",IF(J12=13,"200",IF(J12=14,"212.5",IF(J12=15,"225",IF(J12=16,"237.5",0))))))))</f>
        <v>0</v>
      </c>
      <c r="X12" s="125" t="n">
        <f aca="false">IF(J12=17,"250",0)</f>
        <v>0</v>
      </c>
      <c r="Y12" s="27" t="str">
        <f aca="false">IF(I12=0,"0",IF(I12&lt;=4999.99,"1",IF(I12&lt;=5999.99,"2",IF(I12&lt;=6999.99,"3",IF(I12&lt;=7999.99,"4",IF(I12&lt;=8999.99,"5",IF(I12&lt;=9999.99,"6",IF(I12&gt;=9999.99,"0",0))))))))</f>
        <v>0</v>
      </c>
      <c r="Z12" s="27" t="str">
        <f aca="false">IF(I12&lt;=9999.99,"0",IF(I12&lt;=10999.99,"7",IF(I12&lt;=11999.99,"8",IF(I12&lt;=12999.99,"9",IF(I12&lt;=13999.99,"10",IF(I12&lt;=14999.99,"11",IF(I12&gt;=14999.99,"0")))))))</f>
        <v>0</v>
      </c>
      <c r="AA12" s="27" t="str">
        <f aca="false">IF(I12&lt;=14999.99,"0",IF(I12&lt;=15999.99,"12",IF(I12&lt;=16999.99,"13",IF(I12&lt;=17999.99,"14",IF(I12&lt;=18999.99,"15",IF(I12&lt;=19999.99,"16",IF(I12&lt;=20999.99,"17",IF(I12&gt;=20999.99,"0"))))))))</f>
        <v>0</v>
      </c>
      <c r="AB12" s="27" t="str">
        <f aca="false">IF(I12&lt;=20999.99,"0",IF(I12&lt;=21999.99,"18",IF(I12&lt;=22999.99,"19",IF(I12&lt;=23999.99,"20",IF(I12&lt;=24999.99,"21",IF(I12&gt;=25000,"22"))))))</f>
        <v>0</v>
      </c>
      <c r="AC12" s="125" t="n">
        <f aca="false">IF(J12=1,"50",IF(J12=2,"62.50",IF(J12=3,"75",IF(J12=4,"87.5",IF(J12=5,"100",IF(J12=6,"112.50",IF(J12=7,"125",IF(J12=8,"137.50",0))))))))</f>
        <v>0</v>
      </c>
      <c r="AD12" s="125" t="n">
        <f aca="false">IF(J12=9,"150",IF(J12=10,"162.50",IF(J12=11,"175",IF(J12=12,"187.50",IF(J12=13,"200",IF(J12=14,"212.5",IF(J12=15,"225",IF(J12=16,"237.5",0))))))))</f>
        <v>0</v>
      </c>
      <c r="AE12" s="125" t="n">
        <f aca="false">IF(J12=17,"250",IF(J12=18,"262.50",IF(J12=19,"275",IF(J12=20,"287.50",IF(J12=21,"300",IF(J12=22,"312.50",0))))))</f>
        <v>0</v>
      </c>
      <c r="AF12" s="27" t="str">
        <f aca="false">IF(I12=0,"0",IF(I12&lt;=4999.99,"1",IF(I12&lt;=5999.99,"2",IF(I12&lt;=6999.99,"3",IF(I12&lt;=7999.99,"4",IF(I12&lt;=8999.99,"5",IF(I12&lt;=9999.99,"6",IF(I12&gt;=9999.99,"0",0))))))))</f>
        <v>0</v>
      </c>
      <c r="AG12" s="27" t="str">
        <f aca="false">IF(I12&lt;=9999.99,"0",IF(I12&lt;=10999.99,"7",IF(I12&lt;=11999.99,"8",IF(I12&lt;=12999.99,"9",IF(I12&lt;=13999.99,"10",IF(I12&lt;=14999.99,"11",IF(I12&gt;=14999.99,"0")))))))</f>
        <v>0</v>
      </c>
      <c r="AH12" s="27" t="str">
        <f aca="false">IF(I12&lt;=14999.99,"0",IF(I12&lt;=15999.99,"12",IF(I12&lt;=16999.99,"13",IF(I12&lt;=17999.99,"14",IF(I12&lt;=18999.99,"15",IF(I12&lt;=19999.99,"16",IF(I12&lt;=20999.99,"17",IF(I12&gt;=20999.99,"0"))))))))</f>
        <v>0</v>
      </c>
      <c r="AI12" s="27" t="str">
        <f aca="false">IF(I12&lt;=20999.99,"0",IF(I12&lt;=21999.99,"18",IF(I12&lt;=22999.99,"19",IF(I12&lt;=23999.99,"20",IF(I12&lt;=24999.99,"21",IF(I12&lt;=25999.99,"22",IF(I12&lt;=26999.99,"23",IF(I12&gt;=26999.99,"0"))))))))</f>
        <v>0</v>
      </c>
      <c r="AJ12" s="27" t="str">
        <f aca="false">IF(I12&lt;=26999.99,"0",IF(I12&lt;=27999.99,"24",IF(I12&lt;=28999.99,"25",IF(I12&lt;=29999.99,"26",IF(I12&gt;=30000,"27")))))</f>
        <v>0</v>
      </c>
      <c r="AK12" s="125" t="n">
        <f aca="false">IF(J12=1,"50",IF(J12=2,"62.50",IF(J12=3,"75",IF(J12=4,"87.5",IF(J12=5,"100",IF(J12=6,"112.50",IF(J12=7,"125",IF(J12=8,"137.50",0))))))))</f>
        <v>0</v>
      </c>
      <c r="AL12" s="125" t="n">
        <f aca="false">IF(J12=9,"150",IF(J12=10,"162.50",IF(J12=11,"175",IF(J12=12,"187.50",IF(J12=13,"200",IF(J12=14,"212.5",IF(J12=15,"225",IF(J12=16,"237.5",0))))))))</f>
        <v>0</v>
      </c>
      <c r="AM12" s="125" t="n">
        <f aca="false">IF(J12=17,"250",IF(J12=18,"262.50",IF(J12=19,"275",IF(J12=20,"287.50",IF(J12=21,"300",IF(J12=22,"312.50",IF(J12=23,"325",IF(J12=24,"337.50",0))))))))</f>
        <v>0</v>
      </c>
      <c r="AN12" s="125" t="n">
        <f aca="false">IF(J12=25,"350",IF(J12=26,"362.50",IF(J12=27,"375",0)))</f>
        <v>0</v>
      </c>
      <c r="AO12" s="27" t="str">
        <f aca="false">IF(I12=0,"0",IF(I12&lt;=7999.99,"1",IF(I12&lt;=8999.99,"2",IF(I12&lt;=9999.99,"3",IF(I12&lt;=10999.99,"4",IF(I12&lt;=11999.99,"5",IF(I12&lt;=12999.99,"6",IF(I12&gt;=12999.99,"0",0))))))))</f>
        <v>0</v>
      </c>
      <c r="AP12" s="27" t="str">
        <f aca="false">IF(I12&lt;=12999.99,"0",IF(I12&lt;=13999.99,"7",IF(I12&lt;=14999.99,"8",IF(I12&lt;=15999.99,"9",IF(I12&lt;=16999.99,"10",IF(I12&lt;=17999.99,"11",IF(I12&gt;=17999.99,"0")))))))</f>
        <v>0</v>
      </c>
      <c r="AQ12" s="27" t="str">
        <f aca="false">IF(I12&lt;=17999.99,"0",IF(I12&lt;=18999.99,"12",IF(I12&lt;=19999.99,"13",IF(I12&lt;=20999.99,"14",IF(I12&lt;=21999.99,"15",IF(I12&lt;=22999.99,"16",IF(I12&lt;=23999.99,"17",IF(I12&gt;=23999.99,"0"))))))))</f>
        <v>0</v>
      </c>
      <c r="AR12" s="27" t="str">
        <f aca="false">IF(I12&lt;=23999.99,"0",IF(I12&lt;=24999.99,"18",IF(I12&lt;=25999.99,"19",IF(I12&lt;=26999.99,"20",IF(I12&lt;=27999.99,"21",IF(I12&lt;=28999.99,"22",IF(I12&lt;=29999.99,"23",IF(I12&gt;=29999.99,"0"))))))))</f>
        <v>0</v>
      </c>
      <c r="AS12" s="27" t="str">
        <f aca="false">IF(I12&lt;=29999.99,"0",IF(I12&lt;=30999.99,"24",IF(I12&lt;=31999.99,"25",IF(I12&lt;=32999.99,"26",IF(I12&lt;=33999.99,"27",IF(I12&lt;=34999.99,"28",IF(I12&gt;=35000,"29")))))))</f>
        <v>0</v>
      </c>
      <c r="AT12" s="27" t="n">
        <f aca="false">IF(J12=1,"87.50",IF(J12=2,"100",IF(J12=3,"112.50",IF(J12=4,"125",IF(J12=5,"137.50",IF(J12=6,"150",IF(J12=7,"162.50",IF(J12=8,"175",0))))))))</f>
        <v>0</v>
      </c>
      <c r="AU12" s="27" t="n">
        <f aca="false">IF(J12=9,"187.50",IF(J12=10,"200",IF(J12=11,"212.50",IF(J12=12,"225",IF(J12=13,"237.50",IF(J12=14,"250",IF(J12=15,"262.50",IF(J12=16,"275",0))))))))</f>
        <v>0</v>
      </c>
      <c r="AV12" s="27" t="n">
        <f aca="false">IF(J12=17,"287.50",IF(J12=18,"300",IF(J12=19,"312.50",IF(J12=20,"325",IF(J12=21,"337.50",IF(J12=22,"350",IF(J12=23,"362.50",IF(J12=24,"375",0))))))))</f>
        <v>0</v>
      </c>
      <c r="AW12" s="27" t="n">
        <f aca="false">IF(J12=25,"387.50",IF(J12=26,"400",IF(J12=27,"412.50",IF(J12=28,"425",IF(J12=29,"437.50",0)))))</f>
        <v>0</v>
      </c>
      <c r="AX12" s="27" t="str">
        <f aca="false">IF(I12=0,"0",IF(I12&lt;=8999.99,"1",IF(I12&lt;=9999.99,"2",IF(I12&lt;=10999.99,"3",IF(I12&lt;=11999.99,"4",IF(I12&lt;=12999.99,"5",IF(I12&lt;=13999.99,"6",IF(I12&gt;=13999.99,"0",0))))))))</f>
        <v>0</v>
      </c>
      <c r="AY12" s="27" t="str">
        <f aca="false">IF(I12&lt;=13999.99,"0",IF(I12&lt;=14999.99,"7",IF(I12&lt;=15999.99,"8",IF(I12&lt;=16999.99,"9",IF(I12&lt;=17999.99,"10",IF(I12&lt;=18999.99,"11",IF(I12&gt;=18999.99,"0")))))))</f>
        <v>0</v>
      </c>
      <c r="AZ12" s="27" t="str">
        <f aca="false">IF(I12&lt;=18999.99,"0",IF(I12&lt;=19999.99,"12",IF(I12&lt;=20999.99,"13",IF(I12&lt;=21999.99,"14",IF(I12&lt;=22999.99,"15",IF(I12&lt;=23999.99,"16",IF(I12&lt;=24999.99,"17",IF(I12&gt;=24999.99,"0"))))))))</f>
        <v>0</v>
      </c>
      <c r="BA12" s="27" t="str">
        <f aca="false">IF(I12&lt;=24999.99,"0",IF(I12&lt;=25999.99,"18",IF(I12&lt;=26999.99,"19",IF(I12&lt;=27999.99,"20",IF(I12&lt;=28999.99,"21",IF(I12&lt;=29999.99,"22",IF(I12&lt;=30999.99,"23",IF(I12&gt;=30999.99,"0"))))))))</f>
        <v>0</v>
      </c>
      <c r="BB12" s="27" t="str">
        <f aca="false">IF(I12&lt;=30999.99,"0",IF(I12&lt;=31999.99,"24",IF(I12&lt;=32999.99,"25",IF(I12&lt;=33999.99,"26",IF(I12&lt;=34999.99,"27",IF(I12&gt;=35000,"28"))))))</f>
        <v>0</v>
      </c>
      <c r="BC12" s="27" t="n">
        <f aca="false">IF(J12=1,"100",IF(J12=2,"112.50",IF(J12=3,"125",IF(J12=4,"137.50",IF(J12=5,"150",IF(J12=6,"162.50",IF(J12=7,"175",IF(J12=8,"187.50",0))))))))</f>
        <v>0</v>
      </c>
      <c r="BD12" s="27" t="n">
        <f aca="false">IF(J12=9,"200",IF(J12=10,"212.50",IF(J12=11,"225",IF(J12=12,"237.50",IF(J12=13,"250",IF(J12=14,"262.50",IF(J12=15,"275",IF(J12=16,"287.50",0))))))))</f>
        <v>0</v>
      </c>
      <c r="BE12" s="27" t="n">
        <f aca="false">IF(J12=17,"300",IF(J12=18,"312.50",IF(J12=19,"325",IF(J12=20,"337.50",IF(J12=21,"350",IF(J12=22,"362.50",IF(J12=23,"375",IF(J12=24,"387.50",0))))))))</f>
        <v>0</v>
      </c>
      <c r="BF12" s="27" t="n">
        <f aca="false">IF(J12=25,"400",IF(J12=26,"412.50",IF(J12=27,"425",IF(J12=28,"437.50",0))))</f>
        <v>0</v>
      </c>
      <c r="BG12" s="125" t="n">
        <f aca="false">IF(L12=2008,AK12+AL12+AM12+AN12,IF(L12=2009,AK12+AL12+AM12+AN12,IF(L12=2010,AK12+AL12+AM12+AN12,IF(L12=2011,AK12+AL12+AM12+AN12,IF(L12=2012,AK12+AL12+AM12+AN12,IF(L12=2013,AT12+AU12+AV12+AW12,IF(L12=2014,BC12+BD12+BE12+BF12,IF(L12=2015,BC12+BD12+BE12+BF12))))))))</f>
        <v>0</v>
      </c>
      <c r="BH12" s="125" t="n">
        <f aca="false">IF(L12=2008,AK12+AL12+AM12+AN12,IF(L12=2009,AK12+AL12+AM12+AN12,IF(L12=2010,AK12+AL12+AM12+AN12,IF(L12=2011,AK12+AL12+AM12+AN12,IF(L12=2012,AK12+AL12+AM12+AN12,IF(L12=2013,AT12+AU12+AV12+AW12,IF(L12=2014,BC12+BD12+BE12+BF12,IF(L12=2015,BC12+BD12+BE12+BF12))))))))</f>
        <v>0</v>
      </c>
      <c r="BI12" s="126" t="n">
        <f aca="false">IF(BH12=0,0,IF(BH12&lt;=M12,BH12,IF(BH12&gt;=M12,M12)))</f>
        <v>0</v>
      </c>
      <c r="BJ12" s="127" t="n">
        <f aca="false">CODE(B12:B20)</f>
        <v>0</v>
      </c>
      <c r="BK12" s="127" t="n">
        <f aca="false">ISBLANK(E12)</f>
        <v>1</v>
      </c>
      <c r="BL12" s="127" t="n">
        <f aca="false">CODE(E12)</f>
        <v>0</v>
      </c>
      <c r="BM12" s="127" t="str">
        <f aca="false">CHAR(BL12)</f>
        <v>_x0000_</v>
      </c>
      <c r="BN12" s="128" t="n">
        <f aca="false">ISBLANK(F12)</f>
        <v>1</v>
      </c>
      <c r="BO12" s="129" t="n">
        <f aca="false">ISBLANK(BS12)</f>
        <v>1</v>
      </c>
      <c r="BP12" s="130" t="n">
        <f aca="false">ISBLANK(BT12)</f>
        <v>1</v>
      </c>
      <c r="BQ12" s="130" t="n">
        <f aca="false">ISBLANK(G12)</f>
        <v>1</v>
      </c>
      <c r="BR12" s="130" t="str">
        <f aca="false">TEXT(BT12,"MMDDYYYY")</f>
        <v>12301899</v>
      </c>
      <c r="BS12" s="131"/>
      <c r="BT12" s="132"/>
      <c r="BU12" s="0"/>
      <c r="BV12" s="0"/>
      <c r="BW12" s="0"/>
      <c r="BX12" s="0"/>
      <c r="BY12" s="0"/>
      <c r="BZ12" s="0"/>
      <c r="CA12" s="0"/>
      <c r="CB12" s="0"/>
      <c r="CC12" s="12"/>
      <c r="DN12" s="6"/>
      <c r="DO12" s="6"/>
      <c r="DP12" s="6"/>
      <c r="DQ12" s="6"/>
      <c r="DY12" s="6"/>
      <c r="DZ12" s="6"/>
      <c r="EA12" s="6"/>
      <c r="EB12" s="6"/>
      <c r="EC12" s="6"/>
      <c r="ED12" s="6"/>
      <c r="EE12" s="6"/>
      <c r="EF12" s="6"/>
      <c r="EG12" s="6"/>
    </row>
    <row r="13" customFormat="false" ht="12.75" hidden="false" customHeight="true" outlineLevel="0" collapsed="false">
      <c r="A13" s="27" t="n">
        <f aca="false">A12+1</f>
        <v>5</v>
      </c>
      <c r="B13" s="118"/>
      <c r="C13" s="118"/>
      <c r="D13" s="118"/>
      <c r="E13" s="118"/>
      <c r="F13" s="119"/>
      <c r="G13" s="120"/>
      <c r="H13" s="121"/>
      <c r="I13" s="122"/>
      <c r="J13" s="123" t="n">
        <f aca="false">IF(L13=2008,AF13+AG13+AH13+AI13+AJ13,IF(L13=2009,AF13+AG13+AH13+AI13+AJ13,IF(L13=2010,AF13+AG13+AH13+AI13+AJ13,IF(L13=2011,AF13+AG13+AH13+AI13+AJ13,IF(L13=2012,AF13+AG13+AH13+AI13+AJ13,IF(L13=2013,AO13+AP13+AQ13+AR13+AS13,IF(L13=2014,AX13+AY13+AZ13+BA13+BB13,IF(L13=2015,AX13+AY13+AZ13+BA13+BB13))))))))</f>
        <v>0</v>
      </c>
      <c r="K13" s="123" t="n">
        <f aca="false">K12</f>
        <v>12</v>
      </c>
      <c r="L13" s="74" t="n">
        <f aca="false">L12</f>
        <v>2015</v>
      </c>
      <c r="M13" s="124" t="n">
        <f aca="false">M12</f>
        <v>0</v>
      </c>
      <c r="N13" s="74" t="str">
        <f aca="false">IF(I13=0,"0",IF(I13&lt;=4999.99,"1",IF(I13&lt;=5999.99,"2",IF(I13&lt;=6999.99,"3",IF(I13&lt;=7999.99,"4",IF(I13&lt;=8999.99,"5",IF(I13&lt;=9999.99,"6",IF(I13&gt;=9999.99,"0",0))))))))</f>
        <v>0</v>
      </c>
      <c r="O13" s="74" t="str">
        <f aca="false">IF(I13&lt;=9999.99,"0",IF(I13&lt;=10999.99,"7",IF(I13&lt;=11999.99,"8",IF(I13&lt;=12999.99,"9",IF(I13&lt;=13999.99,"10",IF(I13&lt;=14999.99,"11",IF(I13&gt;=14999.99,"0")))))))</f>
        <v>0</v>
      </c>
      <c r="P13" s="74" t="str">
        <f aca="false">IF(I13&lt;=14999.99,"0",IF(I13&gt;=15000,"12"))</f>
        <v>0</v>
      </c>
      <c r="Q13" s="74" t="n">
        <f aca="false">IF(J13=1,"50",IF(J13=2,"62.50",IF(J13=3,"75",IF(J13=4,"87.5",IF(J13=5,"100",IF(J13=6,"112.50",IF(J13=7,"125",IF(J13=8,"137.50",0))))))))</f>
        <v>0</v>
      </c>
      <c r="R13" s="74" t="n">
        <f aca="false">IF(J13=9,"150",IF(J13=10,"162.50",IF(J13=11,"175",IF(J13=12,"187.50",0))))</f>
        <v>0</v>
      </c>
      <c r="S13" s="27" t="str">
        <f aca="false">IF(I13=0,"0",IF(I13&lt;=4999.99,"1",IF(I13&lt;=5999.99,"2",IF(I13&lt;=6999.99,"3",IF(I13&lt;=7999.99,"4",IF(I13&lt;=8999.99,"5",IF(I13&lt;=9999.99,"6",IF(I13&gt;=9999.99,"0",0))))))))</f>
        <v>0</v>
      </c>
      <c r="T13" s="27" t="str">
        <f aca="false">IF(I13&lt;=9999.99,"0",IF(I13&lt;=10999.99,"7",IF(I13&lt;=11999.99,"8",IF(I13&lt;=12999.99,"9",IF(I13&lt;=13999.99,"10",IF(I13&lt;=14999.99,"11",IF(I13&gt;=14999.99,"0")))))))</f>
        <v>0</v>
      </c>
      <c r="U13" s="27" t="str">
        <f aca="false">IF(I13&lt;=14999.99,"0",IF(I13&lt;=15999.99,"12",IF(I13&lt;=16999.99,"13",IF(I13&lt;=17999.99,"14",IF(I13&lt;=18999.99,"15",IF(I13&lt;=19999.99,"16",IF(I13&gt;=20000,"17")))))))</f>
        <v>0</v>
      </c>
      <c r="V13" s="125" t="n">
        <f aca="false">IF(J13=1,"50",IF(J13=2,"62.50",IF(J13=3,"75",IF(J13=4,"87.5",IF(J13=5,"100",IF(J13=6,"112.50",IF(J13=7,"125",IF(J13=8,"137.50",0))))))))</f>
        <v>0</v>
      </c>
      <c r="W13" s="125" t="n">
        <f aca="false">IF(J13=9,"150",IF(J13=10,"162.50",IF(J13=11,"175",IF(J13=12,"187.50",IF(J13=13,"200",IF(J13=14,"212.5",IF(J13=15,"225",IF(J13=16,"237.5",0))))))))</f>
        <v>0</v>
      </c>
      <c r="X13" s="125" t="n">
        <f aca="false">IF(J13=17,"250",0)</f>
        <v>0</v>
      </c>
      <c r="Y13" s="27" t="str">
        <f aca="false">IF(I13=0,"0",IF(I13&lt;=4999.99,"1",IF(I13&lt;=5999.99,"2",IF(I13&lt;=6999.99,"3",IF(I13&lt;=7999.99,"4",IF(I13&lt;=8999.99,"5",IF(I13&lt;=9999.99,"6",IF(I13&gt;=9999.99,"0",0))))))))</f>
        <v>0</v>
      </c>
      <c r="Z13" s="27" t="str">
        <f aca="false">IF(I13&lt;=9999.99,"0",IF(I13&lt;=10999.99,"7",IF(I13&lt;=11999.99,"8",IF(I13&lt;=12999.99,"9",IF(I13&lt;=13999.99,"10",IF(I13&lt;=14999.99,"11",IF(I13&gt;=14999.99,"0")))))))</f>
        <v>0</v>
      </c>
      <c r="AA13" s="27" t="str">
        <f aca="false">IF(I13&lt;=14999.99,"0",IF(I13&lt;=15999.99,"12",IF(I13&lt;=16999.99,"13",IF(I13&lt;=17999.99,"14",IF(I13&lt;=18999.99,"15",IF(I13&lt;=19999.99,"16",IF(I13&lt;=20999.99,"17",IF(I13&gt;=20999.99,"0"))))))))</f>
        <v>0</v>
      </c>
      <c r="AB13" s="27" t="str">
        <f aca="false">IF(I13&lt;=20999.99,"0",IF(I13&lt;=21999.99,"18",IF(I13&lt;=22999.99,"19",IF(I13&lt;=23999.99,"20",IF(I13&lt;=24999.99,"21",IF(I13&gt;=25000,"22"))))))</f>
        <v>0</v>
      </c>
      <c r="AC13" s="125" t="n">
        <f aca="false">IF(J13=1,"50",IF(J13=2,"62.50",IF(J13=3,"75",IF(J13=4,"87.5",IF(J13=5,"100",IF(J13=6,"112.50",IF(J13=7,"125",IF(J13=8,"137.50",0))))))))</f>
        <v>0</v>
      </c>
      <c r="AD13" s="125" t="n">
        <f aca="false">IF(J13=9,"150",IF(J13=10,"162.50",IF(J13=11,"175",IF(J13=12,"187.50",IF(J13=13,"200",IF(J13=14,"212.5",IF(J13=15,"225",IF(J13=16,"237.5",0))))))))</f>
        <v>0</v>
      </c>
      <c r="AE13" s="125" t="n">
        <f aca="false">IF(J13=17,"250",IF(J13=18,"262.50",IF(J13=19,"275",IF(J13=20,"287.50",IF(J13=21,"300",IF(J13=22,"312.50",0))))))</f>
        <v>0</v>
      </c>
      <c r="AF13" s="27" t="str">
        <f aca="false">IF(I13=0,"0",IF(I13&lt;=4999.99,"1",IF(I13&lt;=5999.99,"2",IF(I13&lt;=6999.99,"3",IF(I13&lt;=7999.99,"4",IF(I13&lt;=8999.99,"5",IF(I13&lt;=9999.99,"6",IF(I13&gt;=9999.99,"0",0))))))))</f>
        <v>0</v>
      </c>
      <c r="AG13" s="27" t="str">
        <f aca="false">IF(I13&lt;=9999.99,"0",IF(I13&lt;=10999.99,"7",IF(I13&lt;=11999.99,"8",IF(I13&lt;=12999.99,"9",IF(I13&lt;=13999.99,"10",IF(I13&lt;=14999.99,"11",IF(I13&gt;=14999.99,"0")))))))</f>
        <v>0</v>
      </c>
      <c r="AH13" s="27" t="str">
        <f aca="false">IF(I13&lt;=14999.99,"0",IF(I13&lt;=15999.99,"12",IF(I13&lt;=16999.99,"13",IF(I13&lt;=17999.99,"14",IF(I13&lt;=18999.99,"15",IF(I13&lt;=19999.99,"16",IF(I13&lt;=20999.99,"17",IF(I13&gt;=20999.99,"0"))))))))</f>
        <v>0</v>
      </c>
      <c r="AI13" s="27" t="str">
        <f aca="false">IF(I13&lt;=20999.99,"0",IF(I13&lt;=21999.99,"18",IF(I13&lt;=22999.99,"19",IF(I13&lt;=23999.99,"20",IF(I13&lt;=24999.99,"21",IF(I13&lt;=25999.99,"22",IF(I13&lt;=26999.99,"23",IF(I13&gt;=26999.99,"0"))))))))</f>
        <v>0</v>
      </c>
      <c r="AJ13" s="27" t="str">
        <f aca="false">IF(I13&lt;=26999.99,"0",IF(I13&lt;=27999.99,"24",IF(I13&lt;=28999.99,"25",IF(I13&lt;=29999.99,"26",IF(I13&gt;=30000,"27")))))</f>
        <v>0</v>
      </c>
      <c r="AK13" s="125" t="n">
        <f aca="false">IF(J13=1,"50",IF(J13=2,"62.50",IF(J13=3,"75",IF(J13=4,"87.5",IF(J13=5,"100",IF(J13=6,"112.50",IF(J13=7,"125",IF(J13=8,"137.50",0))))))))</f>
        <v>0</v>
      </c>
      <c r="AL13" s="125" t="n">
        <f aca="false">IF(J13=9,"150",IF(J13=10,"162.50",IF(J13=11,"175",IF(J13=12,"187.50",IF(J13=13,"200",IF(J13=14,"212.5",IF(J13=15,"225",IF(J13=16,"237.5",0))))))))</f>
        <v>0</v>
      </c>
      <c r="AM13" s="125" t="n">
        <f aca="false">IF(J13=17,"250",IF(J13=18,"262.50",IF(J13=19,"275",IF(J13=20,"287.50",IF(J13=21,"300",IF(J13=22,"312.50",IF(J13=23,"325",IF(J13=24,"337.50",0))))))))</f>
        <v>0</v>
      </c>
      <c r="AN13" s="125" t="n">
        <f aca="false">IF(J13=25,"350",IF(J13=26,"362.50",IF(J13=27,"375",0)))</f>
        <v>0</v>
      </c>
      <c r="AO13" s="27" t="str">
        <f aca="false">IF(I13=0,"0",IF(I13&lt;=7999.99,"1",IF(I13&lt;=8999.99,"2",IF(I13&lt;=9999.99,"3",IF(I13&lt;=10999.99,"4",IF(I13&lt;=11999.99,"5",IF(I13&lt;=12999.99,"6",IF(I13&gt;=12999.99,"0",0))))))))</f>
        <v>0</v>
      </c>
      <c r="AP13" s="27" t="str">
        <f aca="false">IF(I13&lt;=12999.99,"0",IF(I13&lt;=13999.99,"7",IF(I13&lt;=14999.99,"8",IF(I13&lt;=15999.99,"9",IF(I13&lt;=16999.99,"10",IF(I13&lt;=17999.99,"11",IF(I13&gt;=17999.99,"0")))))))</f>
        <v>0</v>
      </c>
      <c r="AQ13" s="27" t="str">
        <f aca="false">IF(I13&lt;=17999.99,"0",IF(I13&lt;=18999.99,"12",IF(I13&lt;=19999.99,"13",IF(I13&lt;=20999.99,"14",IF(I13&lt;=21999.99,"15",IF(I13&lt;=22999.99,"16",IF(I13&lt;=23999.99,"17",IF(I13&gt;=23999.99,"0"))))))))</f>
        <v>0</v>
      </c>
      <c r="AR13" s="27" t="str">
        <f aca="false">IF(I13&lt;=23999.99,"0",IF(I13&lt;=24999.99,"18",IF(I13&lt;=25999.99,"19",IF(I13&lt;=26999.99,"20",IF(I13&lt;=27999.99,"21",IF(I13&lt;=28999.99,"22",IF(I13&lt;=29999.99,"23",IF(I13&gt;=29999.99,"0"))))))))</f>
        <v>0</v>
      </c>
      <c r="AS13" s="27" t="str">
        <f aca="false">IF(I13&lt;=29999.99,"0",IF(I13&lt;=30999.99,"24",IF(I13&lt;=31999.99,"25",IF(I13&lt;=32999.99,"26",IF(I13&lt;=33999.99,"27",IF(I13&lt;=34999.99,"28",IF(I13&gt;=35000,"29")))))))</f>
        <v>0</v>
      </c>
      <c r="AT13" s="27" t="n">
        <f aca="false">IF(J13=1,"87.50",IF(J13=2,"100",IF(J13=3,"112.50",IF(J13=4,"125",IF(J13=5,"137.50",IF(J13=6,"150",IF(J13=7,"162.50",IF(J13=8,"175",0))))))))</f>
        <v>0</v>
      </c>
      <c r="AU13" s="27" t="n">
        <f aca="false">IF(J13=9,"187.50",IF(J13=10,"200",IF(J13=11,"212.50",IF(J13=12,"225",IF(J13=13,"237.50",IF(J13=14,"250",IF(J13=15,"262.50",IF(J13=16,"275",0))))))))</f>
        <v>0</v>
      </c>
      <c r="AV13" s="27" t="n">
        <f aca="false">IF(J13=17,"287.50",IF(J13=18,"300",IF(J13=19,"312.50",IF(J13=20,"325",IF(J13=21,"337.50",IF(J13=22,"350",IF(J13=23,"362.50",IF(J13=24,"375",0))))))))</f>
        <v>0</v>
      </c>
      <c r="AW13" s="27" t="n">
        <f aca="false">IF(J13=25,"387.50",IF(J13=26,"400",IF(J13=27,"412.50",IF(J13=28,"425",IF(J13=29,"437.50",0)))))</f>
        <v>0</v>
      </c>
      <c r="AX13" s="27" t="str">
        <f aca="false">IF(I13=0,"0",IF(I13&lt;=8999.99,"1",IF(I13&lt;=9999.99,"2",IF(I13&lt;=10999.99,"3",IF(I13&lt;=11999.99,"4",IF(I13&lt;=12999.99,"5",IF(I13&lt;=13999.99,"6",IF(I13&gt;=13999.99,"0",0))))))))</f>
        <v>0</v>
      </c>
      <c r="AY13" s="27" t="str">
        <f aca="false">IF(I13&lt;=13999.99,"0",IF(I13&lt;=14999.99,"7",IF(I13&lt;=15999.99,"8",IF(I13&lt;=16999.99,"9",IF(I13&lt;=17999.99,"10",IF(I13&lt;=18999.99,"11",IF(I13&gt;=18999.99,"0")))))))</f>
        <v>0</v>
      </c>
      <c r="AZ13" s="27" t="str">
        <f aca="false">IF(I13&lt;=18999.99,"0",IF(I13&lt;=19999.99,"12",IF(I13&lt;=20999.99,"13",IF(I13&lt;=21999.99,"14",IF(I13&lt;=22999.99,"15",IF(I13&lt;=23999.99,"16",IF(I13&lt;=24999.99,"17",IF(I13&gt;=24999.99,"0"))))))))</f>
        <v>0</v>
      </c>
      <c r="BA13" s="27" t="str">
        <f aca="false">IF(I13&lt;=24999.99,"0",IF(I13&lt;=25999.99,"18",IF(I13&lt;=26999.99,"19",IF(I13&lt;=27999.99,"20",IF(I13&lt;=28999.99,"21",IF(I13&lt;=29999.99,"22",IF(I13&lt;=30999.99,"23",IF(I13&gt;=30999.99,"0"))))))))</f>
        <v>0</v>
      </c>
      <c r="BB13" s="27" t="str">
        <f aca="false">IF(I13&lt;=30999.99,"0",IF(I13&lt;=31999.99,"24",IF(I13&lt;=32999.99,"25",IF(I13&lt;=33999.99,"26",IF(I13&lt;=34999.99,"27",IF(I13&gt;=35000,"28"))))))</f>
        <v>0</v>
      </c>
      <c r="BC13" s="27" t="n">
        <f aca="false">IF(J13=1,"100",IF(J13=2,"112.50",IF(J13=3,"125",IF(J13=4,"137.50",IF(J13=5,"150",IF(J13=6,"162.50",IF(J13=7,"175",IF(J13=8,"187.50",0))))))))</f>
        <v>0</v>
      </c>
      <c r="BD13" s="27" t="n">
        <f aca="false">IF(J13=9,"200",IF(J13=10,"212.50",IF(J13=11,"225",IF(J13=12,"237.50",IF(J13=13,"250",IF(J13=14,"262.50",IF(J13=15,"275",IF(J13=16,"287.50",0))))))))</f>
        <v>0</v>
      </c>
      <c r="BE13" s="27" t="n">
        <f aca="false">IF(J13=17,"300",IF(J13=18,"312.50",IF(J13=19,"325",IF(J13=20,"337.50",IF(J13=21,"350",IF(J13=22,"362.50",IF(J13=23,"375",IF(J13=24,"387.50",0))))))))</f>
        <v>0</v>
      </c>
      <c r="BF13" s="27" t="n">
        <f aca="false">IF(J13=25,"400",IF(J13=26,"412.50",IF(J13=27,"425",IF(J13=28,"437.50",0))))</f>
        <v>0</v>
      </c>
      <c r="BG13" s="125" t="n">
        <f aca="false">IF(L13=2008,AK13+AL13+AM13+AN13,IF(L13=2009,AK13+AL13+AM13+AN13,IF(L13=2010,AK13+AL13+AM13+AN13,IF(L13=2011,AK13+AL13+AM13+AN13,IF(L13=2012,AK13+AL13+AM13+AN13,IF(L13=2013,AT13+AU13+AV13+AW13,IF(L13=2014,BC13+BD13+BE13+BF13,IF(L13=2015,BC13+BD13+BE13+BF13))))))))</f>
        <v>0</v>
      </c>
      <c r="BH13" s="125" t="n">
        <f aca="false">IF(L13=2008,AK13+AL13+AM13+AN13,IF(L13=2009,AK13+AL13+AM13+AN13,IF(L13=2010,AK13+AL13+AM13+AN13,IF(L13=2011,AK13+AL13+AM13+AN13,IF(L13=2012,AK13+AL13+AM13+AN13,IF(L13=2013,AT13+AU13+AV13+AW13,IF(L13=2014,BC13+BD13+BE13+BF13,IF(L13=2015,BC13+BD13+BE13+BF13))))))))</f>
        <v>0</v>
      </c>
      <c r="BI13" s="126" t="n">
        <f aca="false">IF(BH13=0,0,IF(BH13&lt;=M13,BH13,IF(BH13&gt;=M13,M13)))</f>
        <v>0</v>
      </c>
      <c r="BJ13" s="127" t="n">
        <f aca="false">CODE(B13:B20)</f>
        <v>0</v>
      </c>
      <c r="BK13" s="127" t="n">
        <f aca="false">ISBLANK(E13)</f>
        <v>1</v>
      </c>
      <c r="BL13" s="127" t="n">
        <f aca="false">CODE(E13)</f>
        <v>0</v>
      </c>
      <c r="BM13" s="127" t="str">
        <f aca="false">CHAR(BL13)</f>
        <v>_x0000_</v>
      </c>
      <c r="BN13" s="128" t="n">
        <f aca="false">ISBLANK(F13)</f>
        <v>1</v>
      </c>
      <c r="BO13" s="129" t="n">
        <f aca="false">ISBLANK(BS13)</f>
        <v>1</v>
      </c>
      <c r="BP13" s="130" t="n">
        <f aca="false">ISBLANK(BT13)</f>
        <v>1</v>
      </c>
      <c r="BQ13" s="130" t="n">
        <f aca="false">ISBLANK(G13)</f>
        <v>1</v>
      </c>
      <c r="BR13" s="130" t="str">
        <f aca="false">TEXT(BT13,"MMDDYYYY")</f>
        <v>12301899</v>
      </c>
      <c r="BS13" s="131"/>
      <c r="BT13" s="132"/>
      <c r="BU13" s="0"/>
      <c r="BV13" s="0"/>
      <c r="BW13" s="0"/>
      <c r="CA13" s="0"/>
      <c r="CB13" s="0"/>
      <c r="CC13" s="12"/>
      <c r="DN13" s="6"/>
      <c r="DO13" s="6"/>
      <c r="DP13" s="6"/>
      <c r="DQ13" s="6"/>
      <c r="DY13" s="6"/>
      <c r="DZ13" s="6"/>
      <c r="EA13" s="6"/>
      <c r="EB13" s="6"/>
      <c r="EC13" s="6"/>
      <c r="ED13" s="6"/>
      <c r="EE13" s="6"/>
      <c r="EF13" s="6"/>
      <c r="EG13" s="6"/>
    </row>
    <row r="14" customFormat="false" ht="12.75" hidden="false" customHeight="true" outlineLevel="0" collapsed="false">
      <c r="A14" s="27" t="n">
        <f aca="false">A13+1</f>
        <v>6</v>
      </c>
      <c r="B14" s="118"/>
      <c r="C14" s="118"/>
      <c r="D14" s="118"/>
      <c r="E14" s="118"/>
      <c r="F14" s="119"/>
      <c r="G14" s="120"/>
      <c r="H14" s="121"/>
      <c r="I14" s="122"/>
      <c r="J14" s="123" t="n">
        <f aca="false">IF(L14=2008,AF14+AG14+AH14+AI14+AJ14,IF(L14=2009,AF14+AG14+AH14+AI14+AJ14,IF(L14=2010,AF14+AG14+AH14+AI14+AJ14,IF(L14=2011,AF14+AG14+AH14+AI14+AJ14,IF(L14=2012,AF14+AG14+AH14+AI14+AJ14,IF(L14=2013,AO14+AP14+AQ14+AR14+AS14,IF(L14=2014,AX14+AY14+AZ14+BA14+BB14,IF(L14=2015,AX14+AY14+AZ14+BA14+BB14))))))))</f>
        <v>0</v>
      </c>
      <c r="K14" s="123" t="n">
        <f aca="false">K13</f>
        <v>12</v>
      </c>
      <c r="L14" s="74" t="n">
        <f aca="false">L13</f>
        <v>2015</v>
      </c>
      <c r="M14" s="124" t="n">
        <f aca="false">M13</f>
        <v>0</v>
      </c>
      <c r="N14" s="74" t="str">
        <f aca="false">IF(I14=0,"0",IF(I14&lt;=4999.99,"1",IF(I14&lt;=5999.99,"2",IF(I14&lt;=6999.99,"3",IF(I14&lt;=7999.99,"4",IF(I14&lt;=8999.99,"5",IF(I14&lt;=9999.99,"6",IF(I14&gt;=9999.99,"0",0))))))))</f>
        <v>0</v>
      </c>
      <c r="O14" s="74" t="str">
        <f aca="false">IF(I14&lt;=9999.99,"0",IF(I14&lt;=10999.99,"7",IF(I14&lt;=11999.99,"8",IF(I14&lt;=12999.99,"9",IF(I14&lt;=13999.99,"10",IF(I14&lt;=14999.99,"11",IF(I14&gt;=14999.99,"0")))))))</f>
        <v>0</v>
      </c>
      <c r="P14" s="74" t="str">
        <f aca="false">IF(I14&lt;=14999.99,"0",IF(I14&gt;=15000,"12"))</f>
        <v>0</v>
      </c>
      <c r="Q14" s="74" t="n">
        <f aca="false">IF(J14=1,"50",IF(J14=2,"62.50",IF(J14=3,"75",IF(J14=4,"87.5",IF(J14=5,"100",IF(J14=6,"112.50",IF(J14=7,"125",IF(J14=8,"137.50",0))))))))</f>
        <v>0</v>
      </c>
      <c r="R14" s="74" t="n">
        <f aca="false">IF(J14=9,"150",IF(J14=10,"162.50",IF(J14=11,"175",IF(J14=12,"187.50",0))))</f>
        <v>0</v>
      </c>
      <c r="S14" s="27" t="str">
        <f aca="false">IF(I14=0,"0",IF(I14&lt;=4999.99,"1",IF(I14&lt;=5999.99,"2",IF(I14&lt;=6999.99,"3",IF(I14&lt;=7999.99,"4",IF(I14&lt;=8999.99,"5",IF(I14&lt;=9999.99,"6",IF(I14&gt;=9999.99,"0",0))))))))</f>
        <v>0</v>
      </c>
      <c r="T14" s="27" t="str">
        <f aca="false">IF(I14&lt;=9999.99,"0",IF(I14&lt;=10999.99,"7",IF(I14&lt;=11999.99,"8",IF(I14&lt;=12999.99,"9",IF(I14&lt;=13999.99,"10",IF(I14&lt;=14999.99,"11",IF(I14&gt;=14999.99,"0")))))))</f>
        <v>0</v>
      </c>
      <c r="U14" s="27" t="str">
        <f aca="false">IF(I14&lt;=14999.99,"0",IF(I14&lt;=15999.99,"12",IF(I14&lt;=16999.99,"13",IF(I14&lt;=17999.99,"14",IF(I14&lt;=18999.99,"15",IF(I14&lt;=19999.99,"16",IF(I14&gt;=20000,"17")))))))</f>
        <v>0</v>
      </c>
      <c r="V14" s="125" t="n">
        <f aca="false">IF(J14=1,"50",IF(J14=2,"62.50",IF(J14=3,"75",IF(J14=4,"87.5",IF(J14=5,"100",IF(J14=6,"112.50",IF(J14=7,"125",IF(J14=8,"137.50",0))))))))</f>
        <v>0</v>
      </c>
      <c r="W14" s="125" t="n">
        <f aca="false">IF(J14=9,"150",IF(J14=10,"162.50",IF(J14=11,"175",IF(J14=12,"187.50",IF(J14=13,"200",IF(J14=14,"212.5",IF(J14=15,"225",IF(J14=16,"237.5",0))))))))</f>
        <v>0</v>
      </c>
      <c r="X14" s="125" t="n">
        <f aca="false">IF(J14=17,"250",0)</f>
        <v>0</v>
      </c>
      <c r="Y14" s="27" t="str">
        <f aca="false">IF(I14=0,"0",IF(I14&lt;=4999.99,"1",IF(I14&lt;=5999.99,"2",IF(I14&lt;=6999.99,"3",IF(I14&lt;=7999.99,"4",IF(I14&lt;=8999.99,"5",IF(I14&lt;=9999.99,"6",IF(I14&gt;=9999.99,"0",0))))))))</f>
        <v>0</v>
      </c>
      <c r="Z14" s="27" t="str">
        <f aca="false">IF(I14&lt;=9999.99,"0",IF(I14&lt;=10999.99,"7",IF(I14&lt;=11999.99,"8",IF(I14&lt;=12999.99,"9",IF(I14&lt;=13999.99,"10",IF(I14&lt;=14999.99,"11",IF(I14&gt;=14999.99,"0")))))))</f>
        <v>0</v>
      </c>
      <c r="AA14" s="27" t="str">
        <f aca="false">IF(I14&lt;=14999.99,"0",IF(I14&lt;=15999.99,"12",IF(I14&lt;=16999.99,"13",IF(I14&lt;=17999.99,"14",IF(I14&lt;=18999.99,"15",IF(I14&lt;=19999.99,"16",IF(I14&lt;=20999.99,"17",IF(I14&gt;=20999.99,"0"))))))))</f>
        <v>0</v>
      </c>
      <c r="AB14" s="27" t="str">
        <f aca="false">IF(I14&lt;=20999.99,"0",IF(I14&lt;=21999.99,"18",IF(I14&lt;=22999.99,"19",IF(I14&lt;=23999.99,"20",IF(I14&lt;=24999.99,"21",IF(I14&gt;=25000,"22"))))))</f>
        <v>0</v>
      </c>
      <c r="AC14" s="125" t="n">
        <f aca="false">IF(J14=1,"50",IF(J14=2,"62.50",IF(J14=3,"75",IF(J14=4,"87.5",IF(J14=5,"100",IF(J14=6,"112.50",IF(J14=7,"125",IF(J14=8,"137.50",0))))))))</f>
        <v>0</v>
      </c>
      <c r="AD14" s="125" t="n">
        <f aca="false">IF(J14=9,"150",IF(J14=10,"162.50",IF(J14=11,"175",IF(J14=12,"187.50",IF(J14=13,"200",IF(J14=14,"212.5",IF(J14=15,"225",IF(J14=16,"237.5",0))))))))</f>
        <v>0</v>
      </c>
      <c r="AE14" s="125" t="n">
        <f aca="false">IF(J14=17,"250",IF(J14=18,"262.50",IF(J14=19,"275",IF(J14=20,"287.50",IF(J14=21,"300",IF(J14=22,"312.50",0))))))</f>
        <v>0</v>
      </c>
      <c r="AF14" s="27" t="str">
        <f aca="false">IF(I14=0,"0",IF(I14&lt;=4999.99,"1",IF(I14&lt;=5999.99,"2",IF(I14&lt;=6999.99,"3",IF(I14&lt;=7999.99,"4",IF(I14&lt;=8999.99,"5",IF(I14&lt;=9999.99,"6",IF(I14&gt;=9999.99,"0",0))))))))</f>
        <v>0</v>
      </c>
      <c r="AG14" s="27" t="str">
        <f aca="false">IF(I14&lt;=9999.99,"0",IF(I14&lt;=10999.99,"7",IF(I14&lt;=11999.99,"8",IF(I14&lt;=12999.99,"9",IF(I14&lt;=13999.99,"10",IF(I14&lt;=14999.99,"11",IF(I14&gt;=14999.99,"0")))))))</f>
        <v>0</v>
      </c>
      <c r="AH14" s="27" t="str">
        <f aca="false">IF(I14&lt;=14999.99,"0",IF(I14&lt;=15999.99,"12",IF(I14&lt;=16999.99,"13",IF(I14&lt;=17999.99,"14",IF(I14&lt;=18999.99,"15",IF(I14&lt;=19999.99,"16",IF(I14&lt;=20999.99,"17",IF(I14&gt;=20999.99,"0"))))))))</f>
        <v>0</v>
      </c>
      <c r="AI14" s="27" t="str">
        <f aca="false">IF(I14&lt;=20999.99,"0",IF(I14&lt;=21999.99,"18",IF(I14&lt;=22999.99,"19",IF(I14&lt;=23999.99,"20",IF(I14&lt;=24999.99,"21",IF(I14&lt;=25999.99,"22",IF(I14&lt;=26999.99,"23",IF(I14&gt;=26999.99,"0"))))))))</f>
        <v>0</v>
      </c>
      <c r="AJ14" s="27" t="str">
        <f aca="false">IF(I14&lt;=26999.99,"0",IF(I14&lt;=27999.99,"24",IF(I14&lt;=28999.99,"25",IF(I14&lt;=29999.99,"26",IF(I14&gt;=30000,"27")))))</f>
        <v>0</v>
      </c>
      <c r="AK14" s="125" t="n">
        <f aca="false">IF(J14=1,"50",IF(J14=2,"62.50",IF(J14=3,"75",IF(J14=4,"87.5",IF(J14=5,"100",IF(J14=6,"112.50",IF(J14=7,"125",IF(J14=8,"137.50",0))))))))</f>
        <v>0</v>
      </c>
      <c r="AL14" s="125" t="n">
        <f aca="false">IF(J14=9,"150",IF(J14=10,"162.50",IF(J14=11,"175",IF(J14=12,"187.50",IF(J14=13,"200",IF(J14=14,"212.5",IF(J14=15,"225",IF(J14=16,"237.5",0))))))))</f>
        <v>0</v>
      </c>
      <c r="AM14" s="125" t="n">
        <f aca="false">IF(J14=17,"250",IF(J14=18,"262.50",IF(J14=19,"275",IF(J14=20,"287.50",IF(J14=21,"300",IF(J14=22,"312.50",IF(J14=23,"325",IF(J14=24,"337.50",0))))))))</f>
        <v>0</v>
      </c>
      <c r="AN14" s="125" t="n">
        <f aca="false">IF(J14=25,"350",IF(J14=26,"362.50",IF(J14=27,"375",0)))</f>
        <v>0</v>
      </c>
      <c r="AO14" s="27" t="str">
        <f aca="false">IF(I14=0,"0",IF(I14&lt;=7999.99,"1",IF(I14&lt;=8999.99,"2",IF(I14&lt;=9999.99,"3",IF(I14&lt;=10999.99,"4",IF(I14&lt;=11999.99,"5",IF(I14&lt;=12999.99,"6",IF(I14&gt;=12999.99,"0",0))))))))</f>
        <v>0</v>
      </c>
      <c r="AP14" s="27" t="str">
        <f aca="false">IF(I14&lt;=12999.99,"0",IF(I14&lt;=13999.99,"7",IF(I14&lt;=14999.99,"8",IF(I14&lt;=15999.99,"9",IF(I14&lt;=16999.99,"10",IF(I14&lt;=17999.99,"11",IF(I14&gt;=17999.99,"0")))))))</f>
        <v>0</v>
      </c>
      <c r="AQ14" s="27" t="str">
        <f aca="false">IF(I14&lt;=17999.99,"0",IF(I14&lt;=18999.99,"12",IF(I14&lt;=19999.99,"13",IF(I14&lt;=20999.99,"14",IF(I14&lt;=21999.99,"15",IF(I14&lt;=22999.99,"16",IF(I14&lt;=23999.99,"17",IF(I14&gt;=23999.99,"0"))))))))</f>
        <v>0</v>
      </c>
      <c r="AR14" s="27" t="str">
        <f aca="false">IF(I14&lt;=23999.99,"0",IF(I14&lt;=24999.99,"18",IF(I14&lt;=25999.99,"19",IF(I14&lt;=26999.99,"20",IF(I14&lt;=27999.99,"21",IF(I14&lt;=28999.99,"22",IF(I14&lt;=29999.99,"23",IF(I14&gt;=29999.99,"0"))))))))</f>
        <v>0</v>
      </c>
      <c r="AS14" s="27" t="str">
        <f aca="false">IF(I14&lt;=29999.99,"0",IF(I14&lt;=30999.99,"24",IF(I14&lt;=31999.99,"25",IF(I14&lt;=32999.99,"26",IF(I14&lt;=33999.99,"27",IF(I14&lt;=34999.99,"28",IF(I14&gt;=35000,"29")))))))</f>
        <v>0</v>
      </c>
      <c r="AT14" s="27" t="n">
        <f aca="false">IF(J14=1,"87.50",IF(J14=2,"100",IF(J14=3,"112.50",IF(J14=4,"125",IF(J14=5,"137.50",IF(J14=6,"150",IF(J14=7,"162.50",IF(J14=8,"175",0))))))))</f>
        <v>0</v>
      </c>
      <c r="AU14" s="27" t="n">
        <f aca="false">IF(J14=9,"187.50",IF(J14=10,"200",IF(J14=11,"212.50",IF(J14=12,"225",IF(J14=13,"237.50",IF(J14=14,"250",IF(J14=15,"262.50",IF(J14=16,"275",0))))))))</f>
        <v>0</v>
      </c>
      <c r="AV14" s="27" t="n">
        <f aca="false">IF(J14=17,"287.50",IF(J14=18,"300",IF(J14=19,"312.50",IF(J14=20,"325",IF(J14=21,"337.50",IF(J14=22,"350",IF(J14=23,"362.50",IF(J14=24,"375",0))))))))</f>
        <v>0</v>
      </c>
      <c r="AW14" s="27" t="n">
        <f aca="false">IF(J14=25,"387.50",IF(J14=26,"400",IF(J14=27,"412.50",IF(J14=28,"425",IF(J14=29,"437.50",0)))))</f>
        <v>0</v>
      </c>
      <c r="AX14" s="27" t="str">
        <f aca="false">IF(I14=0,"0",IF(I14&lt;=8999.99,"1",IF(I14&lt;=9999.99,"2",IF(I14&lt;=10999.99,"3",IF(I14&lt;=11999.99,"4",IF(I14&lt;=12999.99,"5",IF(I14&lt;=13999.99,"6",IF(I14&gt;=13999.99,"0",0))))))))</f>
        <v>0</v>
      </c>
      <c r="AY14" s="27" t="str">
        <f aca="false">IF(I14&lt;=13999.99,"0",IF(I14&lt;=14999.99,"7",IF(I14&lt;=15999.99,"8",IF(I14&lt;=16999.99,"9",IF(I14&lt;=17999.99,"10",IF(I14&lt;=18999.99,"11",IF(I14&gt;=18999.99,"0")))))))</f>
        <v>0</v>
      </c>
      <c r="AZ14" s="27" t="str">
        <f aca="false">IF(I14&lt;=18999.99,"0",IF(I14&lt;=19999.99,"12",IF(I14&lt;=20999.99,"13",IF(I14&lt;=21999.99,"14",IF(I14&lt;=22999.99,"15",IF(I14&lt;=23999.99,"16",IF(I14&lt;=24999.99,"17",IF(I14&gt;=24999.99,"0"))))))))</f>
        <v>0</v>
      </c>
      <c r="BA14" s="27" t="str">
        <f aca="false">IF(I14&lt;=24999.99,"0",IF(I14&lt;=25999.99,"18",IF(I14&lt;=26999.99,"19",IF(I14&lt;=27999.99,"20",IF(I14&lt;=28999.99,"21",IF(I14&lt;=29999.99,"22",IF(I14&lt;=30999.99,"23",IF(I14&gt;=30999.99,"0"))))))))</f>
        <v>0</v>
      </c>
      <c r="BB14" s="27" t="str">
        <f aca="false">IF(I14&lt;=30999.99,"0",IF(I14&lt;=31999.99,"24",IF(I14&lt;=32999.99,"25",IF(I14&lt;=33999.99,"26",IF(I14&lt;=34999.99,"27",IF(I14&gt;=35000,"28"))))))</f>
        <v>0</v>
      </c>
      <c r="BC14" s="27" t="n">
        <f aca="false">IF(J14=1,"100",IF(J14=2,"112.50",IF(J14=3,"125",IF(J14=4,"137.50",IF(J14=5,"150",IF(J14=6,"162.50",IF(J14=7,"175",IF(J14=8,"187.50",0))))))))</f>
        <v>0</v>
      </c>
      <c r="BD14" s="27" t="n">
        <f aca="false">IF(J14=9,"200",IF(J14=10,"212.50",IF(J14=11,"225",IF(J14=12,"237.50",IF(J14=13,"250",IF(J14=14,"262.50",IF(J14=15,"275",IF(J14=16,"287.50",0))))))))</f>
        <v>0</v>
      </c>
      <c r="BE14" s="27" t="n">
        <f aca="false">IF(J14=17,"300",IF(J14=18,"312.50",IF(J14=19,"325",IF(J14=20,"337.50",IF(J14=21,"350",IF(J14=22,"362.50",IF(J14=23,"375",IF(J14=24,"387.50",0))))))))</f>
        <v>0</v>
      </c>
      <c r="BF14" s="27" t="n">
        <f aca="false">IF(J14=25,"400",IF(J14=26,"412.50",IF(J14=27,"425",IF(J14=28,"437.50",0))))</f>
        <v>0</v>
      </c>
      <c r="BG14" s="125" t="n">
        <f aca="false">IF(L14=2008,AK14+AL14+AM14+AN14,IF(L14=2009,AK14+AL14+AM14+AN14,IF(L14=2010,AK14+AL14+AM14+AN14,IF(L14=2011,AK14+AL14+AM14+AN14,IF(L14=2012,AK14+AL14+AM14+AN14,IF(L14=2013,AT14+AU14+AV14+AW14,IF(L14=2014,BC14+BD14+BE14+BF14,IF(L14=2015,BC14+BD14+BE14+BF14))))))))</f>
        <v>0</v>
      </c>
      <c r="BH14" s="125" t="n">
        <f aca="false">IF(L14=2008,AK14+AL14+AM14+AN14,IF(L14=2009,AK14+AL14+AM14+AN14,IF(L14=2010,AK14+AL14+AM14+AN14,IF(L14=2011,AK14+AL14+AM14+AN14,IF(L14=2012,AK14+AL14+AM14+AN14,IF(L14=2013,AT14+AU14+AV14+AW14,IF(L14=2014,BC14+BD14+BE14+BF14,IF(L14=2015,BC14+BD14+BE14+BF14))))))))</f>
        <v>0</v>
      </c>
      <c r="BI14" s="126" t="n">
        <f aca="false">IF(BH14=0,0,IF(BH14&lt;=M14,BH14,IF(BH14&gt;=M14,M14)))</f>
        <v>0</v>
      </c>
      <c r="BJ14" s="127" t="n">
        <f aca="false">CODE(B14:B20)</f>
        <v>0</v>
      </c>
      <c r="BK14" s="127" t="n">
        <f aca="false">ISBLANK(E14)</f>
        <v>1</v>
      </c>
      <c r="BL14" s="127" t="n">
        <f aca="false">CODE(E14)</f>
        <v>0</v>
      </c>
      <c r="BM14" s="127" t="str">
        <f aca="false">CHAR(BL14)</f>
        <v>_x0000_</v>
      </c>
      <c r="BN14" s="128" t="n">
        <f aca="false">ISBLANK(F14)</f>
        <v>1</v>
      </c>
      <c r="BO14" s="129" t="n">
        <f aca="false">ISBLANK(BS14)</f>
        <v>1</v>
      </c>
      <c r="BP14" s="130" t="n">
        <f aca="false">ISBLANK(BT14)</f>
        <v>1</v>
      </c>
      <c r="BQ14" s="130" t="n">
        <f aca="false">ISBLANK(G14)</f>
        <v>1</v>
      </c>
      <c r="BR14" s="130" t="str">
        <f aca="false">TEXT(BT14,"MMDDYYYY")</f>
        <v>12301899</v>
      </c>
      <c r="BS14" s="131"/>
      <c r="BT14" s="132"/>
      <c r="BU14" s="0"/>
      <c r="BV14" s="0"/>
      <c r="BW14" s="0"/>
      <c r="CA14" s="0"/>
      <c r="CB14" s="0"/>
      <c r="CC14" s="12"/>
      <c r="DN14" s="6"/>
      <c r="DO14" s="6"/>
      <c r="DP14" s="6"/>
      <c r="DQ14" s="6"/>
      <c r="DY14" s="6"/>
      <c r="DZ14" s="6"/>
      <c r="EA14" s="6"/>
      <c r="EB14" s="6"/>
      <c r="EC14" s="6"/>
      <c r="ED14" s="6"/>
      <c r="EE14" s="6"/>
      <c r="EF14" s="6"/>
      <c r="EG14" s="6"/>
    </row>
    <row r="15" customFormat="false" ht="12.75" hidden="false" customHeight="true" outlineLevel="0" collapsed="false">
      <c r="A15" s="27" t="n">
        <f aca="false">A14+1</f>
        <v>7</v>
      </c>
      <c r="B15" s="118"/>
      <c r="C15" s="118"/>
      <c r="D15" s="118"/>
      <c r="E15" s="118"/>
      <c r="F15" s="119"/>
      <c r="G15" s="120"/>
      <c r="H15" s="121"/>
      <c r="I15" s="122"/>
      <c r="J15" s="123" t="n">
        <f aca="false">IF(L15=2008,AF15+AG15+AH15+AI15+AJ15,IF(L15=2009,AF15+AG15+AH15+AI15+AJ15,IF(L15=2010,AF15+AG15+AH15+AI15+AJ15,IF(L15=2011,AF15+AG15+AH15+AI15+AJ15,IF(L15=2012,AF15+AG15+AH15+AI15+AJ15,IF(L15=2013,AO15+AP15+AQ15+AR15+AS15,IF(L15=2014,AX15+AY15+AZ15+BA15+BB15,IF(L15=2015,AX15+AY15+AZ15+BA15+BB15))))))))</f>
        <v>0</v>
      </c>
      <c r="K15" s="123" t="n">
        <f aca="false">K14</f>
        <v>12</v>
      </c>
      <c r="L15" s="74" t="n">
        <f aca="false">L14</f>
        <v>2015</v>
      </c>
      <c r="M15" s="124" t="n">
        <f aca="false">M14</f>
        <v>0</v>
      </c>
      <c r="N15" s="74" t="str">
        <f aca="false">IF(I15=0,"0",IF(I15&lt;=4999.99,"1",IF(I15&lt;=5999.99,"2",IF(I15&lt;=6999.99,"3",IF(I15&lt;=7999.99,"4",IF(I15&lt;=8999.99,"5",IF(I15&lt;=9999.99,"6",IF(I15&gt;=9999.99,"0",0))))))))</f>
        <v>0</v>
      </c>
      <c r="O15" s="74" t="str">
        <f aca="false">IF(I15&lt;=9999.99,"0",IF(I15&lt;=10999.99,"7",IF(I15&lt;=11999.99,"8",IF(I15&lt;=12999.99,"9",IF(I15&lt;=13999.99,"10",IF(I15&lt;=14999.99,"11",IF(I15&gt;=14999.99,"0")))))))</f>
        <v>0</v>
      </c>
      <c r="P15" s="74" t="str">
        <f aca="false">IF(I15&lt;=14999.99,"0",IF(I15&gt;=15000,"12"))</f>
        <v>0</v>
      </c>
      <c r="Q15" s="74" t="n">
        <f aca="false">IF(J15=1,"50",IF(J15=2,"62.50",IF(J15=3,"75",IF(J15=4,"87.5",IF(J15=5,"100",IF(J15=6,"112.50",IF(J15=7,"125",IF(J15=8,"137.50",0))))))))</f>
        <v>0</v>
      </c>
      <c r="R15" s="74" t="n">
        <f aca="false">IF(J15=9,"150",IF(J15=10,"162.50",IF(J15=11,"175",IF(J15=12,"187.50",0))))</f>
        <v>0</v>
      </c>
      <c r="S15" s="27" t="str">
        <f aca="false">IF(I15=0,"0",IF(I15&lt;=4999.99,"1",IF(I15&lt;=5999.99,"2",IF(I15&lt;=6999.99,"3",IF(I15&lt;=7999.99,"4",IF(I15&lt;=8999.99,"5",IF(I15&lt;=9999.99,"6",IF(I15&gt;=9999.99,"0",0))))))))</f>
        <v>0</v>
      </c>
      <c r="T15" s="27" t="str">
        <f aca="false">IF(I15&lt;=9999.99,"0",IF(I15&lt;=10999.99,"7",IF(I15&lt;=11999.99,"8",IF(I15&lt;=12999.99,"9",IF(I15&lt;=13999.99,"10",IF(I15&lt;=14999.99,"11",IF(I15&gt;=14999.99,"0")))))))</f>
        <v>0</v>
      </c>
      <c r="U15" s="27" t="str">
        <f aca="false">IF(I15&lt;=14999.99,"0",IF(I15&lt;=15999.99,"12",IF(I15&lt;=16999.99,"13",IF(I15&lt;=17999.99,"14",IF(I15&lt;=18999.99,"15",IF(I15&lt;=19999.99,"16",IF(I15&gt;=20000,"17")))))))</f>
        <v>0</v>
      </c>
      <c r="V15" s="125" t="n">
        <f aca="false">IF(J15=1,"50",IF(J15=2,"62.50",IF(J15=3,"75",IF(J15=4,"87.5",IF(J15=5,"100",IF(J15=6,"112.50",IF(J15=7,"125",IF(J15=8,"137.50",0))))))))</f>
        <v>0</v>
      </c>
      <c r="W15" s="125" t="n">
        <f aca="false">IF(J15=9,"150",IF(J15=10,"162.50",IF(J15=11,"175",IF(J15=12,"187.50",IF(J15=13,"200",IF(J15=14,"212.5",IF(J15=15,"225",IF(J15=16,"237.5",0))))))))</f>
        <v>0</v>
      </c>
      <c r="X15" s="125" t="n">
        <f aca="false">IF(J15=17,"250",0)</f>
        <v>0</v>
      </c>
      <c r="Y15" s="27" t="str">
        <f aca="false">IF(I15=0,"0",IF(I15&lt;=4999.99,"1",IF(I15&lt;=5999.99,"2",IF(I15&lt;=6999.99,"3",IF(I15&lt;=7999.99,"4",IF(I15&lt;=8999.99,"5",IF(I15&lt;=9999.99,"6",IF(I15&gt;=9999.99,"0",0))))))))</f>
        <v>0</v>
      </c>
      <c r="Z15" s="27" t="str">
        <f aca="false">IF(I15&lt;=9999.99,"0",IF(I15&lt;=10999.99,"7",IF(I15&lt;=11999.99,"8",IF(I15&lt;=12999.99,"9",IF(I15&lt;=13999.99,"10",IF(I15&lt;=14999.99,"11",IF(I15&gt;=14999.99,"0")))))))</f>
        <v>0</v>
      </c>
      <c r="AA15" s="27" t="str">
        <f aca="false">IF(I15&lt;=14999.99,"0",IF(I15&lt;=15999.99,"12",IF(I15&lt;=16999.99,"13",IF(I15&lt;=17999.99,"14",IF(I15&lt;=18999.99,"15",IF(I15&lt;=19999.99,"16",IF(I15&lt;=20999.99,"17",IF(I15&gt;=20999.99,"0"))))))))</f>
        <v>0</v>
      </c>
      <c r="AB15" s="27" t="str">
        <f aca="false">IF(I15&lt;=20999.99,"0",IF(I15&lt;=21999.99,"18",IF(I15&lt;=22999.99,"19",IF(I15&lt;=23999.99,"20",IF(I15&lt;=24999.99,"21",IF(I15&gt;=25000,"22"))))))</f>
        <v>0</v>
      </c>
      <c r="AC15" s="125" t="n">
        <f aca="false">IF(J15=1,"50",IF(J15=2,"62.50",IF(J15=3,"75",IF(J15=4,"87.5",IF(J15=5,"100",IF(J15=6,"112.50",IF(J15=7,"125",IF(J15=8,"137.50",0))))))))</f>
        <v>0</v>
      </c>
      <c r="AD15" s="125" t="n">
        <f aca="false">IF(J15=9,"150",IF(J15=10,"162.50",IF(J15=11,"175",IF(J15=12,"187.50",IF(J15=13,"200",IF(J15=14,"212.5",IF(J15=15,"225",IF(J15=16,"237.5",0))))))))</f>
        <v>0</v>
      </c>
      <c r="AE15" s="125" t="n">
        <f aca="false">IF(J15=17,"250",IF(J15=18,"262.50",IF(J15=19,"275",IF(J15=20,"287.50",IF(J15=21,"300",IF(J15=22,"312.50",0))))))</f>
        <v>0</v>
      </c>
      <c r="AF15" s="27" t="str">
        <f aca="false">IF(I15=0,"0",IF(I15&lt;=4999.99,"1",IF(I15&lt;=5999.99,"2",IF(I15&lt;=6999.99,"3",IF(I15&lt;=7999.99,"4",IF(I15&lt;=8999.99,"5",IF(I15&lt;=9999.99,"6",IF(I15&gt;=9999.99,"0",0))))))))</f>
        <v>0</v>
      </c>
      <c r="AG15" s="27" t="str">
        <f aca="false">IF(I15&lt;=9999.99,"0",IF(I15&lt;=10999.99,"7",IF(I15&lt;=11999.99,"8",IF(I15&lt;=12999.99,"9",IF(I15&lt;=13999.99,"10",IF(I15&lt;=14999.99,"11",IF(I15&gt;=14999.99,"0")))))))</f>
        <v>0</v>
      </c>
      <c r="AH15" s="27" t="str">
        <f aca="false">IF(I15&lt;=14999.99,"0",IF(I15&lt;=15999.99,"12",IF(I15&lt;=16999.99,"13",IF(I15&lt;=17999.99,"14",IF(I15&lt;=18999.99,"15",IF(I15&lt;=19999.99,"16",IF(I15&lt;=20999.99,"17",IF(I15&gt;=20999.99,"0"))))))))</f>
        <v>0</v>
      </c>
      <c r="AI15" s="27" t="str">
        <f aca="false">IF(I15&lt;=20999.99,"0",IF(I15&lt;=21999.99,"18",IF(I15&lt;=22999.99,"19",IF(I15&lt;=23999.99,"20",IF(I15&lt;=24999.99,"21",IF(I15&lt;=25999.99,"22",IF(I15&lt;=26999.99,"23",IF(I15&gt;=26999.99,"0"))))))))</f>
        <v>0</v>
      </c>
      <c r="AJ15" s="27" t="str">
        <f aca="false">IF(I15&lt;=26999.99,"0",IF(I15&lt;=27999.99,"24",IF(I15&lt;=28999.99,"25",IF(I15&lt;=29999.99,"26",IF(I15&gt;=30000,"27")))))</f>
        <v>0</v>
      </c>
      <c r="AK15" s="125" t="n">
        <f aca="false">IF(J15=1,"50",IF(J15=2,"62.50",IF(J15=3,"75",IF(J15=4,"87.5",IF(J15=5,"100",IF(J15=6,"112.50",IF(J15=7,"125",IF(J15=8,"137.50",0))))))))</f>
        <v>0</v>
      </c>
      <c r="AL15" s="125" t="n">
        <f aca="false">IF(J15=9,"150",IF(J15=10,"162.50",IF(J15=11,"175",IF(J15=12,"187.50",IF(J15=13,"200",IF(J15=14,"212.5",IF(J15=15,"225",IF(J15=16,"237.5",0))))))))</f>
        <v>0</v>
      </c>
      <c r="AM15" s="125" t="n">
        <f aca="false">IF(J15=17,"250",IF(J15=18,"262.50",IF(J15=19,"275",IF(J15=20,"287.50",IF(J15=21,"300",IF(J15=22,"312.50",IF(J15=23,"325",IF(J15=24,"337.50",0))))))))</f>
        <v>0</v>
      </c>
      <c r="AN15" s="125" t="n">
        <f aca="false">IF(J15=25,"350",IF(J15=26,"362.50",IF(J15=27,"375",0)))</f>
        <v>0</v>
      </c>
      <c r="AO15" s="27" t="str">
        <f aca="false">IF(I15=0,"0",IF(I15&lt;=7999.99,"1",IF(I15&lt;=8999.99,"2",IF(I15&lt;=9999.99,"3",IF(I15&lt;=10999.99,"4",IF(I15&lt;=11999.99,"5",IF(I15&lt;=12999.99,"6",IF(I15&gt;=12999.99,"0",0))))))))</f>
        <v>0</v>
      </c>
      <c r="AP15" s="27" t="str">
        <f aca="false">IF(I15&lt;=12999.99,"0",IF(I15&lt;=13999.99,"7",IF(I15&lt;=14999.99,"8",IF(I15&lt;=15999.99,"9",IF(I15&lt;=16999.99,"10",IF(I15&lt;=17999.99,"11",IF(I15&gt;=17999.99,"0")))))))</f>
        <v>0</v>
      </c>
      <c r="AQ15" s="27" t="str">
        <f aca="false">IF(I15&lt;=17999.99,"0",IF(I15&lt;=18999.99,"12",IF(I15&lt;=19999.99,"13",IF(I15&lt;=20999.99,"14",IF(I15&lt;=21999.99,"15",IF(I15&lt;=22999.99,"16",IF(I15&lt;=23999.99,"17",IF(I15&gt;=23999.99,"0"))))))))</f>
        <v>0</v>
      </c>
      <c r="AR15" s="27" t="str">
        <f aca="false">IF(I15&lt;=23999.99,"0",IF(I15&lt;=24999.99,"18",IF(I15&lt;=25999.99,"19",IF(I15&lt;=26999.99,"20",IF(I15&lt;=27999.99,"21",IF(I15&lt;=28999.99,"22",IF(I15&lt;=29999.99,"23",IF(I15&gt;=29999.99,"0"))))))))</f>
        <v>0</v>
      </c>
      <c r="AS15" s="27" t="str">
        <f aca="false">IF(I15&lt;=29999.99,"0",IF(I15&lt;=30999.99,"24",IF(I15&lt;=31999.99,"25",IF(I15&lt;=32999.99,"26",IF(I15&lt;=33999.99,"27",IF(I15&lt;=34999.99,"28",IF(I15&gt;=35000,"29")))))))</f>
        <v>0</v>
      </c>
      <c r="AT15" s="27" t="n">
        <f aca="false">IF(J15=1,"87.50",IF(J15=2,"100",IF(J15=3,"112.50",IF(J15=4,"125",IF(J15=5,"137.50",IF(J15=6,"150",IF(J15=7,"162.50",IF(J15=8,"175",0))))))))</f>
        <v>0</v>
      </c>
      <c r="AU15" s="27" t="n">
        <f aca="false">IF(J15=9,"187.50",IF(J15=10,"200",IF(J15=11,"212.50",IF(J15=12,"225",IF(J15=13,"237.50",IF(J15=14,"250",IF(J15=15,"262.50",IF(J15=16,"275",0))))))))</f>
        <v>0</v>
      </c>
      <c r="AV15" s="27" t="n">
        <f aca="false">IF(J15=17,"287.50",IF(J15=18,"300",IF(J15=19,"312.50",IF(J15=20,"325",IF(J15=21,"337.50",IF(J15=22,"350",IF(J15=23,"362.50",IF(J15=24,"375",0))))))))</f>
        <v>0</v>
      </c>
      <c r="AW15" s="27" t="n">
        <f aca="false">IF(J15=25,"387.50",IF(J15=26,"400",IF(J15=27,"412.50",IF(J15=28,"425",IF(J15=29,"437.50",0)))))</f>
        <v>0</v>
      </c>
      <c r="AX15" s="27" t="str">
        <f aca="false">IF(I15=0,"0",IF(I15&lt;=8999.99,"1",IF(I15&lt;=9999.99,"2",IF(I15&lt;=10999.99,"3",IF(I15&lt;=11999.99,"4",IF(I15&lt;=12999.99,"5",IF(I15&lt;=13999.99,"6",IF(I15&gt;=13999.99,"0",0))))))))</f>
        <v>0</v>
      </c>
      <c r="AY15" s="27" t="str">
        <f aca="false">IF(I15&lt;=13999.99,"0",IF(I15&lt;=14999.99,"7",IF(I15&lt;=15999.99,"8",IF(I15&lt;=16999.99,"9",IF(I15&lt;=17999.99,"10",IF(I15&lt;=18999.99,"11",IF(I15&gt;=18999.99,"0")))))))</f>
        <v>0</v>
      </c>
      <c r="AZ15" s="27" t="str">
        <f aca="false">IF(I15&lt;=18999.99,"0",IF(I15&lt;=19999.99,"12",IF(I15&lt;=20999.99,"13",IF(I15&lt;=21999.99,"14",IF(I15&lt;=22999.99,"15",IF(I15&lt;=23999.99,"16",IF(I15&lt;=24999.99,"17",IF(I15&gt;=24999.99,"0"))))))))</f>
        <v>0</v>
      </c>
      <c r="BA15" s="27" t="str">
        <f aca="false">IF(I15&lt;=24999.99,"0",IF(I15&lt;=25999.99,"18",IF(I15&lt;=26999.99,"19",IF(I15&lt;=27999.99,"20",IF(I15&lt;=28999.99,"21",IF(I15&lt;=29999.99,"22",IF(I15&lt;=30999.99,"23",IF(I15&gt;=30999.99,"0"))))))))</f>
        <v>0</v>
      </c>
      <c r="BB15" s="27" t="str">
        <f aca="false">IF(I15&lt;=30999.99,"0",IF(I15&lt;=31999.99,"24",IF(I15&lt;=32999.99,"25",IF(I15&lt;=33999.99,"26",IF(I15&lt;=34999.99,"27",IF(I15&gt;=35000,"28"))))))</f>
        <v>0</v>
      </c>
      <c r="BC15" s="27" t="n">
        <f aca="false">IF(J15=1,"100",IF(J15=2,"112.50",IF(J15=3,"125",IF(J15=4,"137.50",IF(J15=5,"150",IF(J15=6,"162.50",IF(J15=7,"175",IF(J15=8,"187.50",0))))))))</f>
        <v>0</v>
      </c>
      <c r="BD15" s="27" t="n">
        <f aca="false">IF(J15=9,"200",IF(J15=10,"212.50",IF(J15=11,"225",IF(J15=12,"237.50",IF(J15=13,"250",IF(J15=14,"262.50",IF(J15=15,"275",IF(J15=16,"287.50",0))))))))</f>
        <v>0</v>
      </c>
      <c r="BE15" s="27" t="n">
        <f aca="false">IF(J15=17,"300",IF(J15=18,"312.50",IF(J15=19,"325",IF(J15=20,"337.50",IF(J15=21,"350",IF(J15=22,"362.50",IF(J15=23,"375",IF(J15=24,"387.50",0))))))))</f>
        <v>0</v>
      </c>
      <c r="BF15" s="27" t="n">
        <f aca="false">IF(J15=25,"400",IF(J15=26,"412.50",IF(J15=27,"425",IF(J15=28,"437.50",0))))</f>
        <v>0</v>
      </c>
      <c r="BG15" s="125" t="n">
        <f aca="false">IF(L15=2008,AK15+AL15+AM15+AN15,IF(L15=2009,AK15+AL15+AM15+AN15,IF(L15=2010,AK15+AL15+AM15+AN15,IF(L15=2011,AK15+AL15+AM15+AN15,IF(L15=2012,AK15+AL15+AM15+AN15,IF(L15=2013,AT15+AU15+AV15+AW15,IF(L15=2014,BC15+BD15+BE15+BF15,IF(L15=2015,BC15+BD15+BE15+BF15))))))))</f>
        <v>0</v>
      </c>
      <c r="BH15" s="125" t="n">
        <f aca="false">IF(L15=2008,AK15+AL15+AM15+AN15,IF(L15=2009,AK15+AL15+AM15+AN15,IF(L15=2010,AK15+AL15+AM15+AN15,IF(L15=2011,AK15+AL15+AM15+AN15,IF(L15=2012,AK15+AL15+AM15+AN15,IF(L15=2013,AT15+AU15+AV15+AW15,IF(L15=2014,BC15+BD15+BE15+BF15,IF(L15=2015,BC15+BD15+BE15+BF15))))))))</f>
        <v>0</v>
      </c>
      <c r="BI15" s="126" t="n">
        <f aca="false">IF(BH15=0,0,IF(BH15&lt;=M15,BH15,IF(BH15&gt;=M15,M15)))</f>
        <v>0</v>
      </c>
      <c r="BJ15" s="127" t="n">
        <f aca="false">CODE(B15:B20)</f>
        <v>0</v>
      </c>
      <c r="BK15" s="127" t="n">
        <f aca="false">ISBLANK(E15)</f>
        <v>1</v>
      </c>
      <c r="BL15" s="127" t="n">
        <f aca="false">CODE(E15)</f>
        <v>0</v>
      </c>
      <c r="BM15" s="127" t="str">
        <f aca="false">CHAR(BL15)</f>
        <v>_x0000_</v>
      </c>
      <c r="BN15" s="128" t="n">
        <f aca="false">ISBLANK(F15)</f>
        <v>1</v>
      </c>
      <c r="BO15" s="129" t="n">
        <f aca="false">ISBLANK(BS15)</f>
        <v>1</v>
      </c>
      <c r="BP15" s="130" t="n">
        <f aca="false">ISBLANK(BT15)</f>
        <v>1</v>
      </c>
      <c r="BQ15" s="130" t="n">
        <f aca="false">ISBLANK(G15)</f>
        <v>1</v>
      </c>
      <c r="BR15" s="130" t="str">
        <f aca="false">TEXT(BT15,"MMDDYYYY")</f>
        <v>12301899</v>
      </c>
      <c r="BS15" s="131"/>
      <c r="BT15" s="132"/>
      <c r="BU15" s="0"/>
      <c r="BV15" s="0"/>
      <c r="BW15" s="0"/>
      <c r="BX15" s="0"/>
      <c r="BY15" s="0"/>
      <c r="BZ15" s="0"/>
      <c r="CA15" s="0"/>
      <c r="CB15" s="0"/>
      <c r="CC15" s="12"/>
      <c r="DN15" s="6"/>
      <c r="DO15" s="6"/>
      <c r="DP15" s="6"/>
      <c r="DQ15" s="6"/>
      <c r="DY15" s="6"/>
      <c r="DZ15" s="6"/>
      <c r="EA15" s="6"/>
      <c r="EB15" s="6"/>
      <c r="EC15" s="6"/>
      <c r="ED15" s="6"/>
      <c r="EE15" s="6"/>
      <c r="EF15" s="6"/>
      <c r="EG15" s="6"/>
    </row>
    <row r="16" customFormat="false" ht="12.75" hidden="false" customHeight="true" outlineLevel="0" collapsed="false">
      <c r="A16" s="27" t="n">
        <f aca="false">A15+1</f>
        <v>8</v>
      </c>
      <c r="B16" s="118"/>
      <c r="C16" s="118"/>
      <c r="D16" s="118"/>
      <c r="E16" s="118"/>
      <c r="F16" s="119"/>
      <c r="G16" s="120"/>
      <c r="H16" s="121"/>
      <c r="I16" s="122"/>
      <c r="J16" s="123" t="n">
        <f aca="false">IF(L16=2008,AF16+AG16+AH16+AI16+AJ16,IF(L16=2009,AF16+AG16+AH16+AI16+AJ16,IF(L16=2010,AF16+AG16+AH16+AI16+AJ16,IF(L16=2011,AF16+AG16+AH16+AI16+AJ16,IF(L16=2012,AF16+AG16+AH16+AI16+AJ16,IF(L16=2013,AO16+AP16+AQ16+AR16+AS16,IF(L16=2014,AX16+AY16+AZ16+BA16+BB16,IF(L16=2015,AX16+AY16+AZ16+BA16+BB16))))))))</f>
        <v>0</v>
      </c>
      <c r="K16" s="123" t="n">
        <f aca="false">K15</f>
        <v>12</v>
      </c>
      <c r="L16" s="74" t="n">
        <f aca="false">L15</f>
        <v>2015</v>
      </c>
      <c r="M16" s="124" t="n">
        <f aca="false">M15</f>
        <v>0</v>
      </c>
      <c r="N16" s="74" t="str">
        <f aca="false">IF(I16=0,"0",IF(I16&lt;=4999.99,"1",IF(I16&lt;=5999.99,"2",IF(I16&lt;=6999.99,"3",IF(I16&lt;=7999.99,"4",IF(I16&lt;=8999.99,"5",IF(I16&lt;=9999.99,"6",IF(I16&gt;=9999.99,"0",0))))))))</f>
        <v>0</v>
      </c>
      <c r="O16" s="74" t="str">
        <f aca="false">IF(I16&lt;=9999.99,"0",IF(I16&lt;=10999.99,"7",IF(I16&lt;=11999.99,"8",IF(I16&lt;=12999.99,"9",IF(I16&lt;=13999.99,"10",IF(I16&lt;=14999.99,"11",IF(I16&gt;=14999.99,"0")))))))</f>
        <v>0</v>
      </c>
      <c r="P16" s="74" t="str">
        <f aca="false">IF(I16&lt;=14999.99,"0",IF(I16&gt;=15000,"12"))</f>
        <v>0</v>
      </c>
      <c r="Q16" s="74" t="n">
        <f aca="false">IF(J16=1,"50",IF(J16=2,"62.50",IF(J16=3,"75",IF(J16=4,"87.5",IF(J16=5,"100",IF(J16=6,"112.50",IF(J16=7,"125",IF(J16=8,"137.50",0))))))))</f>
        <v>0</v>
      </c>
      <c r="R16" s="74" t="n">
        <f aca="false">IF(J16=9,"150",IF(J16=10,"162.50",IF(J16=11,"175",IF(J16=12,"187.50",0))))</f>
        <v>0</v>
      </c>
      <c r="S16" s="27" t="str">
        <f aca="false">IF(I16=0,"0",IF(I16&lt;=4999.99,"1",IF(I16&lt;=5999.99,"2",IF(I16&lt;=6999.99,"3",IF(I16&lt;=7999.99,"4",IF(I16&lt;=8999.99,"5",IF(I16&lt;=9999.99,"6",IF(I16&gt;=9999.99,"0",0))))))))</f>
        <v>0</v>
      </c>
      <c r="T16" s="27" t="str">
        <f aca="false">IF(I16&lt;=9999.99,"0",IF(I16&lt;=10999.99,"7",IF(I16&lt;=11999.99,"8",IF(I16&lt;=12999.99,"9",IF(I16&lt;=13999.99,"10",IF(I16&lt;=14999.99,"11",IF(I16&gt;=14999.99,"0")))))))</f>
        <v>0</v>
      </c>
      <c r="U16" s="27" t="str">
        <f aca="false">IF(I16&lt;=14999.99,"0",IF(I16&lt;=15999.99,"12",IF(I16&lt;=16999.99,"13",IF(I16&lt;=17999.99,"14",IF(I16&lt;=18999.99,"15",IF(I16&lt;=19999.99,"16",IF(I16&gt;=20000,"17")))))))</f>
        <v>0</v>
      </c>
      <c r="V16" s="125" t="n">
        <f aca="false">IF(J16=1,"50",IF(J16=2,"62.50",IF(J16=3,"75",IF(J16=4,"87.5",IF(J16=5,"100",IF(J16=6,"112.50",IF(J16=7,"125",IF(J16=8,"137.50",0))))))))</f>
        <v>0</v>
      </c>
      <c r="W16" s="125" t="n">
        <f aca="false">IF(J16=9,"150",IF(J16=10,"162.50",IF(J16=11,"175",IF(J16=12,"187.50",IF(J16=13,"200",IF(J16=14,"212.5",IF(J16=15,"225",IF(J16=16,"237.5",0))))))))</f>
        <v>0</v>
      </c>
      <c r="X16" s="125" t="n">
        <f aca="false">IF(J16=17,"250",0)</f>
        <v>0</v>
      </c>
      <c r="Y16" s="27" t="str">
        <f aca="false">IF(I16=0,"0",IF(I16&lt;=4999.99,"1",IF(I16&lt;=5999.99,"2",IF(I16&lt;=6999.99,"3",IF(I16&lt;=7999.99,"4",IF(I16&lt;=8999.99,"5",IF(I16&lt;=9999.99,"6",IF(I16&gt;=9999.99,"0",0))))))))</f>
        <v>0</v>
      </c>
      <c r="Z16" s="27" t="str">
        <f aca="false">IF(I16&lt;=9999.99,"0",IF(I16&lt;=10999.99,"7",IF(I16&lt;=11999.99,"8",IF(I16&lt;=12999.99,"9",IF(I16&lt;=13999.99,"10",IF(I16&lt;=14999.99,"11",IF(I16&gt;=14999.99,"0")))))))</f>
        <v>0</v>
      </c>
      <c r="AA16" s="27" t="str">
        <f aca="false">IF(I16&lt;=14999.99,"0",IF(I16&lt;=15999.99,"12",IF(I16&lt;=16999.99,"13",IF(I16&lt;=17999.99,"14",IF(I16&lt;=18999.99,"15",IF(I16&lt;=19999.99,"16",IF(I16&lt;=20999.99,"17",IF(I16&gt;=20999.99,"0"))))))))</f>
        <v>0</v>
      </c>
      <c r="AB16" s="27" t="str">
        <f aca="false">IF(I16&lt;=20999.99,"0",IF(I16&lt;=21999.99,"18",IF(I16&lt;=22999.99,"19",IF(I16&lt;=23999.99,"20",IF(I16&lt;=24999.99,"21",IF(I16&gt;=25000,"22"))))))</f>
        <v>0</v>
      </c>
      <c r="AC16" s="125" t="n">
        <f aca="false">IF(J16=1,"50",IF(J16=2,"62.50",IF(J16=3,"75",IF(J16=4,"87.5",IF(J16=5,"100",IF(J16=6,"112.50",IF(J16=7,"125",IF(J16=8,"137.50",0))))))))</f>
        <v>0</v>
      </c>
      <c r="AD16" s="125" t="n">
        <f aca="false">IF(J16=9,"150",IF(J16=10,"162.50",IF(J16=11,"175",IF(J16=12,"187.50",IF(J16=13,"200",IF(J16=14,"212.5",IF(J16=15,"225",IF(J16=16,"237.5",0))))))))</f>
        <v>0</v>
      </c>
      <c r="AE16" s="125" t="n">
        <f aca="false">IF(J16=17,"250",IF(J16=18,"262.50",IF(J16=19,"275",IF(J16=20,"287.50",IF(J16=21,"300",IF(J16=22,"312.50",0))))))</f>
        <v>0</v>
      </c>
      <c r="AF16" s="27" t="str">
        <f aca="false">IF(I16=0,"0",IF(I16&lt;=4999.99,"1",IF(I16&lt;=5999.99,"2",IF(I16&lt;=6999.99,"3",IF(I16&lt;=7999.99,"4",IF(I16&lt;=8999.99,"5",IF(I16&lt;=9999.99,"6",IF(I16&gt;=9999.99,"0",0))))))))</f>
        <v>0</v>
      </c>
      <c r="AG16" s="27" t="str">
        <f aca="false">IF(I16&lt;=9999.99,"0",IF(I16&lt;=10999.99,"7",IF(I16&lt;=11999.99,"8",IF(I16&lt;=12999.99,"9",IF(I16&lt;=13999.99,"10",IF(I16&lt;=14999.99,"11",IF(I16&gt;=14999.99,"0")))))))</f>
        <v>0</v>
      </c>
      <c r="AH16" s="27" t="str">
        <f aca="false">IF(I16&lt;=14999.99,"0",IF(I16&lt;=15999.99,"12",IF(I16&lt;=16999.99,"13",IF(I16&lt;=17999.99,"14",IF(I16&lt;=18999.99,"15",IF(I16&lt;=19999.99,"16",IF(I16&lt;=20999.99,"17",IF(I16&gt;=20999.99,"0"))))))))</f>
        <v>0</v>
      </c>
      <c r="AI16" s="27" t="str">
        <f aca="false">IF(I16&lt;=20999.99,"0",IF(I16&lt;=21999.99,"18",IF(I16&lt;=22999.99,"19",IF(I16&lt;=23999.99,"20",IF(I16&lt;=24999.99,"21",IF(I16&lt;=25999.99,"22",IF(I16&lt;=26999.99,"23",IF(I16&gt;=26999.99,"0"))))))))</f>
        <v>0</v>
      </c>
      <c r="AJ16" s="27" t="str">
        <f aca="false">IF(I16&lt;=26999.99,"0",IF(I16&lt;=27999.99,"24",IF(I16&lt;=28999.99,"25",IF(I16&lt;=29999.99,"26",IF(I16&gt;=30000,"27")))))</f>
        <v>0</v>
      </c>
      <c r="AK16" s="125" t="n">
        <f aca="false">IF(J16=1,"50",IF(J16=2,"62.50",IF(J16=3,"75",IF(J16=4,"87.5",IF(J16=5,"100",IF(J16=6,"112.50",IF(J16=7,"125",IF(J16=8,"137.50",0))))))))</f>
        <v>0</v>
      </c>
      <c r="AL16" s="125" t="n">
        <f aca="false">IF(J16=9,"150",IF(J16=10,"162.50",IF(J16=11,"175",IF(J16=12,"187.50",IF(J16=13,"200",IF(J16=14,"212.5",IF(J16=15,"225",IF(J16=16,"237.5",0))))))))</f>
        <v>0</v>
      </c>
      <c r="AM16" s="125" t="n">
        <f aca="false">IF(J16=17,"250",IF(J16=18,"262.50",IF(J16=19,"275",IF(J16=20,"287.50",IF(J16=21,"300",IF(J16=22,"312.50",IF(J16=23,"325",IF(J16=24,"337.50",0))))))))</f>
        <v>0</v>
      </c>
      <c r="AN16" s="125" t="n">
        <f aca="false">IF(J16=25,"350",IF(J16=26,"362.50",IF(J16=27,"375",0)))</f>
        <v>0</v>
      </c>
      <c r="AO16" s="27" t="str">
        <f aca="false">IF(I16=0,"0",IF(I16&lt;=7999.99,"1",IF(I16&lt;=8999.99,"2",IF(I16&lt;=9999.99,"3",IF(I16&lt;=10999.99,"4",IF(I16&lt;=11999.99,"5",IF(I16&lt;=12999.99,"6",IF(I16&gt;=12999.99,"0",0))))))))</f>
        <v>0</v>
      </c>
      <c r="AP16" s="27" t="str">
        <f aca="false">IF(I16&lt;=12999.99,"0",IF(I16&lt;=13999.99,"7",IF(I16&lt;=14999.99,"8",IF(I16&lt;=15999.99,"9",IF(I16&lt;=16999.99,"10",IF(I16&lt;=17999.99,"11",IF(I16&gt;=17999.99,"0")))))))</f>
        <v>0</v>
      </c>
      <c r="AQ16" s="27" t="str">
        <f aca="false">IF(I16&lt;=17999.99,"0",IF(I16&lt;=18999.99,"12",IF(I16&lt;=19999.99,"13",IF(I16&lt;=20999.99,"14",IF(I16&lt;=21999.99,"15",IF(I16&lt;=22999.99,"16",IF(I16&lt;=23999.99,"17",IF(I16&gt;=23999.99,"0"))))))))</f>
        <v>0</v>
      </c>
      <c r="AR16" s="27" t="str">
        <f aca="false">IF(I16&lt;=23999.99,"0",IF(I16&lt;=24999.99,"18",IF(I16&lt;=25999.99,"19",IF(I16&lt;=26999.99,"20",IF(I16&lt;=27999.99,"21",IF(I16&lt;=28999.99,"22",IF(I16&lt;=29999.99,"23",IF(I16&gt;=29999.99,"0"))))))))</f>
        <v>0</v>
      </c>
      <c r="AS16" s="27" t="str">
        <f aca="false">IF(I16&lt;=29999.99,"0",IF(I16&lt;=30999.99,"24",IF(I16&lt;=31999.99,"25",IF(I16&lt;=32999.99,"26",IF(I16&lt;=33999.99,"27",IF(I16&lt;=34999.99,"28",IF(I16&gt;=35000,"29")))))))</f>
        <v>0</v>
      </c>
      <c r="AT16" s="27" t="n">
        <f aca="false">IF(J16=1,"87.50",IF(J16=2,"100",IF(J16=3,"112.50",IF(J16=4,"125",IF(J16=5,"137.50",IF(J16=6,"150",IF(J16=7,"162.50",IF(J16=8,"175",0))))))))</f>
        <v>0</v>
      </c>
      <c r="AU16" s="27" t="n">
        <f aca="false">IF(J16=9,"187.50",IF(J16=10,"200",IF(J16=11,"212.50",IF(J16=12,"225",IF(J16=13,"237.50",IF(J16=14,"250",IF(J16=15,"262.50",IF(J16=16,"275",0))))))))</f>
        <v>0</v>
      </c>
      <c r="AV16" s="27" t="n">
        <f aca="false">IF(J16=17,"287.50",IF(J16=18,"300",IF(J16=19,"312.50",IF(J16=20,"325",IF(J16=21,"337.50",IF(J16=22,"350",IF(J16=23,"362.50",IF(J16=24,"375",0))))))))</f>
        <v>0</v>
      </c>
      <c r="AW16" s="27" t="n">
        <f aca="false">IF(J16=25,"387.50",IF(J16=26,"400",IF(J16=27,"412.50",IF(J16=28,"425",IF(J16=29,"437.50",0)))))</f>
        <v>0</v>
      </c>
      <c r="AX16" s="27" t="str">
        <f aca="false">IF(I16=0,"0",IF(I16&lt;=8999.99,"1",IF(I16&lt;=9999.99,"2",IF(I16&lt;=10999.99,"3",IF(I16&lt;=11999.99,"4",IF(I16&lt;=12999.99,"5",IF(I16&lt;=13999.99,"6",IF(I16&gt;=13999.99,"0",0))))))))</f>
        <v>0</v>
      </c>
      <c r="AY16" s="27" t="str">
        <f aca="false">IF(I16&lt;=13999.99,"0",IF(I16&lt;=14999.99,"7",IF(I16&lt;=15999.99,"8",IF(I16&lt;=16999.99,"9",IF(I16&lt;=17999.99,"10",IF(I16&lt;=18999.99,"11",IF(I16&gt;=18999.99,"0")))))))</f>
        <v>0</v>
      </c>
      <c r="AZ16" s="27" t="str">
        <f aca="false">IF(I16&lt;=18999.99,"0",IF(I16&lt;=19999.99,"12",IF(I16&lt;=20999.99,"13",IF(I16&lt;=21999.99,"14",IF(I16&lt;=22999.99,"15",IF(I16&lt;=23999.99,"16",IF(I16&lt;=24999.99,"17",IF(I16&gt;=24999.99,"0"))))))))</f>
        <v>0</v>
      </c>
      <c r="BA16" s="27" t="str">
        <f aca="false">IF(I16&lt;=24999.99,"0",IF(I16&lt;=25999.99,"18",IF(I16&lt;=26999.99,"19",IF(I16&lt;=27999.99,"20",IF(I16&lt;=28999.99,"21",IF(I16&lt;=29999.99,"22",IF(I16&lt;=30999.99,"23",IF(I16&gt;=30999.99,"0"))))))))</f>
        <v>0</v>
      </c>
      <c r="BB16" s="27" t="str">
        <f aca="false">IF(I16&lt;=30999.99,"0",IF(I16&lt;=31999.99,"24",IF(I16&lt;=32999.99,"25",IF(I16&lt;=33999.99,"26",IF(I16&lt;=34999.99,"27",IF(I16&gt;=35000,"28"))))))</f>
        <v>0</v>
      </c>
      <c r="BC16" s="27" t="n">
        <f aca="false">IF(J16=1,"100",IF(J16=2,"112.50",IF(J16=3,"125",IF(J16=4,"137.50",IF(J16=5,"150",IF(J16=6,"162.50",IF(J16=7,"175",IF(J16=8,"187.50",0))))))))</f>
        <v>0</v>
      </c>
      <c r="BD16" s="27" t="n">
        <f aca="false">IF(J16=9,"200",IF(J16=10,"212.50",IF(J16=11,"225",IF(J16=12,"237.50",IF(J16=13,"250",IF(J16=14,"262.50",IF(J16=15,"275",IF(J16=16,"287.50",0))))))))</f>
        <v>0</v>
      </c>
      <c r="BE16" s="27" t="n">
        <f aca="false">IF(J16=17,"300",IF(J16=18,"312.50",IF(J16=19,"325",IF(J16=20,"337.50",IF(J16=21,"350",IF(J16=22,"362.50",IF(J16=23,"375",IF(J16=24,"387.50",0))))))))</f>
        <v>0</v>
      </c>
      <c r="BF16" s="27" t="n">
        <f aca="false">IF(J16=25,"400",IF(J16=26,"412.50",IF(J16=27,"425",IF(J16=28,"437.50",0))))</f>
        <v>0</v>
      </c>
      <c r="BG16" s="125" t="n">
        <f aca="false">IF(L16=2008,AK16+AL16+AM16+AN16,IF(L16=2009,AK16+AL16+AM16+AN16,IF(L16=2010,AK16+AL16+AM16+AN16,IF(L16=2011,AK16+AL16+AM16+AN16,IF(L16=2012,AK16+AL16+AM16+AN16,IF(L16=2013,AT16+AU16+AV16+AW16,IF(L16=2014,BC16+BD16+BE16+BF16,IF(L16=2015,BC16+BD16+BE16+BF16))))))))</f>
        <v>0</v>
      </c>
      <c r="BH16" s="125" t="n">
        <f aca="false">IF(L16=2008,AK16+AL16+AM16+AN16,IF(L16=2009,AK16+AL16+AM16+AN16,IF(L16=2010,AK16+AL16+AM16+AN16,IF(L16=2011,AK16+AL16+AM16+AN16,IF(L16=2012,AK16+AL16+AM16+AN16,IF(L16=2013,AT16+AU16+AV16+AW16,IF(L16=2014,BC16+BD16+BE16+BF16,IF(L16=2015,BC16+BD16+BE16+BF16))))))))</f>
        <v>0</v>
      </c>
      <c r="BI16" s="126" t="n">
        <f aca="false">IF(BH16=0,0,IF(BH16&lt;=M16,BH16,IF(BH16&gt;=M16,M16)))</f>
        <v>0</v>
      </c>
      <c r="BJ16" s="127" t="n">
        <f aca="false">CODE(B16:B20)</f>
        <v>0</v>
      </c>
      <c r="BK16" s="127" t="n">
        <f aca="false">ISBLANK(E16)</f>
        <v>1</v>
      </c>
      <c r="BL16" s="127" t="n">
        <f aca="false">CODE(E16)</f>
        <v>0</v>
      </c>
      <c r="BM16" s="127" t="str">
        <f aca="false">CHAR(BL16)</f>
        <v>_x0000_</v>
      </c>
      <c r="BN16" s="128" t="n">
        <f aca="false">ISBLANK(F16)</f>
        <v>1</v>
      </c>
      <c r="BO16" s="129" t="n">
        <f aca="false">ISBLANK(BS16)</f>
        <v>1</v>
      </c>
      <c r="BP16" s="130" t="n">
        <f aca="false">ISBLANK(BT16)</f>
        <v>1</v>
      </c>
      <c r="BQ16" s="130" t="n">
        <f aca="false">ISBLANK(G16)</f>
        <v>1</v>
      </c>
      <c r="BR16" s="130" t="str">
        <f aca="false">TEXT(BT16,"MMDDYYYY")</f>
        <v>12301899</v>
      </c>
      <c r="BS16" s="131"/>
      <c r="BT16" s="132"/>
      <c r="BU16" s="0"/>
      <c r="BV16" s="0"/>
      <c r="BW16" s="0"/>
      <c r="BX16" s="0"/>
      <c r="BY16" s="0"/>
      <c r="BZ16" s="0"/>
      <c r="CA16" s="0"/>
      <c r="CB16" s="0"/>
      <c r="CC16" s="12"/>
      <c r="DN16" s="6"/>
      <c r="DO16" s="6"/>
      <c r="DP16" s="6"/>
      <c r="DQ16" s="6"/>
      <c r="DY16" s="6"/>
      <c r="DZ16" s="6"/>
      <c r="EA16" s="6"/>
      <c r="EB16" s="6"/>
      <c r="EC16" s="6"/>
      <c r="ED16" s="6"/>
      <c r="EE16" s="6"/>
      <c r="EF16" s="6"/>
      <c r="EG16" s="6"/>
    </row>
    <row r="17" customFormat="false" ht="12.75" hidden="false" customHeight="true" outlineLevel="0" collapsed="false">
      <c r="A17" s="27" t="n">
        <f aca="false">A16+1</f>
        <v>9</v>
      </c>
      <c r="B17" s="118"/>
      <c r="C17" s="118"/>
      <c r="D17" s="118"/>
      <c r="E17" s="118"/>
      <c r="F17" s="119"/>
      <c r="G17" s="120"/>
      <c r="H17" s="121"/>
      <c r="I17" s="122"/>
      <c r="J17" s="123" t="n">
        <f aca="false">IF(L17=2008,AF17+AG17+AH17+AI17+AJ17,IF(L17=2009,AF17+AG17+AH17+AI17+AJ17,IF(L17=2010,AF17+AG17+AH17+AI17+AJ17,IF(L17=2011,AF17+AG17+AH17+AI17+AJ17,IF(L17=2012,AF17+AG17+AH17+AI17+AJ17,IF(L17=2013,AO17+AP17+AQ17+AR17+AS17,IF(L17=2014,AX17+AY17+AZ17+BA17+BB17,IF(L17=2015,AX17+AY17+AZ17+BA17+BB17))))))))</f>
        <v>0</v>
      </c>
      <c r="K17" s="123" t="n">
        <f aca="false">K16</f>
        <v>12</v>
      </c>
      <c r="L17" s="74" t="n">
        <f aca="false">L16</f>
        <v>2015</v>
      </c>
      <c r="M17" s="124" t="n">
        <f aca="false">M16</f>
        <v>0</v>
      </c>
      <c r="N17" s="74" t="str">
        <f aca="false">IF(I17=0,"0",IF(I17&lt;=4999.99,"1",IF(I17&lt;=5999.99,"2",IF(I17&lt;=6999.99,"3",IF(I17&lt;=7999.99,"4",IF(I17&lt;=8999.99,"5",IF(I17&lt;=9999.99,"6",IF(I17&gt;=9999.99,"0",0))))))))</f>
        <v>0</v>
      </c>
      <c r="O17" s="74" t="str">
        <f aca="false">IF(I17&lt;=9999.99,"0",IF(I17&lt;=10999.99,"7",IF(I17&lt;=11999.99,"8",IF(I17&lt;=12999.99,"9",IF(I17&lt;=13999.99,"10",IF(I17&lt;=14999.99,"11",IF(I17&gt;=14999.99,"0")))))))</f>
        <v>0</v>
      </c>
      <c r="P17" s="74" t="str">
        <f aca="false">IF(I17&lt;=14999.99,"0",IF(I17&gt;=15000,"12"))</f>
        <v>0</v>
      </c>
      <c r="Q17" s="74" t="n">
        <f aca="false">IF(J17=1,"50",IF(J17=2,"62.50",IF(J17=3,"75",IF(J17=4,"87.5",IF(J17=5,"100",IF(J17=6,"112.50",IF(J17=7,"125",IF(J17=8,"137.50",0))))))))</f>
        <v>0</v>
      </c>
      <c r="R17" s="74" t="n">
        <f aca="false">IF(J17=9,"150",IF(J17=10,"162.50",IF(J17=11,"175",IF(J17=12,"187.50",0))))</f>
        <v>0</v>
      </c>
      <c r="S17" s="27" t="str">
        <f aca="false">IF(I17=0,"0",IF(I17&lt;=4999.99,"1",IF(I17&lt;=5999.99,"2",IF(I17&lt;=6999.99,"3",IF(I17&lt;=7999.99,"4",IF(I17&lt;=8999.99,"5",IF(I17&lt;=9999.99,"6",IF(I17&gt;=9999.99,"0",0))))))))</f>
        <v>0</v>
      </c>
      <c r="T17" s="27" t="str">
        <f aca="false">IF(I17&lt;=9999.99,"0",IF(I17&lt;=10999.99,"7",IF(I17&lt;=11999.99,"8",IF(I17&lt;=12999.99,"9",IF(I17&lt;=13999.99,"10",IF(I17&lt;=14999.99,"11",IF(I17&gt;=14999.99,"0")))))))</f>
        <v>0</v>
      </c>
      <c r="U17" s="27" t="str">
        <f aca="false">IF(I17&lt;=14999.99,"0",IF(I17&lt;=15999.99,"12",IF(I17&lt;=16999.99,"13",IF(I17&lt;=17999.99,"14",IF(I17&lt;=18999.99,"15",IF(I17&lt;=19999.99,"16",IF(I17&gt;=20000,"17")))))))</f>
        <v>0</v>
      </c>
      <c r="V17" s="125" t="n">
        <f aca="false">IF(J17=1,"50",IF(J17=2,"62.50",IF(J17=3,"75",IF(J17=4,"87.5",IF(J17=5,"100",IF(J17=6,"112.50",IF(J17=7,"125",IF(J17=8,"137.50",0))))))))</f>
        <v>0</v>
      </c>
      <c r="W17" s="125" t="n">
        <f aca="false">IF(J17=9,"150",IF(J17=10,"162.50",IF(J17=11,"175",IF(J17=12,"187.50",IF(J17=13,"200",IF(J17=14,"212.5",IF(J17=15,"225",IF(J17=16,"237.5",0))))))))</f>
        <v>0</v>
      </c>
      <c r="X17" s="125" t="n">
        <f aca="false">IF(J17=17,"250",0)</f>
        <v>0</v>
      </c>
      <c r="Y17" s="27" t="str">
        <f aca="false">IF(I17=0,"0",IF(I17&lt;=4999.99,"1",IF(I17&lt;=5999.99,"2",IF(I17&lt;=6999.99,"3",IF(I17&lt;=7999.99,"4",IF(I17&lt;=8999.99,"5",IF(I17&lt;=9999.99,"6",IF(I17&gt;=9999.99,"0",0))))))))</f>
        <v>0</v>
      </c>
      <c r="Z17" s="27" t="str">
        <f aca="false">IF(I17&lt;=9999.99,"0",IF(I17&lt;=10999.99,"7",IF(I17&lt;=11999.99,"8",IF(I17&lt;=12999.99,"9",IF(I17&lt;=13999.99,"10",IF(I17&lt;=14999.99,"11",IF(I17&gt;=14999.99,"0")))))))</f>
        <v>0</v>
      </c>
      <c r="AA17" s="27" t="str">
        <f aca="false">IF(I17&lt;=14999.99,"0",IF(I17&lt;=15999.99,"12",IF(I17&lt;=16999.99,"13",IF(I17&lt;=17999.99,"14",IF(I17&lt;=18999.99,"15",IF(I17&lt;=19999.99,"16",IF(I17&lt;=20999.99,"17",IF(I17&gt;=20999.99,"0"))))))))</f>
        <v>0</v>
      </c>
      <c r="AB17" s="27" t="str">
        <f aca="false">IF(I17&lt;=20999.99,"0",IF(I17&lt;=21999.99,"18",IF(I17&lt;=22999.99,"19",IF(I17&lt;=23999.99,"20",IF(I17&lt;=24999.99,"21",IF(I17&gt;=25000,"22"))))))</f>
        <v>0</v>
      </c>
      <c r="AC17" s="125" t="n">
        <f aca="false">IF(J17=1,"50",IF(J17=2,"62.50",IF(J17=3,"75",IF(J17=4,"87.5",IF(J17=5,"100",IF(J17=6,"112.50",IF(J17=7,"125",IF(J17=8,"137.50",0))))))))</f>
        <v>0</v>
      </c>
      <c r="AD17" s="125" t="n">
        <f aca="false">IF(J17=9,"150",IF(J17=10,"162.50",IF(J17=11,"175",IF(J17=12,"187.50",IF(J17=13,"200",IF(J17=14,"212.5",IF(J17=15,"225",IF(J17=16,"237.5",0))))))))</f>
        <v>0</v>
      </c>
      <c r="AE17" s="125" t="n">
        <f aca="false">IF(J17=17,"250",IF(J17=18,"262.50",IF(J17=19,"275",IF(J17=20,"287.50",IF(J17=21,"300",IF(J17=22,"312.50",0))))))</f>
        <v>0</v>
      </c>
      <c r="AF17" s="27" t="str">
        <f aca="false">IF(I17=0,"0",IF(I17&lt;=4999.99,"1",IF(I17&lt;=5999.99,"2",IF(I17&lt;=6999.99,"3",IF(I17&lt;=7999.99,"4",IF(I17&lt;=8999.99,"5",IF(I17&lt;=9999.99,"6",IF(I17&gt;=9999.99,"0",0))))))))</f>
        <v>0</v>
      </c>
      <c r="AG17" s="27" t="str">
        <f aca="false">IF(I17&lt;=9999.99,"0",IF(I17&lt;=10999.99,"7",IF(I17&lt;=11999.99,"8",IF(I17&lt;=12999.99,"9",IF(I17&lt;=13999.99,"10",IF(I17&lt;=14999.99,"11",IF(I17&gt;=14999.99,"0")))))))</f>
        <v>0</v>
      </c>
      <c r="AH17" s="27" t="str">
        <f aca="false">IF(I17&lt;=14999.99,"0",IF(I17&lt;=15999.99,"12",IF(I17&lt;=16999.99,"13",IF(I17&lt;=17999.99,"14",IF(I17&lt;=18999.99,"15",IF(I17&lt;=19999.99,"16",IF(I17&lt;=20999.99,"17",IF(I17&gt;=20999.99,"0"))))))))</f>
        <v>0</v>
      </c>
      <c r="AI17" s="27" t="str">
        <f aca="false">IF(I17&lt;=20999.99,"0",IF(I17&lt;=21999.99,"18",IF(I17&lt;=22999.99,"19",IF(I17&lt;=23999.99,"20",IF(I17&lt;=24999.99,"21",IF(I17&lt;=25999.99,"22",IF(I17&lt;=26999.99,"23",IF(I17&gt;=26999.99,"0"))))))))</f>
        <v>0</v>
      </c>
      <c r="AJ17" s="27" t="str">
        <f aca="false">IF(I17&lt;=26999.99,"0",IF(I17&lt;=27999.99,"24",IF(I17&lt;=28999.99,"25",IF(I17&lt;=29999.99,"26",IF(I17&gt;=30000,"27")))))</f>
        <v>0</v>
      </c>
      <c r="AK17" s="125" t="n">
        <f aca="false">IF(J17=1,"50",IF(J17=2,"62.50",IF(J17=3,"75",IF(J17=4,"87.5",IF(J17=5,"100",IF(J17=6,"112.50",IF(J17=7,"125",IF(J17=8,"137.50",0))))))))</f>
        <v>0</v>
      </c>
      <c r="AL17" s="125" t="n">
        <f aca="false">IF(J17=9,"150",IF(J17=10,"162.50",IF(J17=11,"175",IF(J17=12,"187.50",IF(J17=13,"200",IF(J17=14,"212.5",IF(J17=15,"225",IF(J17=16,"237.5",0))))))))</f>
        <v>0</v>
      </c>
      <c r="AM17" s="125" t="n">
        <f aca="false">IF(J17=17,"250",IF(J17=18,"262.50",IF(J17=19,"275",IF(J17=20,"287.50",IF(J17=21,"300",IF(J17=22,"312.50",IF(J17=23,"325",IF(J17=24,"337.50",0))))))))</f>
        <v>0</v>
      </c>
      <c r="AN17" s="125" t="n">
        <f aca="false">IF(J17=25,"350",IF(J17=26,"362.50",IF(J17=27,"375",0)))</f>
        <v>0</v>
      </c>
      <c r="AO17" s="27" t="str">
        <f aca="false">IF(I17=0,"0",IF(I17&lt;=7999.99,"1",IF(I17&lt;=8999.99,"2",IF(I17&lt;=9999.99,"3",IF(I17&lt;=10999.99,"4",IF(I17&lt;=11999.99,"5",IF(I17&lt;=12999.99,"6",IF(I17&gt;=12999.99,"0",0))))))))</f>
        <v>0</v>
      </c>
      <c r="AP17" s="27" t="str">
        <f aca="false">IF(I17&lt;=12999.99,"0",IF(I17&lt;=13999.99,"7",IF(I17&lt;=14999.99,"8",IF(I17&lt;=15999.99,"9",IF(I17&lt;=16999.99,"10",IF(I17&lt;=17999.99,"11",IF(I17&gt;=17999.99,"0")))))))</f>
        <v>0</v>
      </c>
      <c r="AQ17" s="27" t="str">
        <f aca="false">IF(I17&lt;=17999.99,"0",IF(I17&lt;=18999.99,"12",IF(I17&lt;=19999.99,"13",IF(I17&lt;=20999.99,"14",IF(I17&lt;=21999.99,"15",IF(I17&lt;=22999.99,"16",IF(I17&lt;=23999.99,"17",IF(I17&gt;=23999.99,"0"))))))))</f>
        <v>0</v>
      </c>
      <c r="AR17" s="27" t="str">
        <f aca="false">IF(I17&lt;=23999.99,"0",IF(I17&lt;=24999.99,"18",IF(I17&lt;=25999.99,"19",IF(I17&lt;=26999.99,"20",IF(I17&lt;=27999.99,"21",IF(I17&lt;=28999.99,"22",IF(I17&lt;=29999.99,"23",IF(I17&gt;=29999.99,"0"))))))))</f>
        <v>0</v>
      </c>
      <c r="AS17" s="27" t="str">
        <f aca="false">IF(I17&lt;=29999.99,"0",IF(I17&lt;=30999.99,"24",IF(I17&lt;=31999.99,"25",IF(I17&lt;=32999.99,"26",IF(I17&lt;=33999.99,"27",IF(I17&lt;=34999.99,"28",IF(I17&gt;=35000,"29")))))))</f>
        <v>0</v>
      </c>
      <c r="AT17" s="27" t="n">
        <f aca="false">IF(J17=1,"87.50",IF(J17=2,"100",IF(J17=3,"112.50",IF(J17=4,"125",IF(J17=5,"137.50",IF(J17=6,"150",IF(J17=7,"162.50",IF(J17=8,"175",0))))))))</f>
        <v>0</v>
      </c>
      <c r="AU17" s="27" t="n">
        <f aca="false">IF(J17=9,"187.50",IF(J17=10,"200",IF(J17=11,"212.50",IF(J17=12,"225",IF(J17=13,"237.50",IF(J17=14,"250",IF(J17=15,"262.50",IF(J17=16,"275",0))))))))</f>
        <v>0</v>
      </c>
      <c r="AV17" s="27" t="n">
        <f aca="false">IF(J17=17,"287.50",IF(J17=18,"300",IF(J17=19,"312.50",IF(J17=20,"325",IF(J17=21,"337.50",IF(J17=22,"350",IF(J17=23,"362.50",IF(J17=24,"375",0))))))))</f>
        <v>0</v>
      </c>
      <c r="AW17" s="27" t="n">
        <f aca="false">IF(J17=25,"387.50",IF(J17=26,"400",IF(J17=27,"412.50",IF(J17=28,"425",IF(J17=29,"437.50",0)))))</f>
        <v>0</v>
      </c>
      <c r="AX17" s="27" t="str">
        <f aca="false">IF(I17=0,"0",IF(I17&lt;=8999.99,"1",IF(I17&lt;=9999.99,"2",IF(I17&lt;=10999.99,"3",IF(I17&lt;=11999.99,"4",IF(I17&lt;=12999.99,"5",IF(I17&lt;=13999.99,"6",IF(I17&gt;=13999.99,"0",0))))))))</f>
        <v>0</v>
      </c>
      <c r="AY17" s="27" t="str">
        <f aca="false">IF(I17&lt;=13999.99,"0",IF(I17&lt;=14999.99,"7",IF(I17&lt;=15999.99,"8",IF(I17&lt;=16999.99,"9",IF(I17&lt;=17999.99,"10",IF(I17&lt;=18999.99,"11",IF(I17&gt;=18999.99,"0")))))))</f>
        <v>0</v>
      </c>
      <c r="AZ17" s="27" t="str">
        <f aca="false">IF(I17&lt;=18999.99,"0",IF(I17&lt;=19999.99,"12",IF(I17&lt;=20999.99,"13",IF(I17&lt;=21999.99,"14",IF(I17&lt;=22999.99,"15",IF(I17&lt;=23999.99,"16",IF(I17&lt;=24999.99,"17",IF(I17&gt;=24999.99,"0"))))))))</f>
        <v>0</v>
      </c>
      <c r="BA17" s="27" t="str">
        <f aca="false">IF(I17&lt;=24999.99,"0",IF(I17&lt;=25999.99,"18",IF(I17&lt;=26999.99,"19",IF(I17&lt;=27999.99,"20",IF(I17&lt;=28999.99,"21",IF(I17&lt;=29999.99,"22",IF(I17&lt;=30999.99,"23",IF(I17&gt;=30999.99,"0"))))))))</f>
        <v>0</v>
      </c>
      <c r="BB17" s="27" t="str">
        <f aca="false">IF(I17&lt;=30999.99,"0",IF(I17&lt;=31999.99,"24",IF(I17&lt;=32999.99,"25",IF(I17&lt;=33999.99,"26",IF(I17&lt;=34999.99,"27",IF(I17&gt;=35000,"28"))))))</f>
        <v>0</v>
      </c>
      <c r="BC17" s="27" t="n">
        <f aca="false">IF(J17=1,"100",IF(J17=2,"112.50",IF(J17=3,"125",IF(J17=4,"137.50",IF(J17=5,"150",IF(J17=6,"162.50",IF(J17=7,"175",IF(J17=8,"187.50",0))))))))</f>
        <v>0</v>
      </c>
      <c r="BD17" s="27" t="n">
        <f aca="false">IF(J17=9,"200",IF(J17=10,"212.50",IF(J17=11,"225",IF(J17=12,"237.50",IF(J17=13,"250",IF(J17=14,"262.50",IF(J17=15,"275",IF(J17=16,"287.50",0))))))))</f>
        <v>0</v>
      </c>
      <c r="BE17" s="27" t="n">
        <f aca="false">IF(J17=17,"300",IF(J17=18,"312.50",IF(J17=19,"325",IF(J17=20,"337.50",IF(J17=21,"350",IF(J17=22,"362.50",IF(J17=23,"375",IF(J17=24,"387.50",0))))))))</f>
        <v>0</v>
      </c>
      <c r="BF17" s="27" t="n">
        <f aca="false">IF(J17=25,"400",IF(J17=26,"412.50",IF(J17=27,"425",IF(J17=28,"437.50",0))))</f>
        <v>0</v>
      </c>
      <c r="BG17" s="125" t="n">
        <f aca="false">IF(L17=2008,AK17+AL17+AM17+AN17,IF(L17=2009,AK17+AL17+AM17+AN17,IF(L17=2010,AK17+AL17+AM17+AN17,IF(L17=2011,AK17+AL17+AM17+AN17,IF(L17=2012,AK17+AL17+AM17+AN17,IF(L17=2013,AT17+AU17+AV17+AW17,IF(L17=2014,BC17+BD17+BE17+BF17,IF(L17=2015,BC17+BD17+BE17+BF17))))))))</f>
        <v>0</v>
      </c>
      <c r="BH17" s="125" t="n">
        <f aca="false">IF(L17=2008,AK17+AL17+AM17+AN17,IF(L17=2009,AK17+AL17+AM17+AN17,IF(L17=2010,AK17+AL17+AM17+AN17,IF(L17=2011,AK17+AL17+AM17+AN17,IF(L17=2012,AK17+AL17+AM17+AN17,IF(L17=2013,AT17+AU17+AV17+AW17,IF(L17=2014,BC17+BD17+BE17+BF17,IF(L17=2015,BC17+BD17+BE17+BF17))))))))</f>
        <v>0</v>
      </c>
      <c r="BI17" s="126" t="n">
        <f aca="false">IF(BH17=0,0,IF(BH17&lt;=M17,BH17,IF(BH17&gt;=M17,M17)))</f>
        <v>0</v>
      </c>
      <c r="BJ17" s="127" t="n">
        <f aca="false">CODE(B17:B20)</f>
        <v>0</v>
      </c>
      <c r="BK17" s="127" t="n">
        <f aca="false">ISBLANK(E17)</f>
        <v>1</v>
      </c>
      <c r="BL17" s="127" t="n">
        <f aca="false">CODE(E17)</f>
        <v>0</v>
      </c>
      <c r="BM17" s="127" t="str">
        <f aca="false">CHAR(BL17)</f>
        <v>_x0000_</v>
      </c>
      <c r="BN17" s="128" t="n">
        <f aca="false">ISBLANK(F17)</f>
        <v>1</v>
      </c>
      <c r="BO17" s="129" t="n">
        <f aca="false">ISBLANK(BS17)</f>
        <v>1</v>
      </c>
      <c r="BP17" s="130" t="n">
        <f aca="false">ISBLANK(BT17)</f>
        <v>1</v>
      </c>
      <c r="BQ17" s="130" t="n">
        <f aca="false">ISBLANK(G17)</f>
        <v>1</v>
      </c>
      <c r="BR17" s="130" t="str">
        <f aca="false">TEXT(BT17,"MMDDYYYY")</f>
        <v>12301899</v>
      </c>
      <c r="BS17" s="131"/>
      <c r="BT17" s="132"/>
      <c r="BU17" s="0"/>
      <c r="BV17" s="0"/>
      <c r="BW17" s="0"/>
      <c r="BX17" s="0"/>
      <c r="BY17" s="0"/>
      <c r="BZ17" s="0"/>
      <c r="CA17" s="0"/>
      <c r="CB17" s="0"/>
      <c r="CC17" s="12"/>
      <c r="DN17" s="6"/>
      <c r="DO17" s="6"/>
      <c r="DP17" s="6"/>
      <c r="DQ17" s="6"/>
      <c r="DY17" s="6"/>
      <c r="DZ17" s="6"/>
      <c r="EA17" s="6"/>
      <c r="EB17" s="6"/>
      <c r="EC17" s="6"/>
      <c r="ED17" s="6"/>
      <c r="EE17" s="6"/>
      <c r="EF17" s="6"/>
      <c r="EG17" s="6"/>
    </row>
    <row r="18" customFormat="false" ht="12.75" hidden="false" customHeight="true" outlineLevel="0" collapsed="false">
      <c r="A18" s="27" t="n">
        <f aca="false">A17+1</f>
        <v>10</v>
      </c>
      <c r="B18" s="118"/>
      <c r="C18" s="118"/>
      <c r="D18" s="118"/>
      <c r="E18" s="118"/>
      <c r="F18" s="119"/>
      <c r="G18" s="120"/>
      <c r="H18" s="121"/>
      <c r="I18" s="122"/>
      <c r="J18" s="123" t="n">
        <f aca="false">IF(L18=2008,AF18+AG18+AH18+AI18+AJ18,IF(L18=2009,AF18+AG18+AH18+AI18+AJ18,IF(L18=2010,AF18+AG18+AH18+AI18+AJ18,IF(L18=2011,AF18+AG18+AH18+AI18+AJ18,IF(L18=2012,AF18+AG18+AH18+AI18+AJ18,IF(L18=2013,AO18+AP18+AQ18+AR18+AS18,IF(L18=2014,AX18+AY18+AZ18+BA18+BB18,IF(L18=2015,AX18+AY18+AZ18+BA18+BB18))))))))</f>
        <v>0</v>
      </c>
      <c r="K18" s="123" t="n">
        <f aca="false">K17</f>
        <v>12</v>
      </c>
      <c r="L18" s="74" t="n">
        <f aca="false">L17</f>
        <v>2015</v>
      </c>
      <c r="M18" s="124" t="n">
        <f aca="false">M17</f>
        <v>0</v>
      </c>
      <c r="N18" s="74" t="str">
        <f aca="false">IF(I18=0,"0",IF(I18&lt;=4999.99,"1",IF(I18&lt;=5999.99,"2",IF(I18&lt;=6999.99,"3",IF(I18&lt;=7999.99,"4",IF(I18&lt;=8999.99,"5",IF(I18&lt;=9999.99,"6",IF(I18&gt;=9999.99,"0",0))))))))</f>
        <v>0</v>
      </c>
      <c r="O18" s="74" t="str">
        <f aca="false">IF(I18&lt;=9999.99,"0",IF(I18&lt;=10999.99,"7",IF(I18&lt;=11999.99,"8",IF(I18&lt;=12999.99,"9",IF(I18&lt;=13999.99,"10",IF(I18&lt;=14999.99,"11",IF(I18&gt;=14999.99,"0")))))))</f>
        <v>0</v>
      </c>
      <c r="P18" s="74" t="str">
        <f aca="false">IF(I18&lt;=14999.99,"0",IF(I18&gt;=15000,"12"))</f>
        <v>0</v>
      </c>
      <c r="Q18" s="74" t="n">
        <f aca="false">IF(J18=1,"50",IF(J18=2,"62.50",IF(J18=3,"75",IF(J18=4,"87.5",IF(J18=5,"100",IF(J18=6,"112.50",IF(J18=7,"125",IF(J18=8,"137.50",0))))))))</f>
        <v>0</v>
      </c>
      <c r="R18" s="74" t="n">
        <f aca="false">IF(J18=9,"150",IF(J18=10,"162.50",IF(J18=11,"175",IF(J18=12,"187.50",0))))</f>
        <v>0</v>
      </c>
      <c r="S18" s="27" t="str">
        <f aca="false">IF(I18=0,"0",IF(I18&lt;=4999.99,"1",IF(I18&lt;=5999.99,"2",IF(I18&lt;=6999.99,"3",IF(I18&lt;=7999.99,"4",IF(I18&lt;=8999.99,"5",IF(I18&lt;=9999.99,"6",IF(I18&gt;=9999.99,"0",0))))))))</f>
        <v>0</v>
      </c>
      <c r="T18" s="27" t="str">
        <f aca="false">IF(I18&lt;=9999.99,"0",IF(I18&lt;=10999.99,"7",IF(I18&lt;=11999.99,"8",IF(I18&lt;=12999.99,"9",IF(I18&lt;=13999.99,"10",IF(I18&lt;=14999.99,"11",IF(I18&gt;=14999.99,"0")))))))</f>
        <v>0</v>
      </c>
      <c r="U18" s="27" t="str">
        <f aca="false">IF(I18&lt;=14999.99,"0",IF(I18&lt;=15999.99,"12",IF(I18&lt;=16999.99,"13",IF(I18&lt;=17999.99,"14",IF(I18&lt;=18999.99,"15",IF(I18&lt;=19999.99,"16",IF(I18&gt;=20000,"17")))))))</f>
        <v>0</v>
      </c>
      <c r="V18" s="125" t="n">
        <f aca="false">IF(J18=1,"50",IF(J18=2,"62.50",IF(J18=3,"75",IF(J18=4,"87.5",IF(J18=5,"100",IF(J18=6,"112.50",IF(J18=7,"125",IF(J18=8,"137.50",0))))))))</f>
        <v>0</v>
      </c>
      <c r="W18" s="125" t="n">
        <f aca="false">IF(J18=9,"150",IF(J18=10,"162.50",IF(J18=11,"175",IF(J18=12,"187.50",IF(J18=13,"200",IF(J18=14,"212.5",IF(J18=15,"225",IF(J18=16,"237.5",0))))))))</f>
        <v>0</v>
      </c>
      <c r="X18" s="125" t="n">
        <f aca="false">IF(J18=17,"250",0)</f>
        <v>0</v>
      </c>
      <c r="Y18" s="27" t="str">
        <f aca="false">IF(I18=0,"0",IF(I18&lt;=4999.99,"1",IF(I18&lt;=5999.99,"2",IF(I18&lt;=6999.99,"3",IF(I18&lt;=7999.99,"4",IF(I18&lt;=8999.99,"5",IF(I18&lt;=9999.99,"6",IF(I18&gt;=9999.99,"0",0))))))))</f>
        <v>0</v>
      </c>
      <c r="Z18" s="27" t="str">
        <f aca="false">IF(I18&lt;=9999.99,"0",IF(I18&lt;=10999.99,"7",IF(I18&lt;=11999.99,"8",IF(I18&lt;=12999.99,"9",IF(I18&lt;=13999.99,"10",IF(I18&lt;=14999.99,"11",IF(I18&gt;=14999.99,"0")))))))</f>
        <v>0</v>
      </c>
      <c r="AA18" s="27" t="str">
        <f aca="false">IF(I18&lt;=14999.99,"0",IF(I18&lt;=15999.99,"12",IF(I18&lt;=16999.99,"13",IF(I18&lt;=17999.99,"14",IF(I18&lt;=18999.99,"15",IF(I18&lt;=19999.99,"16",IF(I18&lt;=20999.99,"17",IF(I18&gt;=20999.99,"0"))))))))</f>
        <v>0</v>
      </c>
      <c r="AB18" s="27" t="str">
        <f aca="false">IF(I18&lt;=20999.99,"0",IF(I18&lt;=21999.99,"18",IF(I18&lt;=22999.99,"19",IF(I18&lt;=23999.99,"20",IF(I18&lt;=24999.99,"21",IF(I18&gt;=25000,"22"))))))</f>
        <v>0</v>
      </c>
      <c r="AC18" s="125" t="n">
        <f aca="false">IF(J18=1,"50",IF(J18=2,"62.50",IF(J18=3,"75",IF(J18=4,"87.5",IF(J18=5,"100",IF(J18=6,"112.50",IF(J18=7,"125",IF(J18=8,"137.50",0))))))))</f>
        <v>0</v>
      </c>
      <c r="AD18" s="125" t="n">
        <f aca="false">IF(J18=9,"150",IF(J18=10,"162.50",IF(J18=11,"175",IF(J18=12,"187.50",IF(J18=13,"200",IF(J18=14,"212.5",IF(J18=15,"225",IF(J18=16,"237.5",0))))))))</f>
        <v>0</v>
      </c>
      <c r="AE18" s="125" t="n">
        <f aca="false">IF(J18=17,"250",IF(J18=18,"262.50",IF(J18=19,"275",IF(J18=20,"287.50",IF(J18=21,"300",IF(J18=22,"312.50",0))))))</f>
        <v>0</v>
      </c>
      <c r="AF18" s="27" t="str">
        <f aca="false">IF(I18=0,"0",IF(I18&lt;=4999.99,"1",IF(I18&lt;=5999.99,"2",IF(I18&lt;=6999.99,"3",IF(I18&lt;=7999.99,"4",IF(I18&lt;=8999.99,"5",IF(I18&lt;=9999.99,"6",IF(I18&gt;=9999.99,"0",0))))))))</f>
        <v>0</v>
      </c>
      <c r="AG18" s="27" t="str">
        <f aca="false">IF(I18&lt;=9999.99,"0",IF(I18&lt;=10999.99,"7",IF(I18&lt;=11999.99,"8",IF(I18&lt;=12999.99,"9",IF(I18&lt;=13999.99,"10",IF(I18&lt;=14999.99,"11",IF(I18&gt;=14999.99,"0")))))))</f>
        <v>0</v>
      </c>
      <c r="AH18" s="27" t="str">
        <f aca="false">IF(I18&lt;=14999.99,"0",IF(I18&lt;=15999.99,"12",IF(I18&lt;=16999.99,"13",IF(I18&lt;=17999.99,"14",IF(I18&lt;=18999.99,"15",IF(I18&lt;=19999.99,"16",IF(I18&lt;=20999.99,"17",IF(I18&gt;=20999.99,"0"))))))))</f>
        <v>0</v>
      </c>
      <c r="AI18" s="27" t="str">
        <f aca="false">IF(I18&lt;=20999.99,"0",IF(I18&lt;=21999.99,"18",IF(I18&lt;=22999.99,"19",IF(I18&lt;=23999.99,"20",IF(I18&lt;=24999.99,"21",IF(I18&lt;=25999.99,"22",IF(I18&lt;=26999.99,"23",IF(I18&gt;=26999.99,"0"))))))))</f>
        <v>0</v>
      </c>
      <c r="AJ18" s="27" t="str">
        <f aca="false">IF(I18&lt;=26999.99,"0",IF(I18&lt;=27999.99,"24",IF(I18&lt;=28999.99,"25",IF(I18&lt;=29999.99,"26",IF(I18&gt;=30000,"27")))))</f>
        <v>0</v>
      </c>
      <c r="AK18" s="125" t="n">
        <f aca="false">IF(J18=1,"50",IF(J18=2,"62.50",IF(J18=3,"75",IF(J18=4,"87.5",IF(J18=5,"100",IF(J18=6,"112.50",IF(J18=7,"125",IF(J18=8,"137.50",0))))))))</f>
        <v>0</v>
      </c>
      <c r="AL18" s="125" t="n">
        <f aca="false">IF(J18=9,"150",IF(J18=10,"162.50",IF(J18=11,"175",IF(J18=12,"187.50",IF(J18=13,"200",IF(J18=14,"212.5",IF(J18=15,"225",IF(J18=16,"237.5",0))))))))</f>
        <v>0</v>
      </c>
      <c r="AM18" s="125" t="n">
        <f aca="false">IF(J18=17,"250",IF(J18=18,"262.50",IF(J18=19,"275",IF(J18=20,"287.50",IF(J18=21,"300",IF(J18=22,"312.50",IF(J18=23,"325",IF(J18=24,"337.50",0))))))))</f>
        <v>0</v>
      </c>
      <c r="AN18" s="125" t="n">
        <f aca="false">IF(J18=25,"350",IF(J18=26,"362.50",IF(J18=27,"375",0)))</f>
        <v>0</v>
      </c>
      <c r="AO18" s="27" t="str">
        <f aca="false">IF(I18=0,"0",IF(I18&lt;=7999.99,"1",IF(I18&lt;=8999.99,"2",IF(I18&lt;=9999.99,"3",IF(I18&lt;=10999.99,"4",IF(I18&lt;=11999.99,"5",IF(I18&lt;=12999.99,"6",IF(I18&gt;=12999.99,"0",0))))))))</f>
        <v>0</v>
      </c>
      <c r="AP18" s="27" t="str">
        <f aca="false">IF(I18&lt;=12999.99,"0",IF(I18&lt;=13999.99,"7",IF(I18&lt;=14999.99,"8",IF(I18&lt;=15999.99,"9",IF(I18&lt;=16999.99,"10",IF(I18&lt;=17999.99,"11",IF(I18&gt;=17999.99,"0")))))))</f>
        <v>0</v>
      </c>
      <c r="AQ18" s="27" t="str">
        <f aca="false">IF(I18&lt;=17999.99,"0",IF(I18&lt;=18999.99,"12",IF(I18&lt;=19999.99,"13",IF(I18&lt;=20999.99,"14",IF(I18&lt;=21999.99,"15",IF(I18&lt;=22999.99,"16",IF(I18&lt;=23999.99,"17",IF(I18&gt;=23999.99,"0"))))))))</f>
        <v>0</v>
      </c>
      <c r="AR18" s="27" t="str">
        <f aca="false">IF(I18&lt;=23999.99,"0",IF(I18&lt;=24999.99,"18",IF(I18&lt;=25999.99,"19",IF(I18&lt;=26999.99,"20",IF(I18&lt;=27999.99,"21",IF(I18&lt;=28999.99,"22",IF(I18&lt;=29999.99,"23",IF(I18&gt;=29999.99,"0"))))))))</f>
        <v>0</v>
      </c>
      <c r="AS18" s="27" t="str">
        <f aca="false">IF(I18&lt;=29999.99,"0",IF(I18&lt;=30999.99,"24",IF(I18&lt;=31999.99,"25",IF(I18&lt;=32999.99,"26",IF(I18&lt;=33999.99,"27",IF(I18&lt;=34999.99,"28",IF(I18&gt;=35000,"29")))))))</f>
        <v>0</v>
      </c>
      <c r="AT18" s="27" t="n">
        <f aca="false">IF(J18=1,"87.50",IF(J18=2,"100",IF(J18=3,"112.50",IF(J18=4,"125",IF(J18=5,"137.50",IF(J18=6,"150",IF(J18=7,"162.50",IF(J18=8,"175",0))))))))</f>
        <v>0</v>
      </c>
      <c r="AU18" s="27" t="n">
        <f aca="false">IF(J18=9,"187.50",IF(J18=10,"200",IF(J18=11,"212.50",IF(J18=12,"225",IF(J18=13,"237.50",IF(J18=14,"250",IF(J18=15,"262.50",IF(J18=16,"275",0))))))))</f>
        <v>0</v>
      </c>
      <c r="AV18" s="27" t="n">
        <f aca="false">IF(J18=17,"287.50",IF(J18=18,"300",IF(J18=19,"312.50",IF(J18=20,"325",IF(J18=21,"337.50",IF(J18=22,"350",IF(J18=23,"362.50",IF(J18=24,"375",0))))))))</f>
        <v>0</v>
      </c>
      <c r="AW18" s="27" t="n">
        <f aca="false">IF(J18=25,"387.50",IF(J18=26,"400",IF(J18=27,"412.50",IF(J18=28,"425",IF(J18=29,"437.50",0)))))</f>
        <v>0</v>
      </c>
      <c r="AX18" s="27" t="str">
        <f aca="false">IF(I18=0,"0",IF(I18&lt;=8999.99,"1",IF(I18&lt;=9999.99,"2",IF(I18&lt;=10999.99,"3",IF(I18&lt;=11999.99,"4",IF(I18&lt;=12999.99,"5",IF(I18&lt;=13999.99,"6",IF(I18&gt;=13999.99,"0",0))))))))</f>
        <v>0</v>
      </c>
      <c r="AY18" s="27" t="str">
        <f aca="false">IF(I18&lt;=13999.99,"0",IF(I18&lt;=14999.99,"7",IF(I18&lt;=15999.99,"8",IF(I18&lt;=16999.99,"9",IF(I18&lt;=17999.99,"10",IF(I18&lt;=18999.99,"11",IF(I18&gt;=18999.99,"0")))))))</f>
        <v>0</v>
      </c>
      <c r="AZ18" s="27" t="str">
        <f aca="false">IF(I18&lt;=18999.99,"0",IF(I18&lt;=19999.99,"12",IF(I18&lt;=20999.99,"13",IF(I18&lt;=21999.99,"14",IF(I18&lt;=22999.99,"15",IF(I18&lt;=23999.99,"16",IF(I18&lt;=24999.99,"17",IF(I18&gt;=24999.99,"0"))))))))</f>
        <v>0</v>
      </c>
      <c r="BA18" s="27" t="str">
        <f aca="false">IF(I18&lt;=24999.99,"0",IF(I18&lt;=25999.99,"18",IF(I18&lt;=26999.99,"19",IF(I18&lt;=27999.99,"20",IF(I18&lt;=28999.99,"21",IF(I18&lt;=29999.99,"22",IF(I18&lt;=30999.99,"23",IF(I18&gt;=30999.99,"0"))))))))</f>
        <v>0</v>
      </c>
      <c r="BB18" s="27" t="str">
        <f aca="false">IF(I18&lt;=30999.99,"0",IF(I18&lt;=31999.99,"24",IF(I18&lt;=32999.99,"25",IF(I18&lt;=33999.99,"26",IF(I18&lt;=34999.99,"27",IF(I18&gt;=35000,"28"))))))</f>
        <v>0</v>
      </c>
      <c r="BC18" s="27" t="n">
        <f aca="false">IF(J18=1,"100",IF(J18=2,"112.50",IF(J18=3,"125",IF(J18=4,"137.50",IF(J18=5,"150",IF(J18=6,"162.50",IF(J18=7,"175",IF(J18=8,"187.50",0))))))))</f>
        <v>0</v>
      </c>
      <c r="BD18" s="27" t="n">
        <f aca="false">IF(J18=9,"200",IF(J18=10,"212.50",IF(J18=11,"225",IF(J18=12,"237.50",IF(J18=13,"250",IF(J18=14,"262.50",IF(J18=15,"275",IF(J18=16,"287.50",0))))))))</f>
        <v>0</v>
      </c>
      <c r="BE18" s="27" t="n">
        <f aca="false">IF(J18=17,"300",IF(J18=18,"312.50",IF(J18=19,"325",IF(J18=20,"337.50",IF(J18=21,"350",IF(J18=22,"362.50",IF(J18=23,"375",IF(J18=24,"387.50",0))))))))</f>
        <v>0</v>
      </c>
      <c r="BF18" s="27" t="n">
        <f aca="false">IF(J18=25,"400",IF(J18=26,"412.50",IF(J18=27,"425",IF(J18=28,"437.50",0))))</f>
        <v>0</v>
      </c>
      <c r="BG18" s="125" t="n">
        <f aca="false">IF(L18=2008,AK18+AL18+AM18+AN18,IF(L18=2009,AK18+AL18+AM18+AN18,IF(L18=2010,AK18+AL18+AM18+AN18,IF(L18=2011,AK18+AL18+AM18+AN18,IF(L18=2012,AK18+AL18+AM18+AN18,IF(L18=2013,AT18+AU18+AV18+AW18,IF(L18=2014,BC18+BD18+BE18+BF18,IF(L18=2015,BC18+BD18+BE18+BF18))))))))</f>
        <v>0</v>
      </c>
      <c r="BH18" s="125" t="n">
        <f aca="false">IF(L18=2008,AK18+AL18+AM18+AN18,IF(L18=2009,AK18+AL18+AM18+AN18,IF(L18=2010,AK18+AL18+AM18+AN18,IF(L18=2011,AK18+AL18+AM18+AN18,IF(L18=2012,AK18+AL18+AM18+AN18,IF(L18=2013,AT18+AU18+AV18+AW18,IF(L18=2014,BC18+BD18+BE18+BF18,IF(L18=2015,BC18+BD18+BE18+BF18))))))))</f>
        <v>0</v>
      </c>
      <c r="BI18" s="126" t="n">
        <f aca="false">IF(BH18=0,0,IF(BH18&lt;=M18,BH18,IF(BH18&gt;=M18,M18)))</f>
        <v>0</v>
      </c>
      <c r="BJ18" s="127" t="n">
        <f aca="false">CODE(B18:B20)</f>
        <v>0</v>
      </c>
      <c r="BK18" s="127" t="n">
        <f aca="false">ISBLANK(E18)</f>
        <v>1</v>
      </c>
      <c r="BL18" s="127" t="n">
        <f aca="false">CODE(E18)</f>
        <v>0</v>
      </c>
      <c r="BM18" s="127" t="str">
        <f aca="false">CHAR(BL18)</f>
        <v>_x0000_</v>
      </c>
      <c r="BN18" s="128" t="n">
        <f aca="false">ISBLANK(F18)</f>
        <v>1</v>
      </c>
      <c r="BO18" s="129" t="n">
        <f aca="false">ISBLANK(BS18)</f>
        <v>1</v>
      </c>
      <c r="BP18" s="130" t="n">
        <f aca="false">ISBLANK(BT18)</f>
        <v>1</v>
      </c>
      <c r="BQ18" s="130" t="n">
        <f aca="false">ISBLANK(G18)</f>
        <v>1</v>
      </c>
      <c r="BR18" s="130" t="str">
        <f aca="false">TEXT(BT18,"MMDDYYYY")</f>
        <v>12301899</v>
      </c>
      <c r="BS18" s="131"/>
      <c r="BT18" s="132"/>
      <c r="BU18" s="0"/>
      <c r="BV18" s="0"/>
      <c r="BW18" s="0"/>
      <c r="BX18" s="0"/>
      <c r="BY18" s="0"/>
      <c r="BZ18" s="0"/>
      <c r="CA18" s="0"/>
      <c r="CB18" s="0"/>
      <c r="CC18" s="12"/>
      <c r="DN18" s="6"/>
      <c r="DO18" s="6"/>
      <c r="DP18" s="6"/>
      <c r="DQ18" s="6"/>
      <c r="DY18" s="6"/>
      <c r="DZ18" s="6"/>
      <c r="EA18" s="6"/>
      <c r="EB18" s="6"/>
      <c r="EC18" s="6"/>
      <c r="ED18" s="6"/>
      <c r="EE18" s="6"/>
      <c r="EF18" s="6"/>
      <c r="EG18" s="6"/>
    </row>
    <row r="19" customFormat="false" ht="12.75" hidden="false" customHeight="true" outlineLevel="0" collapsed="false">
      <c r="A19" s="27" t="n">
        <f aca="false">A18+1</f>
        <v>11</v>
      </c>
      <c r="B19" s="118"/>
      <c r="C19" s="118"/>
      <c r="D19" s="118"/>
      <c r="E19" s="118"/>
      <c r="F19" s="119"/>
      <c r="G19" s="120"/>
      <c r="H19" s="121"/>
      <c r="I19" s="122"/>
      <c r="J19" s="123" t="n">
        <f aca="false">IF(L19=2008,AF19+AG19+AH19+AI19+AJ19,IF(L19=2009,AF19+AG19+AH19+AI19+AJ19,IF(L19=2010,AF19+AG19+AH19+AI19+AJ19,IF(L19=2011,AF19+AG19+AH19+AI19+AJ19,IF(L19=2012,AF19+AG19+AH19+AI19+AJ19,IF(L19=2013,AO19+AP19+AQ19+AR19+AS19,IF(L19=2014,AX19+AY19+AZ19+BA19+BB19,IF(L19=2015,AX19+AY19+AZ19+BA19+BB19))))))))</f>
        <v>0</v>
      </c>
      <c r="K19" s="123" t="n">
        <f aca="false">K18</f>
        <v>12</v>
      </c>
      <c r="L19" s="74" t="n">
        <f aca="false">L18</f>
        <v>2015</v>
      </c>
      <c r="M19" s="124" t="n">
        <f aca="false">M18</f>
        <v>0</v>
      </c>
      <c r="N19" s="74" t="str">
        <f aca="false">IF(I19=0,"0",IF(I19&lt;=4999.99,"1",IF(I19&lt;=5999.99,"2",IF(I19&lt;=6999.99,"3",IF(I19&lt;=7999.99,"4",IF(I19&lt;=8999.99,"5",IF(I19&lt;=9999.99,"6",IF(I19&gt;=9999.99,"0",0))))))))</f>
        <v>0</v>
      </c>
      <c r="O19" s="74" t="str">
        <f aca="false">IF(I19&lt;=9999.99,"0",IF(I19&lt;=10999.99,"7",IF(I19&lt;=11999.99,"8",IF(I19&lt;=12999.99,"9",IF(I19&lt;=13999.99,"10",IF(I19&lt;=14999.99,"11",IF(I19&gt;=14999.99,"0")))))))</f>
        <v>0</v>
      </c>
      <c r="P19" s="74" t="str">
        <f aca="false">IF(I19&lt;=14999.99,"0",IF(I19&gt;=15000,"12"))</f>
        <v>0</v>
      </c>
      <c r="Q19" s="74" t="n">
        <f aca="false">IF(J19=1,"50",IF(J19=2,"62.50",IF(J19=3,"75",IF(J19=4,"87.5",IF(J19=5,"100",IF(J19=6,"112.50",IF(J19=7,"125",IF(J19=8,"137.50",0))))))))</f>
        <v>0</v>
      </c>
      <c r="R19" s="74" t="n">
        <f aca="false">IF(J19=9,"150",IF(J19=10,"162.50",IF(J19=11,"175",IF(J19=12,"187.50",0))))</f>
        <v>0</v>
      </c>
      <c r="S19" s="27" t="str">
        <f aca="false">IF(I19=0,"0",IF(I19&lt;=4999.99,"1",IF(I19&lt;=5999.99,"2",IF(I19&lt;=6999.99,"3",IF(I19&lt;=7999.99,"4",IF(I19&lt;=8999.99,"5",IF(I19&lt;=9999.99,"6",IF(I19&gt;=9999.99,"0",0))))))))</f>
        <v>0</v>
      </c>
      <c r="T19" s="27" t="str">
        <f aca="false">IF(I19&lt;=9999.99,"0",IF(I19&lt;=10999.99,"7",IF(I19&lt;=11999.99,"8",IF(I19&lt;=12999.99,"9",IF(I19&lt;=13999.99,"10",IF(I19&lt;=14999.99,"11",IF(I19&gt;=14999.99,"0")))))))</f>
        <v>0</v>
      </c>
      <c r="U19" s="27" t="str">
        <f aca="false">IF(I19&lt;=14999.99,"0",IF(I19&lt;=15999.99,"12",IF(I19&lt;=16999.99,"13",IF(I19&lt;=17999.99,"14",IF(I19&lt;=18999.99,"15",IF(I19&lt;=19999.99,"16",IF(I19&gt;=20000,"17")))))))</f>
        <v>0</v>
      </c>
      <c r="V19" s="125" t="n">
        <f aca="false">IF(J19=1,"50",IF(J19=2,"62.50",IF(J19=3,"75",IF(J19=4,"87.5",IF(J19=5,"100",IF(J19=6,"112.50",IF(J19=7,"125",IF(J19=8,"137.50",0))))))))</f>
        <v>0</v>
      </c>
      <c r="W19" s="125" t="n">
        <f aca="false">IF(J19=9,"150",IF(J19=10,"162.50",IF(J19=11,"175",IF(J19=12,"187.50",IF(J19=13,"200",IF(J19=14,"212.5",IF(J19=15,"225",IF(J19=16,"237.5",0))))))))</f>
        <v>0</v>
      </c>
      <c r="X19" s="125" t="n">
        <f aca="false">IF(J19=17,"250",0)</f>
        <v>0</v>
      </c>
      <c r="Y19" s="27" t="str">
        <f aca="false">IF(I19=0,"0",IF(I19&lt;=4999.99,"1",IF(I19&lt;=5999.99,"2",IF(I19&lt;=6999.99,"3",IF(I19&lt;=7999.99,"4",IF(I19&lt;=8999.99,"5",IF(I19&lt;=9999.99,"6",IF(I19&gt;=9999.99,"0",0))))))))</f>
        <v>0</v>
      </c>
      <c r="Z19" s="27" t="str">
        <f aca="false">IF(I19&lt;=9999.99,"0",IF(I19&lt;=10999.99,"7",IF(I19&lt;=11999.99,"8",IF(I19&lt;=12999.99,"9",IF(I19&lt;=13999.99,"10",IF(I19&lt;=14999.99,"11",IF(I19&gt;=14999.99,"0")))))))</f>
        <v>0</v>
      </c>
      <c r="AA19" s="27" t="str">
        <f aca="false">IF(I19&lt;=14999.99,"0",IF(I19&lt;=15999.99,"12",IF(I19&lt;=16999.99,"13",IF(I19&lt;=17999.99,"14",IF(I19&lt;=18999.99,"15",IF(I19&lt;=19999.99,"16",IF(I19&lt;=20999.99,"17",IF(I19&gt;=20999.99,"0"))))))))</f>
        <v>0</v>
      </c>
      <c r="AB19" s="27" t="str">
        <f aca="false">IF(I19&lt;=20999.99,"0",IF(I19&lt;=21999.99,"18",IF(I19&lt;=22999.99,"19",IF(I19&lt;=23999.99,"20",IF(I19&lt;=24999.99,"21",IF(I19&gt;=25000,"22"))))))</f>
        <v>0</v>
      </c>
      <c r="AC19" s="125" t="n">
        <f aca="false">IF(J19=1,"50",IF(J19=2,"62.50",IF(J19=3,"75",IF(J19=4,"87.5",IF(J19=5,"100",IF(J19=6,"112.50",IF(J19=7,"125",IF(J19=8,"137.50",0))))))))</f>
        <v>0</v>
      </c>
      <c r="AD19" s="125" t="n">
        <f aca="false">IF(J19=9,"150",IF(J19=10,"162.50",IF(J19=11,"175",IF(J19=12,"187.50",IF(J19=13,"200",IF(J19=14,"212.5",IF(J19=15,"225",IF(J19=16,"237.5",0))))))))</f>
        <v>0</v>
      </c>
      <c r="AE19" s="125" t="n">
        <f aca="false">IF(J19=17,"250",IF(J19=18,"262.50",IF(J19=19,"275",IF(J19=20,"287.50",IF(J19=21,"300",IF(J19=22,"312.50",0))))))</f>
        <v>0</v>
      </c>
      <c r="AF19" s="27" t="str">
        <f aca="false">IF(I19=0,"0",IF(I19&lt;=4999.99,"1",IF(I19&lt;=5999.99,"2",IF(I19&lt;=6999.99,"3",IF(I19&lt;=7999.99,"4",IF(I19&lt;=8999.99,"5",IF(I19&lt;=9999.99,"6",IF(I19&gt;=9999.99,"0",0))))))))</f>
        <v>0</v>
      </c>
      <c r="AG19" s="27" t="str">
        <f aca="false">IF(I19&lt;=9999.99,"0",IF(I19&lt;=10999.99,"7",IF(I19&lt;=11999.99,"8",IF(I19&lt;=12999.99,"9",IF(I19&lt;=13999.99,"10",IF(I19&lt;=14999.99,"11",IF(I19&gt;=14999.99,"0")))))))</f>
        <v>0</v>
      </c>
      <c r="AH19" s="27" t="str">
        <f aca="false">IF(I19&lt;=14999.99,"0",IF(I19&lt;=15999.99,"12",IF(I19&lt;=16999.99,"13",IF(I19&lt;=17999.99,"14",IF(I19&lt;=18999.99,"15",IF(I19&lt;=19999.99,"16",IF(I19&lt;=20999.99,"17",IF(I19&gt;=20999.99,"0"))))))))</f>
        <v>0</v>
      </c>
      <c r="AI19" s="27" t="str">
        <f aca="false">IF(I19&lt;=20999.99,"0",IF(I19&lt;=21999.99,"18",IF(I19&lt;=22999.99,"19",IF(I19&lt;=23999.99,"20",IF(I19&lt;=24999.99,"21",IF(I19&lt;=25999.99,"22",IF(I19&lt;=26999.99,"23",IF(I19&gt;=26999.99,"0"))))))))</f>
        <v>0</v>
      </c>
      <c r="AJ19" s="27" t="str">
        <f aca="false">IF(I19&lt;=26999.99,"0",IF(I19&lt;=27999.99,"24",IF(I19&lt;=28999.99,"25",IF(I19&lt;=29999.99,"26",IF(I19&gt;=30000,"27")))))</f>
        <v>0</v>
      </c>
      <c r="AK19" s="125" t="n">
        <f aca="false">IF(J19=1,"50",IF(J19=2,"62.50",IF(J19=3,"75",IF(J19=4,"87.5",IF(J19=5,"100",IF(J19=6,"112.50",IF(J19=7,"125",IF(J19=8,"137.50",0))))))))</f>
        <v>0</v>
      </c>
      <c r="AL19" s="125" t="n">
        <f aca="false">IF(J19=9,"150",IF(J19=10,"162.50",IF(J19=11,"175",IF(J19=12,"187.50",IF(J19=13,"200",IF(J19=14,"212.5",IF(J19=15,"225",IF(J19=16,"237.5",0))))))))</f>
        <v>0</v>
      </c>
      <c r="AM19" s="125" t="n">
        <f aca="false">IF(J19=17,"250",IF(J19=18,"262.50",IF(J19=19,"275",IF(J19=20,"287.50",IF(J19=21,"300",IF(J19=22,"312.50",IF(J19=23,"325",IF(J19=24,"337.50",0))))))))</f>
        <v>0</v>
      </c>
      <c r="AN19" s="125" t="n">
        <f aca="false">IF(J19=25,"350",IF(J19=26,"362.50",IF(J19=27,"375",0)))</f>
        <v>0</v>
      </c>
      <c r="AO19" s="27" t="str">
        <f aca="false">IF(I19=0,"0",IF(I19&lt;=7999.99,"1",IF(I19&lt;=8999.99,"2",IF(I19&lt;=9999.99,"3",IF(I19&lt;=10999.99,"4",IF(I19&lt;=11999.99,"5",IF(I19&lt;=12999.99,"6",IF(I19&gt;=12999.99,"0",0))))))))</f>
        <v>0</v>
      </c>
      <c r="AP19" s="27" t="str">
        <f aca="false">IF(I19&lt;=12999.99,"0",IF(I19&lt;=13999.99,"7",IF(I19&lt;=14999.99,"8",IF(I19&lt;=15999.99,"9",IF(I19&lt;=16999.99,"10",IF(I19&lt;=17999.99,"11",IF(I19&gt;=17999.99,"0")))))))</f>
        <v>0</v>
      </c>
      <c r="AQ19" s="27" t="str">
        <f aca="false">IF(I19&lt;=17999.99,"0",IF(I19&lt;=18999.99,"12",IF(I19&lt;=19999.99,"13",IF(I19&lt;=20999.99,"14",IF(I19&lt;=21999.99,"15",IF(I19&lt;=22999.99,"16",IF(I19&lt;=23999.99,"17",IF(I19&gt;=23999.99,"0"))))))))</f>
        <v>0</v>
      </c>
      <c r="AR19" s="27" t="str">
        <f aca="false">IF(I19&lt;=23999.99,"0",IF(I19&lt;=24999.99,"18",IF(I19&lt;=25999.99,"19",IF(I19&lt;=26999.99,"20",IF(I19&lt;=27999.99,"21",IF(I19&lt;=28999.99,"22",IF(I19&lt;=29999.99,"23",IF(I19&gt;=29999.99,"0"))))))))</f>
        <v>0</v>
      </c>
      <c r="AS19" s="27" t="str">
        <f aca="false">IF(I19&lt;=29999.99,"0",IF(I19&lt;=30999.99,"24",IF(I19&lt;=31999.99,"25",IF(I19&lt;=32999.99,"26",IF(I19&lt;=33999.99,"27",IF(I19&lt;=34999.99,"28",IF(I19&gt;=35000,"29")))))))</f>
        <v>0</v>
      </c>
      <c r="AT19" s="27" t="n">
        <f aca="false">IF(J19=1,"87.50",IF(J19=2,"100",IF(J19=3,"112.50",IF(J19=4,"125",IF(J19=5,"137.50",IF(J19=6,"150",IF(J19=7,"162.50",IF(J19=8,"175",0))))))))</f>
        <v>0</v>
      </c>
      <c r="AU19" s="27" t="n">
        <f aca="false">IF(J19=9,"187.50",IF(J19=10,"200",IF(J19=11,"212.50",IF(J19=12,"225",IF(J19=13,"237.50",IF(J19=14,"250",IF(J19=15,"262.50",IF(J19=16,"275",0))))))))</f>
        <v>0</v>
      </c>
      <c r="AV19" s="27" t="n">
        <f aca="false">IF(J19=17,"287.50",IF(J19=18,"300",IF(J19=19,"312.50",IF(J19=20,"325",IF(J19=21,"337.50",IF(J19=22,"350",IF(J19=23,"362.50",IF(J19=24,"375",0))))))))</f>
        <v>0</v>
      </c>
      <c r="AW19" s="27" t="n">
        <f aca="false">IF(J19=25,"387.50",IF(J19=26,"400",IF(J19=27,"412.50",IF(J19=28,"425",IF(J19=29,"437.50",0)))))</f>
        <v>0</v>
      </c>
      <c r="AX19" s="27" t="str">
        <f aca="false">IF(I19=0,"0",IF(I19&lt;=8999.99,"1",IF(I19&lt;=9999.99,"2",IF(I19&lt;=10999.99,"3",IF(I19&lt;=11999.99,"4",IF(I19&lt;=12999.99,"5",IF(I19&lt;=13999.99,"6",IF(I19&gt;=13999.99,"0",0))))))))</f>
        <v>0</v>
      </c>
      <c r="AY19" s="27" t="str">
        <f aca="false">IF(I19&lt;=13999.99,"0",IF(I19&lt;=14999.99,"7",IF(I19&lt;=15999.99,"8",IF(I19&lt;=16999.99,"9",IF(I19&lt;=17999.99,"10",IF(I19&lt;=18999.99,"11",IF(I19&gt;=18999.99,"0")))))))</f>
        <v>0</v>
      </c>
      <c r="AZ19" s="27" t="str">
        <f aca="false">IF(I19&lt;=18999.99,"0",IF(I19&lt;=19999.99,"12",IF(I19&lt;=20999.99,"13",IF(I19&lt;=21999.99,"14",IF(I19&lt;=22999.99,"15",IF(I19&lt;=23999.99,"16",IF(I19&lt;=24999.99,"17",IF(I19&gt;=24999.99,"0"))))))))</f>
        <v>0</v>
      </c>
      <c r="BA19" s="27" t="str">
        <f aca="false">IF(I19&lt;=24999.99,"0",IF(I19&lt;=25999.99,"18",IF(I19&lt;=26999.99,"19",IF(I19&lt;=27999.99,"20",IF(I19&lt;=28999.99,"21",IF(I19&lt;=29999.99,"22",IF(I19&lt;=30999.99,"23",IF(I19&gt;=30999.99,"0"))))))))</f>
        <v>0</v>
      </c>
      <c r="BB19" s="27" t="str">
        <f aca="false">IF(I19&lt;=30999.99,"0",IF(I19&lt;=31999.99,"24",IF(I19&lt;=32999.99,"25",IF(I19&lt;=33999.99,"26",IF(I19&lt;=34999.99,"27",IF(I19&gt;=35000,"28"))))))</f>
        <v>0</v>
      </c>
      <c r="BC19" s="27" t="n">
        <f aca="false">IF(J19=1,"100",IF(J19=2,"112.50",IF(J19=3,"125",IF(J19=4,"137.50",IF(J19=5,"150",IF(J19=6,"162.50",IF(J19=7,"175",IF(J19=8,"187.50",0))))))))</f>
        <v>0</v>
      </c>
      <c r="BD19" s="27" t="n">
        <f aca="false">IF(J19=9,"200",IF(J19=10,"212.50",IF(J19=11,"225",IF(J19=12,"237.50",IF(J19=13,"250",IF(J19=14,"262.50",IF(J19=15,"275",IF(J19=16,"287.50",0))))))))</f>
        <v>0</v>
      </c>
      <c r="BE19" s="27" t="n">
        <f aca="false">IF(J19=17,"300",IF(J19=18,"312.50",IF(J19=19,"325",IF(J19=20,"337.50",IF(J19=21,"350",IF(J19=22,"362.50",IF(J19=23,"375",IF(J19=24,"387.50",0))))))))</f>
        <v>0</v>
      </c>
      <c r="BF19" s="27" t="n">
        <f aca="false">IF(J19=25,"400",IF(J19=26,"412.50",IF(J19=27,"425",IF(J19=28,"437.50",0))))</f>
        <v>0</v>
      </c>
      <c r="BG19" s="125" t="n">
        <f aca="false">IF(L19=2008,AK19+AL19+AM19+AN19,IF(L19=2009,AK19+AL19+AM19+AN19,IF(L19=2010,AK19+AL19+AM19+AN19,IF(L19=2011,AK19+AL19+AM19+AN19,IF(L19=2012,AK19+AL19+AM19+AN19,IF(L19=2013,AT19+AU19+AV19+AW19,IF(L19=2014,BC19+BD19+BE19+BF19,IF(L19=2015,BC19+BD19+BE19+BF19))))))))</f>
        <v>0</v>
      </c>
      <c r="BH19" s="125" t="n">
        <f aca="false">IF(L19=2008,AK19+AL19+AM19+AN19,IF(L19=2009,AK19+AL19+AM19+AN19,IF(L19=2010,AK19+AL19+AM19+AN19,IF(L19=2011,AK19+AL19+AM19+AN19,IF(L19=2012,AK19+AL19+AM19+AN19,IF(L19=2013,AT19+AU19+AV19+AW19,IF(L19=2014,BC19+BD19+BE19+BF19,IF(L19=2015,BC19+BD19+BE19+BF19))))))))</f>
        <v>0</v>
      </c>
      <c r="BI19" s="126" t="n">
        <f aca="false">IF(BH19=0,0,IF(BH19&lt;=M19,BH19,IF(BH19&gt;=M19,M19)))</f>
        <v>0</v>
      </c>
      <c r="BJ19" s="127" t="n">
        <f aca="false">CODE(B19:B20)</f>
        <v>0</v>
      </c>
      <c r="BK19" s="127" t="n">
        <f aca="false">ISBLANK(E19)</f>
        <v>1</v>
      </c>
      <c r="BL19" s="127" t="n">
        <f aca="false">CODE(E19)</f>
        <v>0</v>
      </c>
      <c r="BM19" s="127" t="str">
        <f aca="false">CHAR(BL19)</f>
        <v>_x0000_</v>
      </c>
      <c r="BN19" s="128" t="n">
        <f aca="false">ISBLANK(F19)</f>
        <v>1</v>
      </c>
      <c r="BO19" s="129" t="n">
        <f aca="false">ISBLANK(BS19)</f>
        <v>1</v>
      </c>
      <c r="BP19" s="130" t="n">
        <f aca="false">ISBLANK(BT19)</f>
        <v>1</v>
      </c>
      <c r="BQ19" s="130" t="n">
        <f aca="false">ISBLANK(G19)</f>
        <v>1</v>
      </c>
      <c r="BR19" s="130" t="str">
        <f aca="false">TEXT(BT19,"MMDDYYYY")</f>
        <v>12301899</v>
      </c>
      <c r="BS19" s="131"/>
      <c r="BT19" s="132"/>
      <c r="BU19" s="0"/>
    </row>
    <row r="20" customFormat="false" ht="12.75" hidden="false" customHeight="true" outlineLevel="0" collapsed="false">
      <c r="A20" s="27" t="n">
        <f aca="false">A19+1</f>
        <v>12</v>
      </c>
      <c r="B20" s="118"/>
      <c r="C20" s="118"/>
      <c r="D20" s="118"/>
      <c r="E20" s="118"/>
      <c r="F20" s="119"/>
      <c r="G20" s="120"/>
      <c r="H20" s="121"/>
      <c r="I20" s="122"/>
      <c r="J20" s="123" t="n">
        <f aca="false">IF(L20=2008,AF20+AG20+AH20+AI20+AJ20,IF(L20=2009,AF20+AG20+AH20+AI20+AJ20,IF(L20=2010,AF20+AG20+AH20+AI20+AJ20,IF(L20=2011,AF20+AG20+AH20+AI20+AJ20,IF(L20=2012,AF20+AG20+AH20+AI20+AJ20,IF(L20=2013,AO20+AP20+AQ20+AR20+AS20,IF(L20=2014,AX20+AY20+AZ20+BA20+BB20,IF(L20=2015,AX20+AY20+AZ20+BA20+BB20))))))))</f>
        <v>0</v>
      </c>
      <c r="K20" s="123" t="n">
        <f aca="false">K19</f>
        <v>12</v>
      </c>
      <c r="L20" s="74" t="n">
        <f aca="false">L19</f>
        <v>2015</v>
      </c>
      <c r="M20" s="124" t="n">
        <f aca="false">M19</f>
        <v>0</v>
      </c>
      <c r="N20" s="74" t="str">
        <f aca="false">IF(I20=0,"0",IF(I20&lt;=4999.99,"1",IF(I20&lt;=5999.99,"2",IF(I20&lt;=6999.99,"3",IF(I20&lt;=7999.99,"4",IF(I20&lt;=8999.99,"5",IF(I20&lt;=9999.99,"6",IF(I20&gt;=9999.99,"0",0))))))))</f>
        <v>0</v>
      </c>
      <c r="O20" s="74" t="str">
        <f aca="false">IF(I20&lt;=9999.99,"0",IF(I20&lt;=10999.99,"7",IF(I20&lt;=11999.99,"8",IF(I20&lt;=12999.99,"9",IF(I20&lt;=13999.99,"10",IF(I20&lt;=14999.99,"11",IF(I20&gt;=14999.99,"0")))))))</f>
        <v>0</v>
      </c>
      <c r="P20" s="74" t="str">
        <f aca="false">IF(I20&lt;=14999.99,"0",IF(I20&gt;=15000,"12"))</f>
        <v>0</v>
      </c>
      <c r="Q20" s="74" t="n">
        <f aca="false">IF(J20=1,"50",IF(J20=2,"62.50",IF(J20=3,"75",IF(J20=4,"87.5",IF(J20=5,"100",IF(J20=6,"112.50",IF(J20=7,"125",IF(J20=8,"137.50",0))))))))</f>
        <v>0</v>
      </c>
      <c r="R20" s="74" t="n">
        <f aca="false">IF(J20=9,"150",IF(J20=10,"162.50",IF(J20=11,"175",IF(J20=12,"187.50",0))))</f>
        <v>0</v>
      </c>
      <c r="S20" s="27" t="str">
        <f aca="false">IF(I20=0,"0",IF(I20&lt;=4999.99,"1",IF(I20&lt;=5999.99,"2",IF(I20&lt;=6999.99,"3",IF(I20&lt;=7999.99,"4",IF(I20&lt;=8999.99,"5",IF(I20&lt;=9999.99,"6",IF(I20&gt;=9999.99,"0",0))))))))</f>
        <v>0</v>
      </c>
      <c r="T20" s="27" t="str">
        <f aca="false">IF(I20&lt;=9999.99,"0",IF(I20&lt;=10999.99,"7",IF(I20&lt;=11999.99,"8",IF(I20&lt;=12999.99,"9",IF(I20&lt;=13999.99,"10",IF(I20&lt;=14999.99,"11",IF(I20&gt;=14999.99,"0")))))))</f>
        <v>0</v>
      </c>
      <c r="U20" s="27" t="str">
        <f aca="false">IF(I20&lt;=14999.99,"0",IF(I20&lt;=15999.99,"12",IF(I20&lt;=16999.99,"13",IF(I20&lt;=17999.99,"14",IF(I20&lt;=18999.99,"15",IF(I20&lt;=19999.99,"16",IF(I20&gt;=20000,"17")))))))</f>
        <v>0</v>
      </c>
      <c r="V20" s="125" t="n">
        <f aca="false">IF(J20=1,"50",IF(J20=2,"62.50",IF(J20=3,"75",IF(J20=4,"87.5",IF(J20=5,"100",IF(J20=6,"112.50",IF(J20=7,"125",IF(J20=8,"137.50",0))))))))</f>
        <v>0</v>
      </c>
      <c r="W20" s="125" t="n">
        <f aca="false">IF(J20=9,"150",IF(J20=10,"162.50",IF(J20=11,"175",IF(J20=12,"187.50",IF(J20=13,"200",IF(J20=14,"212.5",IF(J20=15,"225",IF(J20=16,"237.5",0))))))))</f>
        <v>0</v>
      </c>
      <c r="X20" s="125" t="n">
        <f aca="false">IF(J20=17,"250",0)</f>
        <v>0</v>
      </c>
      <c r="Y20" s="27" t="str">
        <f aca="false">IF(I20=0,"0",IF(I20&lt;=4999.99,"1",IF(I20&lt;=5999.99,"2",IF(I20&lt;=6999.99,"3",IF(I20&lt;=7999.99,"4",IF(I20&lt;=8999.99,"5",IF(I20&lt;=9999.99,"6",IF(I20&gt;=9999.99,"0",0))))))))</f>
        <v>0</v>
      </c>
      <c r="Z20" s="27" t="str">
        <f aca="false">IF(I20&lt;=9999.99,"0",IF(I20&lt;=10999.99,"7",IF(I20&lt;=11999.99,"8",IF(I20&lt;=12999.99,"9",IF(I20&lt;=13999.99,"10",IF(I20&lt;=14999.99,"11",IF(I20&gt;=14999.99,"0")))))))</f>
        <v>0</v>
      </c>
      <c r="AA20" s="27" t="str">
        <f aca="false">IF(I20&lt;=14999.99,"0",IF(I20&lt;=15999.99,"12",IF(I20&lt;=16999.99,"13",IF(I20&lt;=17999.99,"14",IF(I20&lt;=18999.99,"15",IF(I20&lt;=19999.99,"16",IF(I20&lt;=20999.99,"17",IF(I20&gt;=20999.99,"0"))))))))</f>
        <v>0</v>
      </c>
      <c r="AB20" s="27" t="str">
        <f aca="false">IF(I20&lt;=20999.99,"0",IF(I20&lt;=21999.99,"18",IF(I20&lt;=22999.99,"19",IF(I20&lt;=23999.99,"20",IF(I20&lt;=24999.99,"21",IF(I20&gt;=25000,"22"))))))</f>
        <v>0</v>
      </c>
      <c r="AC20" s="125" t="n">
        <f aca="false">IF(J20=1,"50",IF(J20=2,"62.50",IF(J20=3,"75",IF(J20=4,"87.5",IF(J20=5,"100",IF(J20=6,"112.50",IF(J20=7,"125",IF(J20=8,"137.50",0))))))))</f>
        <v>0</v>
      </c>
      <c r="AD20" s="125" t="n">
        <f aca="false">IF(J20=9,"150",IF(J20=10,"162.50",IF(J20=11,"175",IF(J20=12,"187.50",IF(J20=13,"200",IF(J20=14,"212.5",IF(J20=15,"225",IF(J20=16,"237.5",0))))))))</f>
        <v>0</v>
      </c>
      <c r="AE20" s="125" t="n">
        <f aca="false">IF(J20=17,"250",IF(J20=18,"262.50",IF(J20=19,"275",IF(J20=20,"287.50",IF(J20=21,"300",IF(J20=22,"312.50",0))))))</f>
        <v>0</v>
      </c>
      <c r="AF20" s="27" t="str">
        <f aca="false">IF(I20=0,"0",IF(I20&lt;=4999.99,"1",IF(I20&lt;=5999.99,"2",IF(I20&lt;=6999.99,"3",IF(I20&lt;=7999.99,"4",IF(I20&lt;=8999.99,"5",IF(I20&lt;=9999.99,"6",IF(I20&gt;=9999.99,"0",0))))))))</f>
        <v>0</v>
      </c>
      <c r="AG20" s="27" t="str">
        <f aca="false">IF(I20&lt;=9999.99,"0",IF(I20&lt;=10999.99,"7",IF(I20&lt;=11999.99,"8",IF(I20&lt;=12999.99,"9",IF(I20&lt;=13999.99,"10",IF(I20&lt;=14999.99,"11",IF(I20&gt;=14999.99,"0")))))))</f>
        <v>0</v>
      </c>
      <c r="AH20" s="27" t="str">
        <f aca="false">IF(I20&lt;=14999.99,"0",IF(I20&lt;=15999.99,"12",IF(I20&lt;=16999.99,"13",IF(I20&lt;=17999.99,"14",IF(I20&lt;=18999.99,"15",IF(I20&lt;=19999.99,"16",IF(I20&lt;=20999.99,"17",IF(I20&gt;=20999.99,"0"))))))))</f>
        <v>0</v>
      </c>
      <c r="AI20" s="27" t="str">
        <f aca="false">IF(I20&lt;=20999.99,"0",IF(I20&lt;=21999.99,"18",IF(I20&lt;=22999.99,"19",IF(I20&lt;=23999.99,"20",IF(I20&lt;=24999.99,"21",IF(I20&lt;=25999.99,"22",IF(I20&lt;=26999.99,"23",IF(I20&gt;=26999.99,"0"))))))))</f>
        <v>0</v>
      </c>
      <c r="AJ20" s="27" t="str">
        <f aca="false">IF(I20&lt;=26999.99,"0",IF(I20&lt;=27999.99,"24",IF(I20&lt;=28999.99,"25",IF(I20&lt;=29999.99,"26",IF(I20&gt;=30000,"27")))))</f>
        <v>0</v>
      </c>
      <c r="AK20" s="125" t="n">
        <f aca="false">IF(J20=1,"50",IF(J20=2,"62.50",IF(J20=3,"75",IF(J20=4,"87.5",IF(J20=5,"100",IF(J20=6,"112.50",IF(J20=7,"125",IF(J20=8,"137.50",0))))))))</f>
        <v>0</v>
      </c>
      <c r="AL20" s="125" t="n">
        <f aca="false">IF(J20=9,"150",IF(J20=10,"162.50",IF(J20=11,"175",IF(J20=12,"187.50",IF(J20=13,"200",IF(J20=14,"212.5",IF(J20=15,"225",IF(J20=16,"237.5",0))))))))</f>
        <v>0</v>
      </c>
      <c r="AM20" s="125" t="n">
        <f aca="false">IF(J20=17,"250",IF(J20=18,"262.50",IF(J20=19,"275",IF(J20=20,"287.50",IF(J20=21,"300",IF(J20=22,"312.50",IF(J20=23,"325",IF(J20=24,"337.50",0))))))))</f>
        <v>0</v>
      </c>
      <c r="AN20" s="125" t="n">
        <f aca="false">IF(J20=25,"350",IF(J20=26,"362.50",IF(J20=27,"375",0)))</f>
        <v>0</v>
      </c>
      <c r="AO20" s="27" t="str">
        <f aca="false">IF(I20=0,"0",IF(I20&lt;=7999.99,"1",IF(I20&lt;=8999.99,"2",IF(I20&lt;=9999.99,"3",IF(I20&lt;=10999.99,"4",IF(I20&lt;=11999.99,"5",IF(I20&lt;=12999.99,"6",IF(I20&gt;=12999.99,"0",0))))))))</f>
        <v>0</v>
      </c>
      <c r="AP20" s="27" t="str">
        <f aca="false">IF(I20&lt;=12999.99,"0",IF(I20&lt;=13999.99,"7",IF(I20&lt;=14999.99,"8",IF(I20&lt;=15999.99,"9",IF(I20&lt;=16999.99,"10",IF(I20&lt;=17999.99,"11",IF(I20&gt;=17999.99,"0")))))))</f>
        <v>0</v>
      </c>
      <c r="AQ20" s="27" t="str">
        <f aca="false">IF(I20&lt;=17999.99,"0",IF(I20&lt;=18999.99,"12",IF(I20&lt;=19999.99,"13",IF(I20&lt;=20999.99,"14",IF(I20&lt;=21999.99,"15",IF(I20&lt;=22999.99,"16",IF(I20&lt;=23999.99,"17",IF(I20&gt;=23999.99,"0"))))))))</f>
        <v>0</v>
      </c>
      <c r="AR20" s="27" t="str">
        <f aca="false">IF(I20&lt;=23999.99,"0",IF(I20&lt;=24999.99,"18",IF(I20&lt;=25999.99,"19",IF(I20&lt;=26999.99,"20",IF(I20&lt;=27999.99,"21",IF(I20&lt;=28999.99,"22",IF(I20&lt;=29999.99,"23",IF(I20&gt;=29999.99,"0"))))))))</f>
        <v>0</v>
      </c>
      <c r="AS20" s="27" t="str">
        <f aca="false">IF(I20&lt;=29999.99,"0",IF(I20&lt;=30999.99,"24",IF(I20&lt;=31999.99,"25",IF(I20&lt;=32999.99,"26",IF(I20&lt;=33999.99,"27",IF(I20&lt;=34999.99,"28",IF(I20&gt;=35000,"29")))))))</f>
        <v>0</v>
      </c>
      <c r="AT20" s="27" t="n">
        <f aca="false">IF(J20=1,"87.50",IF(J20=2,"100",IF(J20=3,"112.50",IF(J20=4,"125",IF(J20=5,"137.50",IF(J20=6,"150",IF(J20=7,"162.50",IF(J20=8,"175",0))))))))</f>
        <v>0</v>
      </c>
      <c r="AU20" s="27" t="n">
        <f aca="false">IF(J20=9,"187.50",IF(J20=10,"200",IF(J20=11,"212.50",IF(J20=12,"225",IF(J20=13,"237.50",IF(J20=14,"250",IF(J20=15,"262.50",IF(J20=16,"275",0))))))))</f>
        <v>0</v>
      </c>
      <c r="AV20" s="27" t="n">
        <f aca="false">IF(J20=17,"287.50",IF(J20=18,"300",IF(J20=19,"312.50",IF(J20=20,"325",IF(J20=21,"337.50",IF(J20=22,"350",IF(J20=23,"362.50",IF(J20=24,"375",0))))))))</f>
        <v>0</v>
      </c>
      <c r="AW20" s="27" t="n">
        <f aca="false">IF(J20=25,"387.50",IF(J20=26,"400",IF(J20=27,"412.50",IF(J20=28,"425",IF(J20=29,"437.50",0)))))</f>
        <v>0</v>
      </c>
      <c r="AX20" s="27" t="str">
        <f aca="false">IF(I20=0,"0",IF(I20&lt;=8999.99,"1",IF(I20&lt;=9999.99,"2",IF(I20&lt;=10999.99,"3",IF(I20&lt;=11999.99,"4",IF(I20&lt;=12999.99,"5",IF(I20&lt;=13999.99,"6",IF(I20&gt;=13999.99,"0",0))))))))</f>
        <v>0</v>
      </c>
      <c r="AY20" s="27" t="str">
        <f aca="false">IF(I20&lt;=13999.99,"0",IF(I20&lt;=14999.99,"7",IF(I20&lt;=15999.99,"8",IF(I20&lt;=16999.99,"9",IF(I20&lt;=17999.99,"10",IF(I20&lt;=18999.99,"11",IF(I20&gt;=18999.99,"0")))))))</f>
        <v>0</v>
      </c>
      <c r="AZ20" s="27" t="str">
        <f aca="false">IF(I20&lt;=18999.99,"0",IF(I20&lt;=19999.99,"12",IF(I20&lt;=20999.99,"13",IF(I20&lt;=21999.99,"14",IF(I20&lt;=22999.99,"15",IF(I20&lt;=23999.99,"16",IF(I20&lt;=24999.99,"17",IF(I20&gt;=24999.99,"0"))))))))</f>
        <v>0</v>
      </c>
      <c r="BA20" s="27" t="str">
        <f aca="false">IF(I20&lt;=24999.99,"0",IF(I20&lt;=25999.99,"18",IF(I20&lt;=26999.99,"19",IF(I20&lt;=27999.99,"20",IF(I20&lt;=28999.99,"21",IF(I20&lt;=29999.99,"22",IF(I20&lt;=30999.99,"23",IF(I20&gt;=30999.99,"0"))))))))</f>
        <v>0</v>
      </c>
      <c r="BB20" s="27" t="str">
        <f aca="false">IF(I20&lt;=30999.99,"0",IF(I20&lt;=31999.99,"24",IF(I20&lt;=32999.99,"25",IF(I20&lt;=33999.99,"26",IF(I20&lt;=34999.99,"27",IF(I20&gt;=35000,"28"))))))</f>
        <v>0</v>
      </c>
      <c r="BC20" s="27" t="n">
        <f aca="false">IF(J20=1,"100",IF(J20=2,"112.50",IF(J20=3,"125",IF(J20=4,"137.50",IF(J20=5,"150",IF(J20=6,"162.50",IF(J20=7,"175",IF(J20=8,"187.50",0))))))))</f>
        <v>0</v>
      </c>
      <c r="BD20" s="27" t="n">
        <f aca="false">IF(J20=9,"200",IF(J20=10,"212.50",IF(J20=11,"225",IF(J20=12,"237.50",IF(J20=13,"250",IF(J20=14,"262.50",IF(J20=15,"275",IF(J20=16,"287.50",0))))))))</f>
        <v>0</v>
      </c>
      <c r="BE20" s="27" t="n">
        <f aca="false">IF(J20=17,"300",IF(J20=18,"312.50",IF(J20=19,"325",IF(J20=20,"337.50",IF(J20=21,"350",IF(J20=22,"362.50",IF(J20=23,"375",IF(J20=24,"387.50",0))))))))</f>
        <v>0</v>
      </c>
      <c r="BF20" s="27" t="n">
        <f aca="false">IF(J20=25,"400",IF(J20=26,"412.50",IF(J20=27,"425",IF(J20=28,"437.50",0))))</f>
        <v>0</v>
      </c>
      <c r="BG20" s="125" t="n">
        <f aca="false">IF(L20=2008,AK20+AL20+AM20+AN20,IF(L20=2009,AK20+AL20+AM20+AN20,IF(L20=2010,AK20+AL20+AM20+AN20,IF(L20=2011,AK20+AL20+AM20+AN20,IF(L20=2012,AK20+AL20+AM20+AN20,IF(L20=2013,AT20+AU20+AV20+AW20,IF(L20=2014,BC20+BD20+BE20+BF20,IF(L20=2015,BC20+BD20+BE20+BF20))))))))</f>
        <v>0</v>
      </c>
      <c r="BH20" s="125" t="n">
        <f aca="false">IF(L20=2008,AK20+AL20+AM20+AN20,IF(L20=2009,AK20+AL20+AM20+AN20,IF(L20=2010,AK20+AL20+AM20+AN20,IF(L20=2011,AK20+AL20+AM20+AN20,IF(L20=2012,AK20+AL20+AM20+AN20,IF(L20=2013,AT20+AU20+AV20+AW20,IF(L20=2014,BC20+BD20+BE20+BF20,IF(L20=2015,BC20+BD20+BE20+BF20))))))))</f>
        <v>0</v>
      </c>
      <c r="BI20" s="126" t="n">
        <f aca="false">IF(BH20=0,0,IF(BH20&lt;=M20,BH20,IF(BH20&gt;=M20,M20)))</f>
        <v>0</v>
      </c>
      <c r="BJ20" s="127" t="n">
        <f aca="false">CODE(B20:B20)</f>
        <v>0</v>
      </c>
      <c r="BK20" s="127" t="n">
        <f aca="false">ISBLANK(E20)</f>
        <v>1</v>
      </c>
      <c r="BL20" s="127" t="n">
        <f aca="false">CODE(E20)</f>
        <v>0</v>
      </c>
      <c r="BM20" s="127" t="str">
        <f aca="false">CHAR(BL20)</f>
        <v>_x0000_</v>
      </c>
      <c r="BN20" s="128" t="n">
        <f aca="false">ISBLANK(F20)</f>
        <v>1</v>
      </c>
      <c r="BO20" s="129" t="n">
        <f aca="false">ISBLANK(BS20)</f>
        <v>1</v>
      </c>
      <c r="BP20" s="130" t="n">
        <f aca="false">ISBLANK(BT20)</f>
        <v>1</v>
      </c>
      <c r="BQ20" s="130" t="n">
        <f aca="false">ISBLANK(G20)</f>
        <v>1</v>
      </c>
      <c r="BR20" s="130" t="str">
        <f aca="false">TEXT(BT20,"MMDDYYYY")</f>
        <v>12301899</v>
      </c>
      <c r="BS20" s="131"/>
      <c r="BT20" s="132"/>
      <c r="BU20" s="0"/>
    </row>
  </sheetData>
  <sheetProtection sheet="true" password="b816" selectLockedCells="true" sort="false"/>
  <mergeCells count="62">
    <mergeCell ref="B1:D1"/>
    <mergeCell ref="G1:H1"/>
    <mergeCell ref="I1:J1"/>
    <mergeCell ref="K1:L1"/>
    <mergeCell ref="N1:O1"/>
    <mergeCell ref="P1:Q1"/>
    <mergeCell ref="R1:S1"/>
    <mergeCell ref="BG1:BH1"/>
    <mergeCell ref="BS1:BT1"/>
    <mergeCell ref="B2:D2"/>
    <mergeCell ref="G2:H2"/>
    <mergeCell ref="I2:J2"/>
    <mergeCell ref="N2:O2"/>
    <mergeCell ref="P2:Q2"/>
    <mergeCell ref="R2:S2"/>
    <mergeCell ref="BG2:BH2"/>
    <mergeCell ref="BS2:BT2"/>
    <mergeCell ref="B3:C3"/>
    <mergeCell ref="G3:H3"/>
    <mergeCell ref="I3:J3"/>
    <mergeCell ref="N3:O3"/>
    <mergeCell ref="P3:Q3"/>
    <mergeCell ref="R3:S3"/>
    <mergeCell ref="Y3:Z3"/>
    <mergeCell ref="BG3:BH3"/>
    <mergeCell ref="BS3:BT3"/>
    <mergeCell ref="B4:C4"/>
    <mergeCell ref="G4:H4"/>
    <mergeCell ref="I4:J4"/>
    <mergeCell ref="N4:O4"/>
    <mergeCell ref="P4:Q4"/>
    <mergeCell ref="R4:S4"/>
    <mergeCell ref="Y4:Z4"/>
    <mergeCell ref="BG4:BH4"/>
    <mergeCell ref="BS4:BT4"/>
    <mergeCell ref="B5:C5"/>
    <mergeCell ref="G5:H5"/>
    <mergeCell ref="I5:J5"/>
    <mergeCell ref="P5:Q5"/>
    <mergeCell ref="R5:S5"/>
    <mergeCell ref="BG5:BH5"/>
    <mergeCell ref="BS5:BT5"/>
    <mergeCell ref="B6:C6"/>
    <mergeCell ref="G6:H6"/>
    <mergeCell ref="I6:J6"/>
    <mergeCell ref="P6:Q6"/>
    <mergeCell ref="R6:S6"/>
    <mergeCell ref="BG6:BH6"/>
    <mergeCell ref="BS6:BT6"/>
    <mergeCell ref="B7:C7"/>
    <mergeCell ref="F7:F8"/>
    <mergeCell ref="G7:G8"/>
    <mergeCell ref="H7:H8"/>
    <mergeCell ref="I7:I8"/>
    <mergeCell ref="J7:J8"/>
    <mergeCell ref="BG7:BG8"/>
    <mergeCell ref="BH7:BH8"/>
    <mergeCell ref="BI7:BI8"/>
    <mergeCell ref="BS7:BS8"/>
    <mergeCell ref="BT7:BT8"/>
    <mergeCell ref="BJ8:BN8"/>
    <mergeCell ref="BO8:BP8"/>
  </mergeCells>
  <dataValidations count="18">
    <dataValidation allowBlank="true" error="NE = NO EARNINGS&#10;NH = NEWLY HIRED&#10;SP = SEPARATED" errorTitle="INVALID REMARKS" operator="equal" prompt="NE = NO EARNINGS&#10;NH = NEWLY HIRED&#10;SP = SEPARATED" promptTitle="REMARKS" showDropDown="false" showErrorMessage="true" showInputMessage="true" sqref="BS9:BS20" type="list">
      <formula1>$BP$1:$BP$4</formula1>
      <formula2>0</formula2>
    </dataValidation>
    <dataValidation allowBlank="true" operator="between" prompt="DBM ALLOTMENT" promptTitle="FOR GOVERNMENT AGENCIES ONLY" showDropDown="false" showErrorMessage="true" showInputMessage="true" sqref="BS3:BT3" type="none">
      <formula1>0</formula1>
      <formula2>0</formula2>
    </dataValidation>
    <dataValidation allowBlank="true" operator="between" prompt="ARREARS TO BE PAID" promptTitle="FOR GOVERNMENT AGENCIES ONLY" showDropDown="false" showErrorMessage="true" showInputMessage="true" sqref="BS4:BT4" type="none">
      <formula1>0</formula1>
      <formula2>0</formula2>
    </dataValidation>
    <dataValidation allowBlank="true" operator="between" prompt="TOTAL PS + DBM ALLOTMENT" promptTitle="FOR GOVERNMENT AGENCIES ONLY" showDropDown="false" showErrorMessage="true" showInputMessage="true" sqref="BS6:BT6" type="none">
      <formula1>0</formula1>
      <formula2>0</formula2>
    </dataValidation>
    <dataValidation allowBlank="true" errorTitle="INVALID EMPLOYER TYPE" operator="between" prompt="PRIVATE&#10;GOVERNMENT&#10;HOUSEHOLD" promptTitle="EMPLOYER TYPE" showDropDown="false" showErrorMessage="true" showInputMessage="true" sqref="E3" type="list">
      <formula1>$V$3:$V$5</formula1>
      <formula2>0</formula2>
    </dataValidation>
    <dataValidation allowBlank="true" error="1   = JAN&#10;2   = FEB&#10;3   = MAR&#10;4   = APR&#10;5   = MAY&#10;6   = JUN&#10;7   = JUL&#10;8   = AUG&#10;9   = SEP&#10;10 = OCT&#10;11 = NOV&#10;12 = DEC" errorTitle="MONTH COVERAGE INVALID" operator="between" prompt="1   = JAN&#10;2   = FEB&#10;3   = MAR&#10;4   = APR&#10;5   = MAY&#10;6   = JUN&#10;7   = JUL&#10;8   = AUG&#10;9   = SEP&#10;10 = OCT&#10;11 = NOV&#10;12 = DEC" promptTitle="MONTH COVERAGE" showDropDown="false" showErrorMessage="true" showInputMessage="true" sqref="E5" type="list">
      <formula1>$A$9:$A$20</formula1>
      <formula2>0</formula2>
    </dataValidation>
    <dataValidation allowBlank="true" error="R = REGULAR&#10;A = ADDITIONAL&#10;" errorTitle="INVALID REPORT TYPE" operator="equal" prompt="R = REGULAR REPORT&#10;A = ADDITIONAL REPORT" promptTitle="REPORT TYPE" showDropDown="false" showErrorMessage="true" showInputMessage="true" sqref="E6" type="list">
      <formula1>$U$1:$V$1</formula1>
      <formula2>0</formula2>
    </dataValidation>
    <dataValidation allowBlank="true" errorTitle="INVALID NUMBER" operator="lessThanOrEqual" promptTitle="PHILHEALTH EMPLOYER NUMBER" showDropDown="false" showErrorMessage="true" showInputMessage="true" sqref="B3:C3" type="textLength">
      <formula1>12</formula1>
      <formula2>0</formula2>
    </dataValidation>
    <dataValidation allowBlank="true" error="PHILHEALTH NUMBER IS 12 DIGITS&#10;IF MEMBER NO PHILHEALTH NUMBER AVAILABLE YET USE SSS NUMBER AND INDICATE MIDDLENAME OF MEMBER" errorTitle="INVALID PHILHEALTH NUMBER" operator="equal" prompt="NO DASHES PLEASE&#10;EX. 031234567890" promptTitle="PHILHEALTH IDENTIFICATION NUMBER" showDropDown="false" showErrorMessage="true" showInputMessage="true" sqref="F9:F20" type="textLength">
      <formula1>12</formula1>
      <formula2>0</formula2>
    </dataValidation>
    <dataValidation allowBlank="true" error="2008&#10;2009&#10;2010&#10;2011&#10;2012&#10;2013&#10;2014&#10;2015" errorTitle="INVALID YEAR COVERAGE" operator="between" prompt="2008&#10;2009&#10;2010&#10;2011&#10;2012&#10;2013&#10;2014&#10;2015" promptTitle="YEAR COVERAGE" showDropDown="false" showErrorMessage="true" showInputMessage="true" sqref="E4" type="list">
      <formula1>$AA$2:$AH$2</formula1>
      <formula2>0</formula2>
    </dataValidation>
    <dataValidation allowBlank="true" error="SALARY SHOULD BE GREATER THAN ZERO&#10;IF NO SALARY LEAVE IT BLANK" errorTitle="SALARY ERROR" operator="greaterThan" showDropDown="false" showErrorMessage="true" showInputMessage="false" sqref="I10:I20" type="decimal">
      <formula1>0</formula1>
      <formula2>0</formula2>
    </dataValidation>
    <dataValidation allowBlank="true" operator="between" prompt="JR&#10;SR&#10;III&#10;IV" promptTitle="SUFFIX" showDropDown="false" showErrorMessage="true" showInputMessage="true" sqref="C9:C20" type="none">
      <formula1>0</formula1>
      <formula2>0</formula2>
    </dataValidation>
    <dataValidation allowBlank="true" error="SALARY SHOULD BE GREATER THAN ZERO&#10;IF NO SALARY LEAVE IT BLANK " errorTitle="SALARY ERROR" operator="greaterThan" showDropDown="false" showErrorMessage="true" showInputMessage="false" sqref="I9" type="decimal">
      <formula1>0</formula1>
      <formula2>0</formula2>
    </dataValidation>
    <dataValidation allowBlank="true" error="PLEASE INDICATE IF M OR F" errorTitle="INVALID CHARACTER" operator="equal" prompt="M FOR MALE F FOR FEMALE" promptTitle="SEX" showDropDown="false" showErrorMessage="true" showInputMessage="true" sqref="H9:H20" type="list">
      <formula1>$W$1:$X$1</formula1>
      <formula2>0</formula2>
    </dataValidation>
    <dataValidation allowBlank="true" operator="between" showDropDown="false" showErrorMessage="true" showInputMessage="false" sqref="G6:H6" type="none">
      <formula1>0</formula1>
      <formula2>0</formula2>
    </dataValidation>
    <dataValidation allowBlank="true" error="PLEASE INPUT A VALID BIRTHDAY MM/DD/YYYY" errorTitle="INVALID BIRTHDAY" operator="lessThan" prompt="PLEASE INPUT A VALID BIRTHDAY MM/DD/YYYY" promptTitle="BIRTHDAY" showDropDown="false" showErrorMessage="true" showInputMessage="true" sqref="G9:G20" type="date">
      <formula1>TODAY()</formula1>
      <formula2>0</formula2>
    </dataValidation>
    <dataValidation allowBlank="true" operator="between" prompt="DBM ALLOTMENT&#10;" promptTitle="FOR GOVERNMENT AGENCIES ONLY" showDropDown="false" showErrorMessage="true" showInputMessage="true" sqref="G3:H3" type="none">
      <formula1>0</formula1>
      <formula2>0</formula2>
    </dataValidation>
    <dataValidation allowBlank="true" error="VALID DATES:&#10;1/1/2008 TO 12/31/2015" errorTitle="INVALID DATE FORMAT" operator="between" prompt="MM/DD/YYYY&#10;MM-DD-YYYY" promptTitle="DATE FORMAT" showDropDown="false" showErrorMessage="true" showInputMessage="true" sqref="BT9:BT20" type="date">
      <formula1>39448</formula1>
      <formula2>42369</formula2>
    </dataValidation>
  </dataValidations>
  <hyperlinks>
    <hyperlink ref="BU2" location="RF1s!A1" display="PRINT OUT RF1"/>
    <hyperlink ref="BU3" location="TXT!A1" display="SAVE TXT"/>
    <hyperlink ref="BU4" location="RF1sa!A1" display="PRINT OUT RF1a"/>
    <hyperlink ref="BU5" location="TXTa!A1" display="SAVE TXTa"/>
  </hyperlinks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L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1.25" zeroHeight="false" outlineLevelRow="0" outlineLevelCol="0"/>
  <cols>
    <col collapsed="false" customWidth="true" hidden="false" outlineLevel="0" max="1" min="1" style="133" width="12.69"/>
    <col collapsed="false" customWidth="true" hidden="false" outlineLevel="0" max="3" min="2" style="133" width="30.67"/>
    <col collapsed="false" customWidth="true" hidden="false" outlineLevel="0" max="4" min="4" style="133" width="1.7"/>
    <col collapsed="false" customWidth="true" hidden="false" outlineLevel="0" max="5" min="5" style="134" width="8.69"/>
    <col collapsed="false" customWidth="true" hidden="false" outlineLevel="0" max="11" min="6" style="135" width="6.69"/>
    <col collapsed="false" customWidth="true" hidden="false" outlineLevel="0" max="12" min="12" style="133" width="10.69"/>
    <col collapsed="false" customWidth="true" hidden="false" outlineLevel="0" max="257" min="13" style="136" width="9.13"/>
    <col collapsed="false" customWidth="true" hidden="false" outlineLevel="0" max="1025" min="258" style="0" width="9.13"/>
  </cols>
  <sheetData>
    <row r="1" customFormat="false" ht="11.25" hidden="false" customHeight="false" outlineLevel="0" collapsed="false">
      <c r="A1" s="137" t="s">
        <v>84</v>
      </c>
      <c r="B1" s="137"/>
      <c r="C1" s="137"/>
      <c r="D1" s="137"/>
      <c r="E1" s="137"/>
      <c r="F1" s="137"/>
      <c r="G1" s="137"/>
      <c r="H1" s="137"/>
      <c r="I1" s="137"/>
      <c r="J1" s="137"/>
      <c r="K1" s="137"/>
      <c r="L1" s="137"/>
    </row>
    <row r="2" customFormat="false" ht="11.25" hidden="false" customHeight="false" outlineLevel="0" collapsed="false">
      <c r="A2" s="138" t="str">
        <f aca="false">UPPER(DATA!B1)</f>
        <v/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</row>
    <row r="3" customFormat="false" ht="11.25" hidden="false" customHeight="false" outlineLevel="0" collapsed="false">
      <c r="A3" s="138" t="str">
        <f aca="false">UPPER(DATA!B2)</f>
        <v/>
      </c>
      <c r="B3" s="138"/>
      <c r="C3" s="138"/>
      <c r="D3" s="138"/>
      <c r="E3" s="138"/>
      <c r="F3" s="138"/>
      <c r="G3" s="138"/>
      <c r="H3" s="138"/>
      <c r="I3" s="138"/>
      <c r="J3" s="138"/>
      <c r="K3" s="138"/>
      <c r="L3" s="138"/>
    </row>
    <row r="4" customFormat="false" ht="11.25" hidden="false" customHeight="false" outlineLevel="0" collapsed="false">
      <c r="A4" s="139" t="n">
        <f aca="false">DATA!B3</f>
        <v>0</v>
      </c>
      <c r="B4" s="138" t="str">
        <f aca="false">CONCATENATE(DATA!K2,DATA!L9,DATA!E6)</f>
        <v>42015R</v>
      </c>
      <c r="C4" s="138"/>
      <c r="D4" s="138"/>
      <c r="E4" s="138"/>
      <c r="F4" s="138"/>
      <c r="G4" s="138"/>
      <c r="H4" s="138"/>
      <c r="I4" s="138"/>
      <c r="J4" s="138"/>
      <c r="K4" s="138"/>
      <c r="L4" s="138"/>
    </row>
    <row r="5" customFormat="false" ht="11.25" hidden="false" customHeight="false" outlineLevel="0" collapsed="false">
      <c r="A5" s="137" t="s">
        <v>85</v>
      </c>
      <c r="B5" s="137"/>
      <c r="C5" s="137"/>
      <c r="D5" s="137"/>
      <c r="E5" s="137"/>
      <c r="F5" s="137"/>
      <c r="G5" s="137"/>
      <c r="H5" s="137"/>
      <c r="I5" s="137"/>
      <c r="J5" s="137"/>
      <c r="K5" s="137"/>
      <c r="L5" s="137"/>
    </row>
    <row r="6" customFormat="false" ht="11.25" hidden="false" customHeight="false" outlineLevel="0" collapsed="false">
      <c r="A6" s="134" t="str">
        <f aca="false">IF(DATA!BN9=FALSE(),DATA!F9,IF(DATA!BN9=TRUE()," "))</f>
        <v> </v>
      </c>
      <c r="B6" s="140" t="str">
        <f aca="false">CONCATENATE(UPPER(DATA!B9)," ",UPPER(DATA!C9))</f>
        <v> </v>
      </c>
      <c r="C6" s="140" t="str">
        <f aca="false">UPPER(DATA!D9)</f>
        <v/>
      </c>
      <c r="D6" s="141" t="str">
        <f aca="false">UPPER(IF(DATA!BK9=TRUE(),"  ",IF(DATA!BK9=FALSE(),DATA!BM9)))</f>
        <v>  </v>
      </c>
      <c r="E6" s="134" t="n">
        <f aca="false">DATA!I9*100</f>
        <v>0</v>
      </c>
      <c r="F6" s="135" t="n">
        <f aca="false">IF(DATA!BG9=0,0,IF(DATA!BG9&gt;0,DATA!BG9*100))</f>
        <v>0</v>
      </c>
      <c r="G6" s="135" t="n">
        <f aca="false">IF(DATA!BH9=0,0,IF(DATA!BH9&gt;0,DATA!BH9*100))</f>
        <v>0</v>
      </c>
      <c r="H6" s="135" t="n">
        <v>0</v>
      </c>
      <c r="I6" s="135" t="n">
        <v>0</v>
      </c>
      <c r="J6" s="135" t="n">
        <v>0</v>
      </c>
      <c r="K6" s="135" t="n">
        <v>0</v>
      </c>
      <c r="L6" s="140" t="str">
        <f aca="false">UPPER(IF(DATA!BO9=TRUE(),"  ",IF(DATA!BO9=FALSE(),CONCATENATE(DATA!BS9,DATA!BR9))))</f>
        <v>  </v>
      </c>
    </row>
    <row r="7" customFormat="false" ht="11.25" hidden="false" customHeight="false" outlineLevel="0" collapsed="false">
      <c r="A7" s="134" t="str">
        <f aca="false">IF(DATA!BN10=FALSE(),DATA!F10,IF(DATA!BN10=TRUE()," "))</f>
        <v> </v>
      </c>
      <c r="B7" s="140" t="str">
        <f aca="false">CONCATENATE(UPPER(DATA!B10)," ",UPPER(DATA!C10))</f>
        <v> </v>
      </c>
      <c r="C7" s="140" t="str">
        <f aca="false">UPPER(DATA!D10)</f>
        <v/>
      </c>
      <c r="D7" s="141" t="str">
        <f aca="false">UPPER(IF(DATA!BK10=TRUE(),"  ",IF(DATA!BK10=FALSE(),DATA!BM10)))</f>
        <v>  </v>
      </c>
      <c r="E7" s="134" t="n">
        <f aca="false">DATA!I10*100</f>
        <v>0</v>
      </c>
      <c r="F7" s="135" t="n">
        <f aca="false">IF(DATA!BG10=0,0,IF(DATA!BG10&gt;0,DATA!BG10*100))</f>
        <v>0</v>
      </c>
      <c r="G7" s="135" t="n">
        <f aca="false">IF(DATA!BH10=0,0,IF(DATA!BH10&gt;0,DATA!BH10*100))</f>
        <v>0</v>
      </c>
      <c r="H7" s="135" t="n">
        <v>0</v>
      </c>
      <c r="I7" s="135" t="n">
        <v>0</v>
      </c>
      <c r="J7" s="135" t="n">
        <v>0</v>
      </c>
      <c r="K7" s="135" t="n">
        <v>0</v>
      </c>
      <c r="L7" s="140" t="str">
        <f aca="false">UPPER(IF(DATA!BO10=TRUE(),"  ",IF(DATA!BO10=FALSE(),CONCATENATE(DATA!BS10,DATA!BR10))))</f>
        <v>  </v>
      </c>
    </row>
    <row r="8" customFormat="false" ht="11.25" hidden="false" customHeight="false" outlineLevel="0" collapsed="false">
      <c r="A8" s="134" t="str">
        <f aca="false">IF(DATA!BN11=FALSE(),DATA!F11,IF(DATA!BN11=TRUE()," "))</f>
        <v> </v>
      </c>
      <c r="B8" s="140" t="str">
        <f aca="false">CONCATENATE(UPPER(DATA!B11)," ",UPPER(DATA!C11))</f>
        <v> </v>
      </c>
      <c r="C8" s="140" t="str">
        <f aca="false">UPPER(DATA!D11)</f>
        <v/>
      </c>
      <c r="D8" s="141" t="str">
        <f aca="false">UPPER(IF(DATA!BK11=TRUE(),"  ",IF(DATA!BK11=FALSE(),DATA!BM11)))</f>
        <v>  </v>
      </c>
      <c r="E8" s="134" t="n">
        <f aca="false">DATA!I11*100</f>
        <v>0</v>
      </c>
      <c r="F8" s="135" t="n">
        <f aca="false">IF(DATA!BG11=0,0,IF(DATA!BG11&gt;0,DATA!BG11*100))</f>
        <v>0</v>
      </c>
      <c r="G8" s="135" t="n">
        <f aca="false">IF(DATA!BH11=0,0,IF(DATA!BH11&gt;0,DATA!BH11*100))</f>
        <v>0</v>
      </c>
      <c r="H8" s="135" t="n">
        <v>0</v>
      </c>
      <c r="I8" s="135" t="n">
        <v>0</v>
      </c>
      <c r="J8" s="135" t="n">
        <v>0</v>
      </c>
      <c r="K8" s="135" t="n">
        <v>0</v>
      </c>
      <c r="L8" s="140" t="str">
        <f aca="false">UPPER(IF(DATA!BO11=TRUE(),"  ",IF(DATA!BO11=FALSE(),CONCATENATE(DATA!BS11,DATA!BR11))))</f>
        <v>  </v>
      </c>
    </row>
    <row r="9" customFormat="false" ht="11.25" hidden="false" customHeight="false" outlineLevel="0" collapsed="false">
      <c r="A9" s="134" t="str">
        <f aca="false">IF(DATA!BN12=FALSE(),DATA!F12,IF(DATA!BN12=TRUE()," "))</f>
        <v> </v>
      </c>
      <c r="B9" s="140" t="str">
        <f aca="false">CONCATENATE(UPPER(DATA!B12)," ",UPPER(DATA!C12))</f>
        <v> </v>
      </c>
      <c r="C9" s="140" t="str">
        <f aca="false">UPPER(DATA!D12)</f>
        <v/>
      </c>
      <c r="D9" s="141" t="str">
        <f aca="false">UPPER(IF(DATA!BK12=TRUE(),"  ",IF(DATA!BK12=FALSE(),DATA!BM12)))</f>
        <v>  </v>
      </c>
      <c r="E9" s="134" t="n">
        <f aca="false">DATA!I12*100</f>
        <v>0</v>
      </c>
      <c r="F9" s="135" t="n">
        <f aca="false">IF(DATA!BG12=0,0,IF(DATA!BG12&gt;0,DATA!BG12*100))</f>
        <v>0</v>
      </c>
      <c r="G9" s="135" t="n">
        <f aca="false">IF(DATA!BH12=0,0,IF(DATA!BH12&gt;0,DATA!BH12*100))</f>
        <v>0</v>
      </c>
      <c r="H9" s="135" t="n">
        <v>0</v>
      </c>
      <c r="I9" s="135" t="n">
        <v>0</v>
      </c>
      <c r="J9" s="135" t="n">
        <v>0</v>
      </c>
      <c r="K9" s="135" t="n">
        <v>0</v>
      </c>
      <c r="L9" s="140" t="str">
        <f aca="false">UPPER(IF(DATA!BO12=TRUE(),"  ",IF(DATA!BO12=FALSE(),CONCATENATE(DATA!BS12,DATA!BR12))))</f>
        <v>  </v>
      </c>
    </row>
    <row r="10" customFormat="false" ht="11.25" hidden="false" customHeight="false" outlineLevel="0" collapsed="false">
      <c r="A10" s="134" t="str">
        <f aca="false">IF(DATA!BN13=FALSE(),DATA!F13,IF(DATA!BN13=TRUE()," "))</f>
        <v> </v>
      </c>
      <c r="B10" s="140" t="str">
        <f aca="false">CONCATENATE(UPPER(DATA!B13)," ",UPPER(DATA!C13))</f>
        <v> </v>
      </c>
      <c r="C10" s="140" t="str">
        <f aca="false">UPPER(DATA!D13)</f>
        <v/>
      </c>
      <c r="D10" s="141" t="str">
        <f aca="false">UPPER(IF(DATA!BK13=TRUE(),"  ",IF(DATA!BK13=FALSE(),DATA!BM13)))</f>
        <v>  </v>
      </c>
      <c r="E10" s="134" t="n">
        <f aca="false">DATA!I13*100</f>
        <v>0</v>
      </c>
      <c r="F10" s="135" t="n">
        <f aca="false">IF(DATA!BG13=0,0,IF(DATA!BG13&gt;0,DATA!BG13*100))</f>
        <v>0</v>
      </c>
      <c r="G10" s="135" t="n">
        <f aca="false">IF(DATA!BH13=0,0,IF(DATA!BH13&gt;0,DATA!BH13*100))</f>
        <v>0</v>
      </c>
      <c r="H10" s="135" t="n">
        <v>0</v>
      </c>
      <c r="I10" s="135" t="n">
        <v>0</v>
      </c>
      <c r="J10" s="135" t="n">
        <v>0</v>
      </c>
      <c r="K10" s="135" t="n">
        <v>0</v>
      </c>
      <c r="L10" s="140" t="str">
        <f aca="false">UPPER(IF(DATA!BO13=TRUE(),"  ",IF(DATA!BO13=FALSE(),CONCATENATE(DATA!BS13,DATA!BR13))))</f>
        <v>  </v>
      </c>
    </row>
    <row r="11" customFormat="false" ht="11.25" hidden="false" customHeight="false" outlineLevel="0" collapsed="false">
      <c r="A11" s="134" t="str">
        <f aca="false">IF(DATA!BN14=FALSE(),DATA!F14,IF(DATA!BN14=TRUE()," "))</f>
        <v> </v>
      </c>
      <c r="B11" s="140" t="str">
        <f aca="false">CONCATENATE(UPPER(DATA!B14)," ",UPPER(DATA!C14))</f>
        <v> </v>
      </c>
      <c r="C11" s="140" t="str">
        <f aca="false">UPPER(DATA!D14)</f>
        <v/>
      </c>
      <c r="D11" s="141" t="str">
        <f aca="false">UPPER(IF(DATA!BK14=TRUE(),"  ",IF(DATA!BK14=FALSE(),DATA!BM14)))</f>
        <v>  </v>
      </c>
      <c r="E11" s="134" t="n">
        <f aca="false">DATA!I14*100</f>
        <v>0</v>
      </c>
      <c r="F11" s="135" t="n">
        <f aca="false">IF(DATA!BG14=0,0,IF(DATA!BG14&gt;0,DATA!BG14*100))</f>
        <v>0</v>
      </c>
      <c r="G11" s="135" t="n">
        <f aca="false">IF(DATA!BH14=0,0,IF(DATA!BH14&gt;0,DATA!BH14*100))</f>
        <v>0</v>
      </c>
      <c r="H11" s="135" t="n">
        <v>0</v>
      </c>
      <c r="I11" s="135" t="n">
        <v>0</v>
      </c>
      <c r="J11" s="135" t="n">
        <v>0</v>
      </c>
      <c r="K11" s="135" t="n">
        <v>0</v>
      </c>
      <c r="L11" s="140" t="str">
        <f aca="false">UPPER(IF(DATA!BO14=TRUE(),"  ",IF(DATA!BO14=FALSE(),CONCATENATE(DATA!BS14,DATA!BR14))))</f>
        <v>  </v>
      </c>
    </row>
    <row r="12" customFormat="false" ht="11.25" hidden="false" customHeight="false" outlineLevel="0" collapsed="false">
      <c r="A12" s="134" t="str">
        <f aca="false">IF(DATA!BN15=FALSE(),DATA!F15,IF(DATA!BN15=TRUE()," "))</f>
        <v> </v>
      </c>
      <c r="B12" s="140" t="str">
        <f aca="false">CONCATENATE(UPPER(DATA!B15)," ",UPPER(DATA!C15))</f>
        <v> </v>
      </c>
      <c r="C12" s="140" t="str">
        <f aca="false">UPPER(DATA!D15)</f>
        <v/>
      </c>
      <c r="D12" s="141" t="str">
        <f aca="false">UPPER(IF(DATA!BK15=TRUE(),"  ",IF(DATA!BK15=FALSE(),DATA!BM15)))</f>
        <v>  </v>
      </c>
      <c r="E12" s="134" t="n">
        <f aca="false">DATA!I15*100</f>
        <v>0</v>
      </c>
      <c r="F12" s="135" t="n">
        <f aca="false">IF(DATA!BG15=0,0,IF(DATA!BG15&gt;0,DATA!BG15*100))</f>
        <v>0</v>
      </c>
      <c r="G12" s="135" t="n">
        <f aca="false">IF(DATA!BH15=0,0,IF(DATA!BH15&gt;0,DATA!BH15*100))</f>
        <v>0</v>
      </c>
      <c r="H12" s="135" t="n">
        <v>0</v>
      </c>
      <c r="I12" s="135" t="n">
        <v>0</v>
      </c>
      <c r="J12" s="135" t="n">
        <v>0</v>
      </c>
      <c r="K12" s="135" t="n">
        <v>0</v>
      </c>
      <c r="L12" s="140" t="str">
        <f aca="false">UPPER(IF(DATA!BO15=TRUE(),"  ",IF(DATA!BO15=FALSE(),CONCATENATE(DATA!BS15,DATA!BR15))))</f>
        <v>  </v>
      </c>
    </row>
    <row r="13" customFormat="false" ht="11.25" hidden="false" customHeight="false" outlineLevel="0" collapsed="false">
      <c r="A13" s="134" t="str">
        <f aca="false">IF(DATA!BN16=FALSE(),DATA!F16,IF(DATA!BN16=TRUE()," "))</f>
        <v> </v>
      </c>
      <c r="B13" s="140" t="str">
        <f aca="false">CONCATENATE(UPPER(DATA!B16)," ",UPPER(DATA!C16))</f>
        <v> </v>
      </c>
      <c r="C13" s="140" t="str">
        <f aca="false">UPPER(DATA!D16)</f>
        <v/>
      </c>
      <c r="D13" s="141" t="str">
        <f aca="false">UPPER(IF(DATA!BK16=TRUE(),"  ",IF(DATA!BK16=FALSE(),DATA!BM16)))</f>
        <v>  </v>
      </c>
      <c r="E13" s="134" t="n">
        <f aca="false">DATA!I16*100</f>
        <v>0</v>
      </c>
      <c r="F13" s="135" t="n">
        <f aca="false">IF(DATA!BG16=0,0,IF(DATA!BG16&gt;0,DATA!BG16*100))</f>
        <v>0</v>
      </c>
      <c r="G13" s="135" t="n">
        <f aca="false">IF(DATA!BH16=0,0,IF(DATA!BH16&gt;0,DATA!BH16*100))</f>
        <v>0</v>
      </c>
      <c r="H13" s="135" t="n">
        <v>0</v>
      </c>
      <c r="I13" s="135" t="n">
        <v>0</v>
      </c>
      <c r="J13" s="135" t="n">
        <v>0</v>
      </c>
      <c r="K13" s="135" t="n">
        <v>0</v>
      </c>
      <c r="L13" s="140" t="str">
        <f aca="false">UPPER(IF(DATA!BO16=TRUE(),"  ",IF(DATA!BO16=FALSE(),CONCATENATE(DATA!BS16,DATA!BR16))))</f>
        <v>  </v>
      </c>
    </row>
    <row r="14" customFormat="false" ht="11.25" hidden="false" customHeight="false" outlineLevel="0" collapsed="false">
      <c r="A14" s="134" t="str">
        <f aca="false">IF(DATA!BN17=FALSE(),DATA!F17,IF(DATA!BN17=TRUE()," "))</f>
        <v> </v>
      </c>
      <c r="B14" s="140" t="str">
        <f aca="false">CONCATENATE(UPPER(DATA!B17)," ",UPPER(DATA!C17))</f>
        <v> </v>
      </c>
      <c r="C14" s="140" t="str">
        <f aca="false">UPPER(DATA!D17)</f>
        <v/>
      </c>
      <c r="D14" s="141" t="str">
        <f aca="false">UPPER(IF(DATA!BK17=TRUE(),"  ",IF(DATA!BK17=FALSE(),DATA!BM17)))</f>
        <v>  </v>
      </c>
      <c r="E14" s="134" t="n">
        <f aca="false">DATA!I17*100</f>
        <v>0</v>
      </c>
      <c r="F14" s="135" t="n">
        <f aca="false">IF(DATA!BG17=0,0,IF(DATA!BG17&gt;0,DATA!BG17*100))</f>
        <v>0</v>
      </c>
      <c r="G14" s="135" t="n">
        <f aca="false">IF(DATA!BH17=0,0,IF(DATA!BH17&gt;0,DATA!BH17*100))</f>
        <v>0</v>
      </c>
      <c r="H14" s="135" t="n">
        <v>0</v>
      </c>
      <c r="I14" s="135" t="n">
        <v>0</v>
      </c>
      <c r="J14" s="135" t="n">
        <v>0</v>
      </c>
      <c r="K14" s="135" t="n">
        <v>0</v>
      </c>
      <c r="L14" s="140" t="str">
        <f aca="false">UPPER(IF(DATA!BO17=TRUE(),"  ",IF(DATA!BO17=FALSE(),CONCATENATE(DATA!BS17,DATA!BR17))))</f>
        <v>  </v>
      </c>
    </row>
    <row r="15" customFormat="false" ht="11.25" hidden="false" customHeight="false" outlineLevel="0" collapsed="false">
      <c r="A15" s="134" t="str">
        <f aca="false">IF(DATA!BN18=FALSE(),DATA!F18,IF(DATA!BN18=TRUE()," "))</f>
        <v> </v>
      </c>
      <c r="B15" s="140" t="str">
        <f aca="false">CONCATENATE(UPPER(DATA!B18)," ",UPPER(DATA!C18))</f>
        <v> </v>
      </c>
      <c r="C15" s="140" t="str">
        <f aca="false">UPPER(DATA!D18)</f>
        <v/>
      </c>
      <c r="D15" s="141" t="str">
        <f aca="false">UPPER(IF(DATA!BK18=TRUE(),"  ",IF(DATA!BK18=FALSE(),DATA!BM18)))</f>
        <v>  </v>
      </c>
      <c r="E15" s="134" t="n">
        <f aca="false">DATA!I18*100</f>
        <v>0</v>
      </c>
      <c r="F15" s="135" t="n">
        <f aca="false">IF(DATA!BG18=0,0,IF(DATA!BG18&gt;0,DATA!BG18*100))</f>
        <v>0</v>
      </c>
      <c r="G15" s="135" t="n">
        <f aca="false">IF(DATA!BH18=0,0,IF(DATA!BH18&gt;0,DATA!BH18*100))</f>
        <v>0</v>
      </c>
      <c r="H15" s="135" t="n">
        <v>0</v>
      </c>
      <c r="I15" s="135" t="n">
        <v>0</v>
      </c>
      <c r="J15" s="135" t="n">
        <v>0</v>
      </c>
      <c r="K15" s="135" t="n">
        <v>0</v>
      </c>
      <c r="L15" s="140" t="str">
        <f aca="false">UPPER(IF(DATA!BO18=TRUE(),"  ",IF(DATA!BO18=FALSE(),CONCATENATE(DATA!BS18,DATA!BR18))))</f>
        <v>  </v>
      </c>
    </row>
    <row r="16" customFormat="false" ht="11.25" hidden="false" customHeight="false" outlineLevel="0" collapsed="false">
      <c r="A16" s="134" t="str">
        <f aca="false">IF(DATA!BN19=FALSE(),DATA!F19,IF(DATA!BN19=TRUE()," "))</f>
        <v> </v>
      </c>
      <c r="B16" s="140" t="str">
        <f aca="false">CONCATENATE(UPPER(DATA!B19)," ",UPPER(DATA!C19))</f>
        <v> </v>
      </c>
      <c r="C16" s="140" t="str">
        <f aca="false">UPPER(DATA!D19)</f>
        <v/>
      </c>
      <c r="D16" s="141" t="str">
        <f aca="false">UPPER(IF(DATA!BK19=TRUE(),"  ",IF(DATA!BK19=FALSE(),DATA!BM19)))</f>
        <v>  </v>
      </c>
      <c r="E16" s="134" t="n">
        <f aca="false">DATA!I19*100</f>
        <v>0</v>
      </c>
      <c r="F16" s="135" t="n">
        <f aca="false">IF(DATA!BG19=0,0,IF(DATA!BG19&gt;0,DATA!BG19*100))</f>
        <v>0</v>
      </c>
      <c r="G16" s="135" t="n">
        <f aca="false">IF(DATA!BH19=0,0,IF(DATA!BH19&gt;0,DATA!BH19*100))</f>
        <v>0</v>
      </c>
      <c r="H16" s="135" t="n">
        <v>0</v>
      </c>
      <c r="I16" s="135" t="n">
        <v>0</v>
      </c>
      <c r="J16" s="135" t="n">
        <v>0</v>
      </c>
      <c r="K16" s="135" t="n">
        <v>0</v>
      </c>
      <c r="L16" s="140" t="str">
        <f aca="false">UPPER(IF(DATA!BO19=TRUE(),"  ",IF(DATA!BO19=FALSE(),CONCATENATE(DATA!BS19,DATA!BR19))))</f>
        <v>  </v>
      </c>
    </row>
    <row r="17" customFormat="false" ht="11.25" hidden="false" customHeight="false" outlineLevel="0" collapsed="false">
      <c r="A17" s="134" t="str">
        <f aca="false">IF(DATA!BN20=FALSE(),DATA!F20,IF(DATA!BN20=TRUE()," "))</f>
        <v> </v>
      </c>
      <c r="B17" s="140" t="str">
        <f aca="false">CONCATENATE(UPPER(DATA!B20)," ",UPPER(DATA!C20))</f>
        <v> </v>
      </c>
      <c r="C17" s="140" t="str">
        <f aca="false">UPPER(DATA!D20)</f>
        <v/>
      </c>
      <c r="D17" s="141" t="str">
        <f aca="false">UPPER(IF(DATA!BK20=TRUE(),"  ",IF(DATA!BK20=FALSE(),DATA!BM20)))</f>
        <v>  </v>
      </c>
      <c r="E17" s="134" t="n">
        <f aca="false">DATA!I20*100</f>
        <v>0</v>
      </c>
      <c r="F17" s="135" t="n">
        <f aca="false">IF(DATA!BG20=0,0,IF(DATA!BG20&gt;0,DATA!BG20*100))</f>
        <v>0</v>
      </c>
      <c r="G17" s="135" t="n">
        <f aca="false">IF(DATA!BH20=0,0,IF(DATA!BH20&gt;0,DATA!BH20*100))</f>
        <v>0</v>
      </c>
      <c r="H17" s="135" t="n">
        <v>0</v>
      </c>
      <c r="I17" s="135" t="n">
        <v>0</v>
      </c>
      <c r="J17" s="135" t="n">
        <v>0</v>
      </c>
      <c r="K17" s="135" t="n">
        <v>0</v>
      </c>
      <c r="L17" s="140" t="str">
        <f aca="false">UPPER(IF(DATA!BO20=TRUE(),"  ",IF(DATA!BO20=FALSE(),CONCATENATE(DATA!BS20,DATA!BR20))))</f>
        <v>  </v>
      </c>
    </row>
    <row r="18" customFormat="false" ht="11.25" hidden="false" customHeight="false" outlineLevel="0" collapsed="false">
      <c r="A18" s="137" t="s">
        <v>86</v>
      </c>
      <c r="B18" s="137"/>
      <c r="C18" s="137"/>
      <c r="D18" s="137"/>
      <c r="E18" s="137"/>
      <c r="F18" s="137"/>
      <c r="G18" s="137"/>
      <c r="H18" s="137"/>
      <c r="I18" s="137"/>
      <c r="J18" s="137"/>
      <c r="K18" s="137"/>
      <c r="L18" s="137"/>
    </row>
    <row r="19" customFormat="false" ht="11.25" hidden="false" customHeight="false" outlineLevel="0" collapsed="false">
      <c r="A19" s="142" t="n">
        <f aca="false">DATA!BG2*100</f>
        <v>0</v>
      </c>
      <c r="B19" s="134" t="n">
        <f aca="false">DATA!BG1</f>
        <v>0</v>
      </c>
      <c r="C19" s="143" t="n">
        <f aca="false">DATA!BG3</f>
        <v>0</v>
      </c>
      <c r="D19" s="138" t="n">
        <f aca="false">COUNT(DATA!BJ9:BJ25548)</f>
        <v>12</v>
      </c>
      <c r="E19" s="138"/>
      <c r="F19" s="138"/>
      <c r="G19" s="138"/>
      <c r="H19" s="138"/>
      <c r="I19" s="138"/>
      <c r="J19" s="138"/>
      <c r="K19" s="138"/>
      <c r="L19" s="138"/>
    </row>
    <row r="20" customFormat="false" ht="11.25" hidden="false" customHeight="false" outlineLevel="0" collapsed="false">
      <c r="A20" s="144" t="n">
        <f aca="false">DATA!BG5</f>
        <v>0</v>
      </c>
      <c r="B20" s="144"/>
      <c r="C20" s="144"/>
      <c r="D20" s="144"/>
      <c r="E20" s="144"/>
      <c r="F20" s="144"/>
      <c r="G20" s="144"/>
      <c r="H20" s="144"/>
      <c r="I20" s="144"/>
      <c r="J20" s="144"/>
      <c r="K20" s="144"/>
      <c r="L20" s="144"/>
    </row>
    <row r="21" customFormat="false" ht="11.25" hidden="false" customHeight="false" outlineLevel="0" collapsed="false">
      <c r="A21" s="137" t="str">
        <f aca="false">UPPER(CONCATENATE(DATA!B5,"                  ",DATA!B6))</f>
        <v>                  </v>
      </c>
      <c r="B21" s="137"/>
      <c r="C21" s="137"/>
      <c r="D21" s="137"/>
      <c r="E21" s="137"/>
      <c r="F21" s="137"/>
      <c r="G21" s="137"/>
      <c r="H21" s="137"/>
      <c r="I21" s="137"/>
      <c r="J21" s="137"/>
      <c r="K21" s="137"/>
      <c r="L21" s="137"/>
    </row>
  </sheetData>
  <sheetProtection sheet="true" password="b816" selectLockedCells="true" selectUnlockedCells="true"/>
  <mergeCells count="9">
    <mergeCell ref="A1:L1"/>
    <mergeCell ref="A2:L2"/>
    <mergeCell ref="A3:L3"/>
    <mergeCell ref="B4:L4"/>
    <mergeCell ref="A5:L5"/>
    <mergeCell ref="A18:L18"/>
    <mergeCell ref="D19:L19"/>
    <mergeCell ref="A20:L20"/>
    <mergeCell ref="A21:L21"/>
  </mergeCells>
  <printOptions headings="false" gridLines="false" gridLinesSet="true" horizontalCentered="false" verticalCentered="false"/>
  <pageMargins left="1.25" right="1.25" top="1" bottom="1" header="0.511805555555555" footer="0.511805555555555"/>
  <pageSetup paperSize="5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L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1.25" zeroHeight="false" outlineLevelRow="0" outlineLevelCol="0"/>
  <cols>
    <col collapsed="false" customWidth="true" hidden="false" outlineLevel="0" max="1" min="1" style="133" width="12.69"/>
    <col collapsed="false" customWidth="true" hidden="false" outlineLevel="0" max="3" min="2" style="133" width="30.67"/>
    <col collapsed="false" customWidth="true" hidden="false" outlineLevel="0" max="4" min="4" style="133" width="1.7"/>
    <col collapsed="false" customWidth="true" hidden="false" outlineLevel="0" max="5" min="5" style="134" width="8.69"/>
    <col collapsed="false" customWidth="true" hidden="false" outlineLevel="0" max="11" min="6" style="135" width="6.69"/>
    <col collapsed="false" customWidth="true" hidden="false" outlineLevel="0" max="12" min="12" style="133" width="10.69"/>
    <col collapsed="false" customWidth="true" hidden="false" outlineLevel="0" max="257" min="13" style="136" width="9.13"/>
    <col collapsed="false" customWidth="true" hidden="false" outlineLevel="0" max="1025" min="258" style="0" width="9.13"/>
  </cols>
  <sheetData>
    <row r="1" customFormat="false" ht="11.25" hidden="false" customHeight="false" outlineLevel="0" collapsed="false">
      <c r="A1" s="137" t="s">
        <v>84</v>
      </c>
      <c r="B1" s="137"/>
      <c r="C1" s="137"/>
      <c r="D1" s="137"/>
      <c r="E1" s="137"/>
      <c r="F1" s="137"/>
      <c r="G1" s="137"/>
      <c r="H1" s="137"/>
      <c r="I1" s="137"/>
      <c r="J1" s="137"/>
      <c r="K1" s="137"/>
      <c r="L1" s="137"/>
    </row>
    <row r="2" customFormat="false" ht="11.25" hidden="false" customHeight="false" outlineLevel="0" collapsed="false">
      <c r="A2" s="138" t="str">
        <f aca="false">UPPER(DATA!B1)</f>
        <v/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</row>
    <row r="3" customFormat="false" ht="11.25" hidden="false" customHeight="false" outlineLevel="0" collapsed="false">
      <c r="A3" s="138" t="str">
        <f aca="false">UPPER(DATA!B2)</f>
        <v/>
      </c>
      <c r="B3" s="138"/>
      <c r="C3" s="138"/>
      <c r="D3" s="138"/>
      <c r="E3" s="138"/>
      <c r="F3" s="138"/>
      <c r="G3" s="138"/>
      <c r="H3" s="138"/>
      <c r="I3" s="138"/>
      <c r="J3" s="138"/>
      <c r="K3" s="138"/>
      <c r="L3" s="138"/>
    </row>
    <row r="4" customFormat="false" ht="11.25" hidden="false" customHeight="false" outlineLevel="0" collapsed="false">
      <c r="A4" s="139" t="n">
        <f aca="false">DATA!B3</f>
        <v>0</v>
      </c>
      <c r="B4" s="138" t="str">
        <f aca="false">CONCATENATE(DATA!K2,DATA!L9,DATA!E6)</f>
        <v>42015R</v>
      </c>
      <c r="C4" s="138"/>
      <c r="D4" s="138"/>
      <c r="E4" s="138"/>
      <c r="F4" s="138"/>
      <c r="G4" s="138"/>
      <c r="H4" s="138"/>
      <c r="I4" s="138"/>
      <c r="J4" s="138"/>
      <c r="K4" s="138"/>
      <c r="L4" s="138"/>
    </row>
    <row r="5" customFormat="false" ht="11.25" hidden="false" customHeight="false" outlineLevel="0" collapsed="false">
      <c r="A5" s="137" t="s">
        <v>85</v>
      </c>
      <c r="B5" s="137"/>
      <c r="C5" s="137"/>
      <c r="D5" s="137"/>
      <c r="E5" s="137"/>
      <c r="F5" s="137"/>
      <c r="G5" s="137"/>
      <c r="H5" s="137"/>
      <c r="I5" s="137"/>
      <c r="J5" s="137"/>
      <c r="K5" s="137"/>
      <c r="L5" s="137"/>
    </row>
    <row r="6" customFormat="false" ht="11.25" hidden="false" customHeight="false" outlineLevel="0" collapsed="false">
      <c r="A6" s="134" t="str">
        <f aca="false">IF(DATA!BN9=FALSE(),DATA!F9,IF(DATA!BN9=TRUE()," "))</f>
        <v> </v>
      </c>
      <c r="B6" s="140" t="str">
        <f aca="false">CONCATENATE(UPPER(DATA!B9)," ",UPPER(DATA!C9))</f>
        <v> </v>
      </c>
      <c r="C6" s="140" t="str">
        <f aca="false">UPPER(DATA!D9)</f>
        <v/>
      </c>
      <c r="D6" s="141" t="str">
        <f aca="false">UPPER(IF(DATA!BK9=TRUE(),"  ",IF(DATA!BK9=FALSE(),DATA!BM9)))</f>
        <v>  </v>
      </c>
      <c r="E6" s="134" t="n">
        <f aca="false">DATA!I9*100</f>
        <v>0</v>
      </c>
      <c r="F6" s="135" t="n">
        <f aca="false">IF(DATA!BG9=0,0,IF(DATA!BG9&gt;0,DATA!BG9*100))</f>
        <v>0</v>
      </c>
      <c r="G6" s="135" t="n">
        <f aca="false">IF(DATA!BI9=0,0,IF(DATA!BI9&gt;0,DATA!BI9*100))</f>
        <v>0</v>
      </c>
      <c r="H6" s="135" t="n">
        <v>0</v>
      </c>
      <c r="I6" s="135" t="n">
        <v>0</v>
      </c>
      <c r="J6" s="135" t="n">
        <v>0</v>
      </c>
      <c r="K6" s="135" t="n">
        <v>0</v>
      </c>
      <c r="L6" s="140" t="str">
        <f aca="false">UPPER(IF(DATA!BO9=TRUE(),"  ",IF(DATA!BO9=FALSE(),CONCATENATE(DATA!BS9,DATA!BR9))))</f>
        <v>  </v>
      </c>
    </row>
    <row r="7" customFormat="false" ht="11.25" hidden="false" customHeight="false" outlineLevel="0" collapsed="false">
      <c r="A7" s="134" t="str">
        <f aca="false">IF(DATA!BN10=FALSE(),DATA!F10,IF(DATA!BN10=TRUE()," "))</f>
        <v> </v>
      </c>
      <c r="B7" s="140" t="str">
        <f aca="false">CONCATENATE(UPPER(DATA!B10)," ",UPPER(DATA!C10))</f>
        <v> </v>
      </c>
      <c r="C7" s="140" t="str">
        <f aca="false">UPPER(DATA!D10)</f>
        <v/>
      </c>
      <c r="D7" s="141" t="str">
        <f aca="false">UPPER(IF(DATA!BK10=TRUE(),"  ",IF(DATA!BK10=FALSE(),DATA!BM10)))</f>
        <v>  </v>
      </c>
      <c r="E7" s="134" t="n">
        <f aca="false">DATA!I10*100</f>
        <v>0</v>
      </c>
      <c r="F7" s="135" t="n">
        <f aca="false">IF(DATA!BG10=0,0,IF(DATA!BG10&gt;0,DATA!BG10*100))</f>
        <v>0</v>
      </c>
      <c r="G7" s="135" t="n">
        <f aca="false">IF(DATA!BI10=0,0,IF(DATA!BI10&gt;0,DATA!BI10*100))</f>
        <v>0</v>
      </c>
      <c r="H7" s="135" t="n">
        <v>0</v>
      </c>
      <c r="I7" s="135" t="n">
        <v>0</v>
      </c>
      <c r="J7" s="135" t="n">
        <v>0</v>
      </c>
      <c r="K7" s="135" t="n">
        <v>0</v>
      </c>
      <c r="L7" s="140" t="str">
        <f aca="false">UPPER(IF(DATA!BO10=TRUE(),"  ",IF(DATA!BO10=FALSE(),CONCATENATE(DATA!BS10,DATA!BR10))))</f>
        <v>  </v>
      </c>
    </row>
    <row r="8" customFormat="false" ht="11.25" hidden="false" customHeight="false" outlineLevel="0" collapsed="false">
      <c r="A8" s="134" t="str">
        <f aca="false">IF(DATA!BN11=FALSE(),DATA!F11,IF(DATA!BN11=TRUE()," "))</f>
        <v> </v>
      </c>
      <c r="B8" s="140" t="str">
        <f aca="false">CONCATENATE(UPPER(DATA!B11)," ",UPPER(DATA!C11))</f>
        <v> </v>
      </c>
      <c r="C8" s="140" t="str">
        <f aca="false">UPPER(DATA!D11)</f>
        <v/>
      </c>
      <c r="D8" s="141" t="str">
        <f aca="false">UPPER(IF(DATA!BK11=TRUE(),"  ",IF(DATA!BK11=FALSE(),DATA!BM11)))</f>
        <v>  </v>
      </c>
      <c r="E8" s="134" t="n">
        <f aca="false">DATA!I11*100</f>
        <v>0</v>
      </c>
      <c r="F8" s="135" t="n">
        <f aca="false">IF(DATA!BG11=0,0,IF(DATA!BG11&gt;0,DATA!BG11*100))</f>
        <v>0</v>
      </c>
      <c r="G8" s="135" t="n">
        <f aca="false">IF(DATA!BI11=0,0,IF(DATA!BI11&gt;0,DATA!BI11*100))</f>
        <v>0</v>
      </c>
      <c r="H8" s="135" t="n">
        <v>0</v>
      </c>
      <c r="I8" s="135" t="n">
        <v>0</v>
      </c>
      <c r="J8" s="135" t="n">
        <v>0</v>
      </c>
      <c r="K8" s="135" t="n">
        <v>0</v>
      </c>
      <c r="L8" s="140" t="str">
        <f aca="false">UPPER(IF(DATA!BO11=TRUE(),"  ",IF(DATA!BO11=FALSE(),CONCATENATE(DATA!BS11,DATA!BR11))))</f>
        <v>  </v>
      </c>
    </row>
    <row r="9" customFormat="false" ht="11.25" hidden="false" customHeight="false" outlineLevel="0" collapsed="false">
      <c r="A9" s="134" t="str">
        <f aca="false">IF(DATA!BN12=FALSE(),DATA!F12,IF(DATA!BN12=TRUE()," "))</f>
        <v> </v>
      </c>
      <c r="B9" s="140" t="str">
        <f aca="false">CONCATENATE(UPPER(DATA!B12)," ",UPPER(DATA!C12))</f>
        <v> </v>
      </c>
      <c r="C9" s="140" t="str">
        <f aca="false">UPPER(DATA!D12)</f>
        <v/>
      </c>
      <c r="D9" s="141" t="str">
        <f aca="false">UPPER(IF(DATA!BK12=TRUE(),"  ",IF(DATA!BK12=FALSE(),DATA!BM12)))</f>
        <v>  </v>
      </c>
      <c r="E9" s="134" t="n">
        <f aca="false">DATA!I12*100</f>
        <v>0</v>
      </c>
      <c r="F9" s="135" t="n">
        <f aca="false">IF(DATA!BG12=0,0,IF(DATA!BG12&gt;0,DATA!BG12*100))</f>
        <v>0</v>
      </c>
      <c r="G9" s="135" t="n">
        <f aca="false">IF(DATA!BI12=0,0,IF(DATA!BI12&gt;0,DATA!BI12*100))</f>
        <v>0</v>
      </c>
      <c r="H9" s="135" t="n">
        <v>0</v>
      </c>
      <c r="I9" s="135" t="n">
        <v>0</v>
      </c>
      <c r="J9" s="135" t="n">
        <v>0</v>
      </c>
      <c r="K9" s="135" t="n">
        <v>0</v>
      </c>
      <c r="L9" s="140" t="str">
        <f aca="false">UPPER(IF(DATA!BO12=TRUE(),"  ",IF(DATA!BO12=FALSE(),CONCATENATE(DATA!BS12,DATA!BR12))))</f>
        <v>  </v>
      </c>
    </row>
    <row r="10" customFormat="false" ht="11.25" hidden="false" customHeight="false" outlineLevel="0" collapsed="false">
      <c r="A10" s="134" t="str">
        <f aca="false">IF(DATA!BN13=FALSE(),DATA!F13,IF(DATA!BN13=TRUE()," "))</f>
        <v> </v>
      </c>
      <c r="B10" s="140" t="str">
        <f aca="false">CONCATENATE(UPPER(DATA!B13)," ",UPPER(DATA!C13))</f>
        <v> </v>
      </c>
      <c r="C10" s="140" t="str">
        <f aca="false">UPPER(DATA!D13)</f>
        <v/>
      </c>
      <c r="D10" s="141" t="str">
        <f aca="false">UPPER(IF(DATA!BK13=TRUE(),"  ",IF(DATA!BK13=FALSE(),DATA!BM13)))</f>
        <v>  </v>
      </c>
      <c r="E10" s="134" t="n">
        <f aca="false">DATA!I13*100</f>
        <v>0</v>
      </c>
      <c r="F10" s="135" t="n">
        <f aca="false">IF(DATA!BG13=0,0,IF(DATA!BG13&gt;0,DATA!BG13*100))</f>
        <v>0</v>
      </c>
      <c r="G10" s="135" t="n">
        <f aca="false">IF(DATA!BI13=0,0,IF(DATA!BI13&gt;0,DATA!BI13*100))</f>
        <v>0</v>
      </c>
      <c r="H10" s="135" t="n">
        <v>0</v>
      </c>
      <c r="I10" s="135" t="n">
        <v>0</v>
      </c>
      <c r="J10" s="135" t="n">
        <v>0</v>
      </c>
      <c r="K10" s="135" t="n">
        <v>0</v>
      </c>
      <c r="L10" s="140" t="str">
        <f aca="false">UPPER(IF(DATA!BO13=TRUE(),"  ",IF(DATA!BO13=FALSE(),CONCATENATE(DATA!BS13,DATA!BR13))))</f>
        <v>  </v>
      </c>
    </row>
    <row r="11" customFormat="false" ht="11.25" hidden="false" customHeight="false" outlineLevel="0" collapsed="false">
      <c r="A11" s="134" t="str">
        <f aca="false">IF(DATA!BN14=FALSE(),DATA!F14,IF(DATA!BN14=TRUE()," "))</f>
        <v> </v>
      </c>
      <c r="B11" s="140" t="str">
        <f aca="false">CONCATENATE(UPPER(DATA!B14)," ",UPPER(DATA!C14))</f>
        <v> </v>
      </c>
      <c r="C11" s="140" t="str">
        <f aca="false">UPPER(DATA!D14)</f>
        <v/>
      </c>
      <c r="D11" s="141" t="str">
        <f aca="false">UPPER(IF(DATA!BK14=TRUE(),"  ",IF(DATA!BK14=FALSE(),DATA!BM14)))</f>
        <v>  </v>
      </c>
      <c r="E11" s="134" t="n">
        <f aca="false">DATA!I14*100</f>
        <v>0</v>
      </c>
      <c r="F11" s="135" t="n">
        <f aca="false">IF(DATA!BG14=0,0,IF(DATA!BG14&gt;0,DATA!BG14*100))</f>
        <v>0</v>
      </c>
      <c r="G11" s="135" t="n">
        <f aca="false">IF(DATA!BI14=0,0,IF(DATA!BI14&gt;0,DATA!BI14*100))</f>
        <v>0</v>
      </c>
      <c r="H11" s="135" t="n">
        <v>0</v>
      </c>
      <c r="I11" s="135" t="n">
        <v>0</v>
      </c>
      <c r="J11" s="135" t="n">
        <v>0</v>
      </c>
      <c r="K11" s="135" t="n">
        <v>0</v>
      </c>
      <c r="L11" s="140" t="str">
        <f aca="false">UPPER(IF(DATA!BO14=TRUE(),"  ",IF(DATA!BO14=FALSE(),CONCATENATE(DATA!BS14,DATA!BR14))))</f>
        <v>  </v>
      </c>
    </row>
    <row r="12" customFormat="false" ht="11.25" hidden="false" customHeight="false" outlineLevel="0" collapsed="false">
      <c r="A12" s="134" t="str">
        <f aca="false">IF(DATA!BN15=FALSE(),DATA!F15,IF(DATA!BN15=TRUE()," "))</f>
        <v> </v>
      </c>
      <c r="B12" s="140" t="str">
        <f aca="false">CONCATENATE(UPPER(DATA!B15)," ",UPPER(DATA!C15))</f>
        <v> </v>
      </c>
      <c r="C12" s="140" t="str">
        <f aca="false">UPPER(DATA!D15)</f>
        <v/>
      </c>
      <c r="D12" s="141" t="str">
        <f aca="false">UPPER(IF(DATA!BK15=TRUE(),"  ",IF(DATA!BK15=FALSE(),DATA!BM15)))</f>
        <v>  </v>
      </c>
      <c r="E12" s="134" t="n">
        <f aca="false">DATA!I15*100</f>
        <v>0</v>
      </c>
      <c r="F12" s="135" t="n">
        <f aca="false">IF(DATA!BG15=0,0,IF(DATA!BG15&gt;0,DATA!BG15*100))</f>
        <v>0</v>
      </c>
      <c r="G12" s="135" t="n">
        <f aca="false">IF(DATA!BI15=0,0,IF(DATA!BI15&gt;0,DATA!BI15*100))</f>
        <v>0</v>
      </c>
      <c r="H12" s="135" t="n">
        <v>0</v>
      </c>
      <c r="I12" s="135" t="n">
        <v>0</v>
      </c>
      <c r="J12" s="135" t="n">
        <v>0</v>
      </c>
      <c r="K12" s="135" t="n">
        <v>0</v>
      </c>
      <c r="L12" s="140" t="str">
        <f aca="false">UPPER(IF(DATA!BO15=TRUE(),"  ",IF(DATA!BO15=FALSE(),CONCATENATE(DATA!BS15,DATA!BR15))))</f>
        <v>  </v>
      </c>
    </row>
    <row r="13" customFormat="false" ht="11.25" hidden="false" customHeight="false" outlineLevel="0" collapsed="false">
      <c r="A13" s="134" t="str">
        <f aca="false">IF(DATA!BN16=FALSE(),DATA!F16,IF(DATA!BN16=TRUE()," "))</f>
        <v> </v>
      </c>
      <c r="B13" s="140" t="str">
        <f aca="false">CONCATENATE(UPPER(DATA!B16)," ",UPPER(DATA!C16))</f>
        <v> </v>
      </c>
      <c r="C13" s="140" t="str">
        <f aca="false">UPPER(DATA!D16)</f>
        <v/>
      </c>
      <c r="D13" s="141" t="str">
        <f aca="false">UPPER(IF(DATA!BK16=TRUE(),"  ",IF(DATA!BK16=FALSE(),DATA!BM16)))</f>
        <v>  </v>
      </c>
      <c r="E13" s="134" t="n">
        <f aca="false">DATA!I16*100</f>
        <v>0</v>
      </c>
      <c r="F13" s="135" t="n">
        <f aca="false">IF(DATA!BG16=0,0,IF(DATA!BG16&gt;0,DATA!BG16*100))</f>
        <v>0</v>
      </c>
      <c r="G13" s="135" t="n">
        <f aca="false">IF(DATA!BI16=0,0,IF(DATA!BI16&gt;0,DATA!BI16*100))</f>
        <v>0</v>
      </c>
      <c r="H13" s="135" t="n">
        <v>0</v>
      </c>
      <c r="I13" s="135" t="n">
        <v>0</v>
      </c>
      <c r="J13" s="135" t="n">
        <v>0</v>
      </c>
      <c r="K13" s="135" t="n">
        <v>0</v>
      </c>
      <c r="L13" s="140" t="str">
        <f aca="false">UPPER(IF(DATA!BO16=TRUE(),"  ",IF(DATA!BO16=FALSE(),CONCATENATE(DATA!BS16,DATA!BR16))))</f>
        <v>  </v>
      </c>
    </row>
    <row r="14" customFormat="false" ht="11.25" hidden="false" customHeight="false" outlineLevel="0" collapsed="false">
      <c r="A14" s="134" t="str">
        <f aca="false">IF(DATA!BN17=FALSE(),DATA!F17,IF(DATA!BN17=TRUE()," "))</f>
        <v> </v>
      </c>
      <c r="B14" s="140" t="str">
        <f aca="false">CONCATENATE(UPPER(DATA!B17)," ",UPPER(DATA!C17))</f>
        <v> </v>
      </c>
      <c r="C14" s="140" t="str">
        <f aca="false">UPPER(DATA!D17)</f>
        <v/>
      </c>
      <c r="D14" s="141" t="str">
        <f aca="false">UPPER(IF(DATA!BK17=TRUE(),"  ",IF(DATA!BK17=FALSE(),DATA!BM17)))</f>
        <v>  </v>
      </c>
      <c r="E14" s="134" t="n">
        <f aca="false">DATA!I17*100</f>
        <v>0</v>
      </c>
      <c r="F14" s="135" t="n">
        <f aca="false">IF(DATA!BG17=0,0,IF(DATA!BG17&gt;0,DATA!BG17*100))</f>
        <v>0</v>
      </c>
      <c r="G14" s="135" t="n">
        <f aca="false">IF(DATA!BI17=0,0,IF(DATA!BI17&gt;0,DATA!BI17*100))</f>
        <v>0</v>
      </c>
      <c r="H14" s="135" t="n">
        <v>0</v>
      </c>
      <c r="I14" s="135" t="n">
        <v>0</v>
      </c>
      <c r="J14" s="135" t="n">
        <v>0</v>
      </c>
      <c r="K14" s="135" t="n">
        <v>0</v>
      </c>
      <c r="L14" s="140" t="str">
        <f aca="false">UPPER(IF(DATA!BO17=TRUE(),"  ",IF(DATA!BO17=FALSE(),CONCATENATE(DATA!BS17,DATA!BR17))))</f>
        <v>  </v>
      </c>
    </row>
    <row r="15" customFormat="false" ht="11.25" hidden="false" customHeight="false" outlineLevel="0" collapsed="false">
      <c r="A15" s="134" t="str">
        <f aca="false">IF(DATA!BN18=FALSE(),DATA!F18,IF(DATA!BN18=TRUE()," "))</f>
        <v> </v>
      </c>
      <c r="B15" s="140" t="str">
        <f aca="false">CONCATENATE(UPPER(DATA!B18)," ",UPPER(DATA!C18))</f>
        <v> </v>
      </c>
      <c r="C15" s="140" t="str">
        <f aca="false">UPPER(DATA!D18)</f>
        <v/>
      </c>
      <c r="D15" s="141" t="str">
        <f aca="false">UPPER(IF(DATA!BK18=TRUE(),"  ",IF(DATA!BK18=FALSE(),DATA!BM18)))</f>
        <v>  </v>
      </c>
      <c r="E15" s="134" t="n">
        <f aca="false">DATA!I18*100</f>
        <v>0</v>
      </c>
      <c r="F15" s="135" t="n">
        <f aca="false">IF(DATA!BG18=0,0,IF(DATA!BG18&gt;0,DATA!BG18*100))</f>
        <v>0</v>
      </c>
      <c r="G15" s="135" t="n">
        <f aca="false">IF(DATA!BI18=0,0,IF(DATA!BI18&gt;0,DATA!BI18*100))</f>
        <v>0</v>
      </c>
      <c r="H15" s="135" t="n">
        <v>0</v>
      </c>
      <c r="I15" s="135" t="n">
        <v>0</v>
      </c>
      <c r="J15" s="135" t="n">
        <v>0</v>
      </c>
      <c r="K15" s="135" t="n">
        <v>0</v>
      </c>
      <c r="L15" s="140" t="str">
        <f aca="false">UPPER(IF(DATA!BO18=TRUE(),"  ",IF(DATA!BO18=FALSE(),CONCATENATE(DATA!BS18,DATA!BR18))))</f>
        <v>  </v>
      </c>
    </row>
    <row r="16" customFormat="false" ht="11.25" hidden="false" customHeight="false" outlineLevel="0" collapsed="false">
      <c r="A16" s="134" t="str">
        <f aca="false">IF(DATA!BN19=FALSE(),DATA!F19,IF(DATA!BN19=TRUE()," "))</f>
        <v> </v>
      </c>
      <c r="B16" s="140" t="str">
        <f aca="false">CONCATENATE(UPPER(DATA!B19)," ",UPPER(DATA!C19))</f>
        <v> </v>
      </c>
      <c r="C16" s="140" t="str">
        <f aca="false">UPPER(DATA!D19)</f>
        <v/>
      </c>
      <c r="D16" s="141" t="str">
        <f aca="false">UPPER(IF(DATA!BK19=TRUE(),"  ",IF(DATA!BK19=FALSE(),DATA!BM19)))</f>
        <v>  </v>
      </c>
      <c r="E16" s="134" t="n">
        <f aca="false">DATA!I19*100</f>
        <v>0</v>
      </c>
      <c r="F16" s="135" t="n">
        <f aca="false">IF(DATA!BG19=0,0,IF(DATA!BG19&gt;0,DATA!BG19*100))</f>
        <v>0</v>
      </c>
      <c r="G16" s="135" t="n">
        <f aca="false">IF(DATA!BI19=0,0,IF(DATA!BI19&gt;0,DATA!BI19*100))</f>
        <v>0</v>
      </c>
      <c r="H16" s="135" t="n">
        <v>0</v>
      </c>
      <c r="I16" s="135" t="n">
        <v>0</v>
      </c>
      <c r="J16" s="135" t="n">
        <v>0</v>
      </c>
      <c r="K16" s="135" t="n">
        <v>0</v>
      </c>
      <c r="L16" s="140" t="str">
        <f aca="false">UPPER(IF(DATA!BO19=TRUE(),"  ",IF(DATA!BO19=FALSE(),CONCATENATE(DATA!BS19,DATA!BR19))))</f>
        <v>  </v>
      </c>
    </row>
    <row r="17" customFormat="false" ht="11.25" hidden="false" customHeight="false" outlineLevel="0" collapsed="false">
      <c r="A17" s="134" t="str">
        <f aca="false">IF(DATA!BN20=FALSE(),DATA!F20,IF(DATA!BN20=TRUE()," "))</f>
        <v> </v>
      </c>
      <c r="B17" s="140" t="str">
        <f aca="false">CONCATENATE(UPPER(DATA!B20)," ",UPPER(DATA!C20))</f>
        <v> </v>
      </c>
      <c r="C17" s="140" t="str">
        <f aca="false">UPPER(DATA!D20)</f>
        <v/>
      </c>
      <c r="D17" s="141" t="str">
        <f aca="false">UPPER(IF(DATA!BK20=TRUE(),"  ",IF(DATA!BK20=FALSE(),DATA!BM20)))</f>
        <v>  </v>
      </c>
      <c r="E17" s="134" t="n">
        <f aca="false">DATA!I20*100</f>
        <v>0</v>
      </c>
      <c r="F17" s="135" t="n">
        <f aca="false">IF(DATA!BG20=0,0,IF(DATA!BG20&gt;0,DATA!BG20*100))</f>
        <v>0</v>
      </c>
      <c r="G17" s="135" t="n">
        <f aca="false">IF(DATA!BI20=0,0,IF(DATA!BI20&gt;0,DATA!BI20*100))</f>
        <v>0</v>
      </c>
      <c r="H17" s="135" t="n">
        <v>0</v>
      </c>
      <c r="I17" s="135" t="n">
        <v>0</v>
      </c>
      <c r="J17" s="135" t="n">
        <v>0</v>
      </c>
      <c r="K17" s="135" t="n">
        <v>0</v>
      </c>
      <c r="L17" s="140" t="str">
        <f aca="false">UPPER(IF(DATA!BO20=TRUE(),"  ",IF(DATA!BO20=FALSE(),CONCATENATE(DATA!BS20,DATA!BR20))))</f>
        <v>  </v>
      </c>
    </row>
    <row r="18" customFormat="false" ht="11.25" hidden="false" customHeight="false" outlineLevel="0" collapsed="false">
      <c r="A18" s="137" t="s">
        <v>86</v>
      </c>
      <c r="B18" s="137"/>
      <c r="C18" s="137"/>
      <c r="D18" s="137"/>
      <c r="E18" s="137"/>
      <c r="F18" s="137"/>
      <c r="G18" s="137"/>
      <c r="H18" s="137"/>
      <c r="I18" s="137"/>
      <c r="J18" s="137"/>
      <c r="K18" s="137"/>
      <c r="L18" s="137"/>
    </row>
    <row r="19" customFormat="false" ht="11.25" hidden="false" customHeight="false" outlineLevel="0" collapsed="false">
      <c r="A19" s="142" t="n">
        <f aca="false">DATA!BG2*100</f>
        <v>0</v>
      </c>
      <c r="B19" s="134" t="n">
        <f aca="false">DATA!BG1</f>
        <v>0</v>
      </c>
      <c r="C19" s="143" t="n">
        <f aca="false">DATA!BG3</f>
        <v>0</v>
      </c>
      <c r="D19" s="138" t="n">
        <f aca="false">COUNT(DATA!BJ9:BJ25548)</f>
        <v>12</v>
      </c>
      <c r="E19" s="138"/>
      <c r="F19" s="138"/>
      <c r="G19" s="138"/>
      <c r="H19" s="138"/>
      <c r="I19" s="138"/>
      <c r="J19" s="138"/>
      <c r="K19" s="138"/>
      <c r="L19" s="138"/>
    </row>
    <row r="20" customFormat="false" ht="11.25" hidden="false" customHeight="false" outlineLevel="0" collapsed="false">
      <c r="A20" s="144" t="n">
        <f aca="false">DATA!BG5</f>
        <v>0</v>
      </c>
      <c r="B20" s="144"/>
      <c r="C20" s="144"/>
      <c r="D20" s="144"/>
      <c r="E20" s="144"/>
      <c r="F20" s="144"/>
      <c r="G20" s="144"/>
      <c r="H20" s="144"/>
      <c r="I20" s="144"/>
      <c r="J20" s="144"/>
      <c r="K20" s="144"/>
      <c r="L20" s="144"/>
    </row>
    <row r="21" customFormat="false" ht="11.25" hidden="false" customHeight="false" outlineLevel="0" collapsed="false">
      <c r="A21" s="137" t="str">
        <f aca="false">UPPER(CONCATENATE(DATA!B5,"                  ",DATA!B6))</f>
        <v>                  </v>
      </c>
      <c r="B21" s="137"/>
      <c r="C21" s="137"/>
      <c r="D21" s="137"/>
      <c r="E21" s="137"/>
      <c r="F21" s="137"/>
      <c r="G21" s="137"/>
      <c r="H21" s="137"/>
      <c r="I21" s="137"/>
      <c r="J21" s="137"/>
      <c r="K21" s="137"/>
      <c r="L21" s="137"/>
    </row>
  </sheetData>
  <sheetProtection sheet="true" password="b816" selectLockedCells="true" selectUnlockedCells="true"/>
  <mergeCells count="9">
    <mergeCell ref="A1:L1"/>
    <mergeCell ref="A2:L2"/>
    <mergeCell ref="A3:L3"/>
    <mergeCell ref="B4:L4"/>
    <mergeCell ref="A5:L5"/>
    <mergeCell ref="A18:L18"/>
    <mergeCell ref="D19:L19"/>
    <mergeCell ref="A20:L20"/>
    <mergeCell ref="A21:L21"/>
  </mergeCells>
  <printOptions headings="false" gridLines="false" gridLinesSet="true" horizontalCentered="false" verticalCentered="false"/>
  <pageMargins left="1.25" right="1.25" top="1" bottom="1" header="0.511805555555555" footer="0.511805555555555"/>
  <pageSetup paperSize="5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G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Q11" activeCellId="0" sqref="Q11"/>
    </sheetView>
  </sheetViews>
  <sheetFormatPr defaultRowHeight="12.75" zeroHeight="false" outlineLevelRow="0" outlineLevelCol="0"/>
  <cols>
    <col collapsed="false" customWidth="true" hidden="false" outlineLevel="0" max="1" min="1" style="0" width="3.98"/>
    <col collapsed="false" customWidth="true" hidden="false" outlineLevel="0" max="2" min="2" style="0" width="0.28"/>
    <col collapsed="false" customWidth="true" hidden="false" outlineLevel="0" max="4" min="3" style="0" width="1.7"/>
    <col collapsed="false" customWidth="true" hidden="false" outlineLevel="0" max="5" min="5" style="0" width="0.28"/>
    <col collapsed="false" customWidth="true" hidden="false" outlineLevel="0" max="14" min="6" style="0" width="1.7"/>
    <col collapsed="false" customWidth="true" hidden="false" outlineLevel="0" max="15" min="15" style="0" width="0.28"/>
    <col collapsed="false" customWidth="true" hidden="false" outlineLevel="0" max="16" min="16" style="0" width="1.7"/>
    <col collapsed="false" customWidth="true" hidden="false" outlineLevel="0" max="17" min="17" style="0" width="24.68"/>
    <col collapsed="false" customWidth="true" hidden="false" outlineLevel="0" max="18" min="18" style="0" width="5.84"/>
    <col collapsed="false" customWidth="true" hidden="false" outlineLevel="0" max="19" min="19" style="0" width="24.68"/>
    <col collapsed="false" customWidth="true" hidden="false" outlineLevel="0" max="20" min="20" style="0" width="24.82"/>
    <col collapsed="false" customWidth="true" hidden="false" outlineLevel="0" max="21" min="21" style="0" width="0.28"/>
    <col collapsed="false" customWidth="true" hidden="false" outlineLevel="0" max="22" min="22" style="0" width="3.98"/>
    <col collapsed="false" customWidth="true" hidden="false" outlineLevel="0" max="23" min="23" style="0" width="7.84"/>
    <col collapsed="false" customWidth="true" hidden="false" outlineLevel="0" max="24" min="24" style="0" width="6.84"/>
    <col collapsed="false" customWidth="true" hidden="false" outlineLevel="0" max="25" min="25" style="0" width="0.28"/>
    <col collapsed="false" customWidth="true" hidden="false" outlineLevel="0" max="26" min="26" style="0" width="5.7"/>
    <col collapsed="false" customWidth="true" hidden="false" outlineLevel="0" max="27" min="27" style="0" width="0.28"/>
    <col collapsed="false" customWidth="true" hidden="false" outlineLevel="0" max="28" min="28" style="0" width="3.98"/>
    <col collapsed="false" customWidth="true" hidden="false" outlineLevel="0" max="29" min="29" style="0" width="7.41"/>
    <col collapsed="false" customWidth="true" hidden="false" outlineLevel="0" max="30" min="30" style="0" width="10.69"/>
    <col collapsed="false" customWidth="true" hidden="false" outlineLevel="0" max="31" min="31" style="0" width="0.28"/>
    <col collapsed="false" customWidth="true" hidden="false" outlineLevel="0" max="32" min="32" style="0" width="4.41"/>
    <col collapsed="false" customWidth="true" hidden="false" outlineLevel="0" max="33" min="33" style="0" width="13.4"/>
    <col collapsed="false" customWidth="true" hidden="false" outlineLevel="0" max="1025" min="34" style="0" width="8.84"/>
  </cols>
  <sheetData>
    <row r="1" customFormat="false" ht="57.75" hidden="false" customHeight="true" outlineLevel="0" collapsed="false">
      <c r="A1" s="145" t="s">
        <v>87</v>
      </c>
      <c r="B1" s="145"/>
      <c r="C1" s="145"/>
      <c r="D1" s="145"/>
      <c r="E1" s="146" t="s">
        <v>88</v>
      </c>
      <c r="F1" s="146"/>
      <c r="G1" s="146"/>
      <c r="H1" s="146"/>
      <c r="I1" s="146"/>
      <c r="J1" s="146"/>
      <c r="K1" s="146"/>
      <c r="L1" s="146"/>
      <c r="M1" s="146"/>
      <c r="N1" s="146"/>
      <c r="O1" s="146"/>
      <c r="P1" s="146"/>
      <c r="Q1" s="146"/>
      <c r="R1" s="146"/>
      <c r="S1" s="146"/>
      <c r="T1" s="146"/>
      <c r="U1" s="147" t="s">
        <v>89</v>
      </c>
      <c r="V1" s="147"/>
      <c r="W1" s="147"/>
      <c r="X1" s="147"/>
      <c r="Y1" s="147"/>
      <c r="Z1" s="147"/>
      <c r="AA1" s="147"/>
      <c r="AB1" s="147"/>
      <c r="AC1" s="147"/>
      <c r="AD1" s="147"/>
      <c r="AE1" s="147"/>
      <c r="AF1" s="147"/>
      <c r="AG1" s="147"/>
    </row>
    <row r="2" customFormat="false" ht="25.5" hidden="false" customHeight="true" outlineLevel="0" collapsed="false">
      <c r="A2" s="148" t="s">
        <v>90</v>
      </c>
      <c r="B2" s="148"/>
      <c r="C2" s="148"/>
      <c r="D2" s="148"/>
      <c r="E2" s="148"/>
      <c r="F2" s="148"/>
      <c r="G2" s="148"/>
      <c r="H2" s="148"/>
      <c r="I2" s="148"/>
      <c r="J2" s="148"/>
      <c r="K2" s="148"/>
      <c r="L2" s="148"/>
      <c r="M2" s="148"/>
      <c r="N2" s="148"/>
      <c r="O2" s="148"/>
      <c r="P2" s="148"/>
      <c r="Q2" s="149" t="n">
        <f aca="false">DATA!B3</f>
        <v>0</v>
      </c>
      <c r="R2" s="149"/>
      <c r="S2" s="149"/>
      <c r="T2" s="149"/>
      <c r="U2" s="150"/>
      <c r="V2" s="150"/>
      <c r="W2" s="150"/>
      <c r="X2" s="150"/>
      <c r="Y2" s="150"/>
      <c r="Z2" s="150"/>
      <c r="AA2" s="150"/>
      <c r="AB2" s="150"/>
      <c r="AC2" s="150"/>
      <c r="AD2" s="150"/>
      <c r="AE2" s="150"/>
      <c r="AF2" s="150"/>
      <c r="AG2" s="150"/>
    </row>
    <row r="3" customFormat="false" ht="25.5" hidden="false" customHeight="true" outlineLevel="0" collapsed="false">
      <c r="A3" s="151" t="s">
        <v>91</v>
      </c>
      <c r="B3" s="151"/>
      <c r="C3" s="151"/>
      <c r="D3" s="151"/>
      <c r="E3" s="151"/>
      <c r="F3" s="151"/>
      <c r="G3" s="151"/>
      <c r="H3" s="151"/>
      <c r="I3" s="151"/>
      <c r="J3" s="151"/>
      <c r="K3" s="151"/>
      <c r="L3" s="151"/>
      <c r="M3" s="151"/>
      <c r="N3" s="151"/>
      <c r="O3" s="151"/>
      <c r="P3" s="151"/>
      <c r="Q3" s="152" t="str">
        <f aca="false">DATA!G2</f>
        <v>TIN-112-4444</v>
      </c>
      <c r="R3" s="152"/>
      <c r="S3" s="152"/>
      <c r="T3" s="152"/>
      <c r="U3" s="150"/>
      <c r="V3" s="150"/>
      <c r="W3" s="150"/>
      <c r="X3" s="150"/>
      <c r="Y3" s="150"/>
      <c r="Z3" s="150"/>
      <c r="AA3" s="150"/>
      <c r="AB3" s="150"/>
      <c r="AC3" s="150"/>
      <c r="AD3" s="150"/>
      <c r="AE3" s="150"/>
      <c r="AF3" s="150"/>
      <c r="AG3" s="150"/>
    </row>
    <row r="4" customFormat="false" ht="15" hidden="false" customHeight="true" outlineLevel="0" collapsed="false">
      <c r="A4" s="153" t="s">
        <v>92</v>
      </c>
      <c r="B4" s="153"/>
      <c r="C4" s="153"/>
      <c r="D4" s="153"/>
      <c r="E4" s="153"/>
      <c r="F4" s="153"/>
      <c r="G4" s="153"/>
      <c r="H4" s="153"/>
      <c r="I4" s="153"/>
      <c r="J4" s="153"/>
      <c r="K4" s="153"/>
      <c r="L4" s="153"/>
      <c r="M4" s="153"/>
      <c r="N4" s="153"/>
      <c r="O4" s="153"/>
      <c r="P4" s="153"/>
      <c r="Q4" s="154" t="str">
        <f aca="false">UPPER(DATA!B1)</f>
        <v/>
      </c>
      <c r="R4" s="154"/>
      <c r="S4" s="154"/>
      <c r="T4" s="154"/>
      <c r="U4" s="155"/>
      <c r="V4" s="156"/>
      <c r="W4" s="157" t="s">
        <v>23</v>
      </c>
      <c r="X4" s="157"/>
      <c r="Y4" s="158"/>
      <c r="Z4" s="159"/>
      <c r="AA4" s="160" t="s">
        <v>93</v>
      </c>
      <c r="AB4" s="160"/>
      <c r="AC4" s="160"/>
      <c r="AD4" s="160"/>
      <c r="AE4" s="160"/>
      <c r="AF4" s="159"/>
      <c r="AG4" s="161" t="s">
        <v>94</v>
      </c>
    </row>
    <row r="5" customFormat="false" ht="15" hidden="false" customHeight="true" outlineLevel="0" collapsed="false">
      <c r="A5" s="153"/>
      <c r="B5" s="153"/>
      <c r="C5" s="153"/>
      <c r="D5" s="153"/>
      <c r="E5" s="153"/>
      <c r="F5" s="153"/>
      <c r="G5" s="153"/>
      <c r="H5" s="153"/>
      <c r="I5" s="153"/>
      <c r="J5" s="153"/>
      <c r="K5" s="153"/>
      <c r="L5" s="153"/>
      <c r="M5" s="153"/>
      <c r="N5" s="153"/>
      <c r="O5" s="153"/>
      <c r="P5" s="153"/>
      <c r="Q5" s="154"/>
      <c r="R5" s="154"/>
      <c r="S5" s="154"/>
      <c r="T5" s="154"/>
      <c r="U5" s="162"/>
      <c r="V5" s="156"/>
      <c r="W5" s="157"/>
      <c r="X5" s="157"/>
      <c r="Y5" s="163"/>
      <c r="Z5" s="159"/>
      <c r="AA5" s="160"/>
      <c r="AB5" s="160"/>
      <c r="AC5" s="160"/>
      <c r="AD5" s="160"/>
      <c r="AE5" s="160"/>
      <c r="AF5" s="159"/>
      <c r="AG5" s="161"/>
    </row>
    <row r="6" customFormat="false" ht="14.25" hidden="false" customHeight="true" outlineLevel="0" collapsed="false">
      <c r="A6" s="164" t="s">
        <v>95</v>
      </c>
      <c r="B6" s="164"/>
      <c r="C6" s="164"/>
      <c r="D6" s="164"/>
      <c r="E6" s="164"/>
      <c r="F6" s="164"/>
      <c r="G6" s="164"/>
      <c r="H6" s="164"/>
      <c r="I6" s="164"/>
      <c r="J6" s="164"/>
      <c r="K6" s="164"/>
      <c r="L6" s="164"/>
      <c r="M6" s="164"/>
      <c r="N6" s="164"/>
      <c r="O6" s="164"/>
      <c r="P6" s="164"/>
      <c r="Q6" s="165" t="str">
        <f aca="false">UPPER(DATA!B2)</f>
        <v/>
      </c>
      <c r="R6" s="165"/>
      <c r="S6" s="165"/>
      <c r="T6" s="165"/>
      <c r="U6" s="162"/>
      <c r="V6" s="166"/>
      <c r="W6" s="166"/>
      <c r="X6" s="166"/>
      <c r="Y6" s="163"/>
      <c r="Z6" s="167"/>
      <c r="AA6" s="167"/>
      <c r="AB6" s="167"/>
      <c r="AC6" s="167"/>
      <c r="AD6" s="167"/>
      <c r="AE6" s="163"/>
      <c r="AF6" s="168" t="str">
        <f aca="false">CONCATENATE(DATA!BG4," ",DATA!E4)</f>
        <v>DECEMBER 2015</v>
      </c>
      <c r="AG6" s="168"/>
    </row>
    <row r="7" customFormat="false" ht="12" hidden="false" customHeight="true" outlineLevel="0" collapsed="false">
      <c r="A7" s="164"/>
      <c r="B7" s="164"/>
      <c r="C7" s="164"/>
      <c r="D7" s="164"/>
      <c r="E7" s="164"/>
      <c r="F7" s="164"/>
      <c r="G7" s="164"/>
      <c r="H7" s="164"/>
      <c r="I7" s="164"/>
      <c r="J7" s="164"/>
      <c r="K7" s="164"/>
      <c r="L7" s="164"/>
      <c r="M7" s="164"/>
      <c r="N7" s="164"/>
      <c r="O7" s="164"/>
      <c r="P7" s="164"/>
      <c r="Q7" s="165"/>
      <c r="R7" s="165"/>
      <c r="S7" s="165"/>
      <c r="T7" s="165"/>
      <c r="U7" s="162"/>
      <c r="V7" s="166"/>
      <c r="W7" s="166"/>
      <c r="X7" s="166"/>
      <c r="Y7" s="163"/>
      <c r="Z7" s="167"/>
      <c r="AA7" s="167"/>
      <c r="AB7" s="167"/>
      <c r="AC7" s="167"/>
      <c r="AD7" s="167"/>
      <c r="AE7" s="163"/>
      <c r="AF7" s="168"/>
      <c r="AG7" s="168"/>
    </row>
    <row r="8" customFormat="false" ht="15" hidden="false" customHeight="true" outlineLevel="0" collapsed="false">
      <c r="A8" s="169" t="s">
        <v>96</v>
      </c>
      <c r="B8" s="169"/>
      <c r="C8" s="169"/>
      <c r="D8" s="169"/>
      <c r="E8" s="169"/>
      <c r="F8" s="169"/>
      <c r="G8" s="169"/>
      <c r="H8" s="169"/>
      <c r="I8" s="169"/>
      <c r="J8" s="169"/>
      <c r="K8" s="169"/>
      <c r="L8" s="170" t="n">
        <f aca="false">DATA!B4</f>
        <v>0</v>
      </c>
      <c r="M8" s="170"/>
      <c r="N8" s="170"/>
      <c r="O8" s="170"/>
      <c r="P8" s="170"/>
      <c r="Q8" s="170"/>
      <c r="R8" s="170"/>
      <c r="S8" s="171" t="s">
        <v>97</v>
      </c>
      <c r="T8" s="172" t="n">
        <f aca="false">DATA!B7</f>
        <v>0</v>
      </c>
      <c r="U8" s="173"/>
      <c r="V8" s="166"/>
      <c r="W8" s="166"/>
      <c r="X8" s="166"/>
      <c r="Y8" s="174"/>
      <c r="Z8" s="167"/>
      <c r="AA8" s="167"/>
      <c r="AB8" s="167"/>
      <c r="AC8" s="167"/>
      <c r="AD8" s="167"/>
      <c r="AE8" s="174"/>
      <c r="AF8" s="168"/>
      <c r="AG8" s="168"/>
    </row>
    <row r="9" customFormat="false" ht="24" hidden="false" customHeight="true" outlineLevel="0" collapsed="false">
      <c r="A9" s="175" t="s">
        <v>98</v>
      </c>
      <c r="B9" s="176" t="s">
        <v>98</v>
      </c>
      <c r="C9" s="176"/>
      <c r="D9" s="176"/>
      <c r="E9" s="176"/>
      <c r="F9" s="176"/>
      <c r="G9" s="176"/>
      <c r="H9" s="176"/>
      <c r="I9" s="176"/>
      <c r="J9" s="176"/>
      <c r="K9" s="176"/>
      <c r="L9" s="176"/>
      <c r="M9" s="176"/>
      <c r="N9" s="176"/>
      <c r="O9" s="176"/>
      <c r="P9" s="176"/>
      <c r="Q9" s="177" t="s">
        <v>99</v>
      </c>
      <c r="R9" s="177"/>
      <c r="S9" s="177"/>
      <c r="T9" s="177"/>
      <c r="U9" s="178"/>
      <c r="V9" s="179"/>
      <c r="W9" s="180" t="s">
        <v>100</v>
      </c>
      <c r="X9" s="180"/>
      <c r="Y9" s="178"/>
      <c r="Z9" s="181"/>
      <c r="AA9" s="178"/>
      <c r="AB9" s="179"/>
      <c r="AC9" s="182" t="s">
        <v>101</v>
      </c>
      <c r="AD9" s="182"/>
      <c r="AE9" s="178"/>
      <c r="AF9" s="183"/>
      <c r="AG9" s="184" t="s">
        <v>102</v>
      </c>
    </row>
    <row r="10" customFormat="false" ht="26.25" hidden="false" customHeight="true" outlineLevel="0" collapsed="false">
      <c r="A10" s="185"/>
      <c r="B10" s="176"/>
      <c r="C10" s="176"/>
      <c r="D10" s="176"/>
      <c r="E10" s="176"/>
      <c r="F10" s="176"/>
      <c r="G10" s="176"/>
      <c r="H10" s="176"/>
      <c r="I10" s="176"/>
      <c r="J10" s="176"/>
      <c r="K10" s="176"/>
      <c r="L10" s="176"/>
      <c r="M10" s="176"/>
      <c r="N10" s="176"/>
      <c r="O10" s="176"/>
      <c r="P10" s="176"/>
      <c r="Q10" s="186" t="s">
        <v>60</v>
      </c>
      <c r="R10" s="187" t="s">
        <v>103</v>
      </c>
      <c r="S10" s="188" t="s">
        <v>62</v>
      </c>
      <c r="T10" s="189" t="s">
        <v>63</v>
      </c>
      <c r="U10" s="190" t="s">
        <v>104</v>
      </c>
      <c r="V10" s="191" t="s">
        <v>104</v>
      </c>
      <c r="W10" s="191"/>
      <c r="X10" s="192" t="s">
        <v>105</v>
      </c>
      <c r="Y10" s="193"/>
      <c r="Z10" s="194" t="s">
        <v>106</v>
      </c>
      <c r="AA10" s="193"/>
      <c r="AB10" s="186" t="s">
        <v>55</v>
      </c>
      <c r="AC10" s="186"/>
      <c r="AD10" s="189" t="s">
        <v>107</v>
      </c>
      <c r="AE10" s="193"/>
      <c r="AF10" s="195" t="s">
        <v>108</v>
      </c>
      <c r="AG10" s="195"/>
    </row>
    <row r="11" customFormat="false" ht="12.75" hidden="false" customHeight="true" outlineLevel="0" collapsed="false">
      <c r="A11" s="196" t="n">
        <f aca="false">DATA!A9</f>
        <v>1</v>
      </c>
      <c r="B11" s="197"/>
      <c r="C11" s="197" t="str">
        <f aca="false">LEFT(DATA!F9,1)</f>
        <v/>
      </c>
      <c r="D11" s="197" t="str">
        <f aca="false">MID(DATA!F9,2,1)</f>
        <v/>
      </c>
      <c r="E11" s="197"/>
      <c r="F11" s="197" t="str">
        <f aca="false">MID(DATA!F9,3,1)</f>
        <v/>
      </c>
      <c r="G11" s="197" t="str">
        <f aca="false">MID(DATA!F9,4,1)</f>
        <v/>
      </c>
      <c r="H11" s="197" t="str">
        <f aca="false">MID(DATA!F9,5,1)</f>
        <v/>
      </c>
      <c r="I11" s="197" t="str">
        <f aca="false">MID(DATA!F9,6,1)</f>
        <v/>
      </c>
      <c r="J11" s="197" t="str">
        <f aca="false">MID(DATA!F9,7,1)</f>
        <v/>
      </c>
      <c r="K11" s="197" t="str">
        <f aca="false">MID(DATA!F9,8,1)</f>
        <v/>
      </c>
      <c r="L11" s="197" t="str">
        <f aca="false">MID(DATA!F9,9,1)</f>
        <v/>
      </c>
      <c r="M11" s="197" t="str">
        <f aca="false">MID(DATA!F9,10,1)</f>
        <v/>
      </c>
      <c r="N11" s="197" t="str">
        <f aca="false">MID(DATA!F9,11,1)</f>
        <v/>
      </c>
      <c r="O11" s="197"/>
      <c r="P11" s="197" t="str">
        <f aca="false">MID(DATA!F9,12,1)</f>
        <v/>
      </c>
      <c r="Q11" s="197" t="str">
        <f aca="false">UPPER(DATA!B9)</f>
        <v/>
      </c>
      <c r="R11" s="197" t="str">
        <f aca="false">UPPER(DATA!C9)</f>
        <v/>
      </c>
      <c r="S11" s="197" t="str">
        <f aca="false">UPPER(DATA!D9)</f>
        <v/>
      </c>
      <c r="T11" s="197" t="str">
        <f aca="false">UPPER(IF(DATA!BK9=TRUE(),"  ",IF(DATA!BK9=FALSE(),DATA!E9)))</f>
        <v>  </v>
      </c>
      <c r="U11" s="197"/>
      <c r="V11" s="198" t="str">
        <f aca="false">IF(DATA!BQ9=TRUE()," ",IF(DATA!BQ9=FALSE(),DATA!G9))</f>
        <v> </v>
      </c>
      <c r="W11" s="198"/>
      <c r="X11" s="199" t="n">
        <f aca="false">DATA!H9</f>
        <v>0</v>
      </c>
      <c r="Y11" s="197"/>
      <c r="Z11" s="200" t="n">
        <f aca="false">DATA!J9</f>
        <v>0</v>
      </c>
      <c r="AA11" s="201"/>
      <c r="AB11" s="202" t="str">
        <f aca="false">IF(Z11&gt;0,DATA!BG9,IF(Z11=0," "))</f>
        <v> </v>
      </c>
      <c r="AC11" s="202"/>
      <c r="AD11" s="203" t="str">
        <f aca="false">IF(Z11&gt;0,DATA!BH9,IF(Z11=0," "))</f>
        <v> </v>
      </c>
      <c r="AE11" s="201"/>
      <c r="AF11" s="204" t="str">
        <f aca="false">UPPER(IF(DATA!BO9=TRUE()," ",IF(DATA!BO9=FALSE(),DATA!BS9)))</f>
        <v> </v>
      </c>
      <c r="AG11" s="205" t="str">
        <f aca="false">IF(DATA!BP9=TRUE()," ",IF(DATA!BP9=FALSE(),DATA!BT9))</f>
        <v> </v>
      </c>
    </row>
    <row r="12" customFormat="false" ht="12.75" hidden="false" customHeight="true" outlineLevel="0" collapsed="false">
      <c r="A12" s="206" t="n">
        <f aca="false">DATA!A10</f>
        <v>2</v>
      </c>
      <c r="B12" s="207"/>
      <c r="C12" s="207" t="str">
        <f aca="false">LEFT(DATA!F10,1)</f>
        <v/>
      </c>
      <c r="D12" s="207" t="str">
        <f aca="false">MID(DATA!F10,2,1)</f>
        <v/>
      </c>
      <c r="E12" s="207"/>
      <c r="F12" s="207" t="str">
        <f aca="false">MID(DATA!F10,3,1)</f>
        <v/>
      </c>
      <c r="G12" s="207" t="str">
        <f aca="false">MID(DATA!F10,4,1)</f>
        <v/>
      </c>
      <c r="H12" s="207" t="str">
        <f aca="false">MID(DATA!F10,5,1)</f>
        <v/>
      </c>
      <c r="I12" s="207" t="str">
        <f aca="false">MID(DATA!F10,6,1)</f>
        <v/>
      </c>
      <c r="J12" s="207" t="str">
        <f aca="false">MID(DATA!F10,7,1)</f>
        <v/>
      </c>
      <c r="K12" s="207" t="str">
        <f aca="false">MID(DATA!F10,8,1)</f>
        <v/>
      </c>
      <c r="L12" s="207" t="str">
        <f aca="false">MID(DATA!F10,9,1)</f>
        <v/>
      </c>
      <c r="M12" s="207" t="str">
        <f aca="false">MID(DATA!F10,10,1)</f>
        <v/>
      </c>
      <c r="N12" s="207" t="str">
        <f aca="false">MID(DATA!F10,11,1)</f>
        <v/>
      </c>
      <c r="O12" s="207"/>
      <c r="P12" s="207" t="str">
        <f aca="false">MID(DATA!F10,12,1)</f>
        <v/>
      </c>
      <c r="Q12" s="207" t="str">
        <f aca="false">UPPER(DATA!B10)</f>
        <v/>
      </c>
      <c r="R12" s="207" t="str">
        <f aca="false">UPPER(DATA!C10)</f>
        <v/>
      </c>
      <c r="S12" s="207" t="str">
        <f aca="false">UPPER(DATA!D10)</f>
        <v/>
      </c>
      <c r="T12" s="207" t="str">
        <f aca="false">UPPER(IF(DATA!BK10=TRUE(),"  ",IF(DATA!BK10=FALSE(),DATA!E10)))</f>
        <v>  </v>
      </c>
      <c r="U12" s="207"/>
      <c r="V12" s="208" t="str">
        <f aca="false">IF(DATA!BQ10=TRUE()," ",IF(DATA!BQ10=FALSE(),DATA!G10))</f>
        <v> </v>
      </c>
      <c r="W12" s="208"/>
      <c r="X12" s="209" t="n">
        <f aca="false">DATA!H10</f>
        <v>0</v>
      </c>
      <c r="Y12" s="207"/>
      <c r="Z12" s="210" t="n">
        <f aca="false">DATA!J10</f>
        <v>0</v>
      </c>
      <c r="AA12" s="207"/>
      <c r="AB12" s="211" t="str">
        <f aca="false">IF(Z12&gt;0,DATA!BG10,IF(Z12=0," "))</f>
        <v> </v>
      </c>
      <c r="AC12" s="211"/>
      <c r="AD12" s="212" t="str">
        <f aca="false">IF(Z12&gt;0,DATA!BH10,IF(Z12=0," "))</f>
        <v> </v>
      </c>
      <c r="AE12" s="207"/>
      <c r="AF12" s="213" t="str">
        <f aca="false">UPPER(IF(DATA!BO10=TRUE()," ",IF(DATA!BO10=FALSE(),DATA!BS10)))</f>
        <v> </v>
      </c>
      <c r="AG12" s="214" t="str">
        <f aca="false">IF(DATA!BP10=TRUE()," ",IF(DATA!BP10=FALSE(),DATA!BT10))</f>
        <v> </v>
      </c>
    </row>
    <row r="13" customFormat="false" ht="12.75" hidden="false" customHeight="true" outlineLevel="0" collapsed="false">
      <c r="A13" s="206" t="n">
        <f aca="false">DATA!A11</f>
        <v>3</v>
      </c>
      <c r="B13" s="207"/>
      <c r="C13" s="207" t="str">
        <f aca="false">LEFT(DATA!F11,1)</f>
        <v/>
      </c>
      <c r="D13" s="207" t="str">
        <f aca="false">MID(DATA!F11,2,1)</f>
        <v/>
      </c>
      <c r="E13" s="207"/>
      <c r="F13" s="207" t="str">
        <f aca="false">MID(DATA!F11,3,1)</f>
        <v/>
      </c>
      <c r="G13" s="207" t="str">
        <f aca="false">MID(DATA!F11,4,1)</f>
        <v/>
      </c>
      <c r="H13" s="207" t="str">
        <f aca="false">MID(DATA!F11,5,1)</f>
        <v/>
      </c>
      <c r="I13" s="207" t="str">
        <f aca="false">MID(DATA!F11,6,1)</f>
        <v/>
      </c>
      <c r="J13" s="207" t="str">
        <f aca="false">MID(DATA!F11,7,1)</f>
        <v/>
      </c>
      <c r="K13" s="207" t="str">
        <f aca="false">MID(DATA!F11,8,1)</f>
        <v/>
      </c>
      <c r="L13" s="207" t="str">
        <f aca="false">MID(DATA!F11,9,1)</f>
        <v/>
      </c>
      <c r="M13" s="207" t="str">
        <f aca="false">MID(DATA!F11,10,1)</f>
        <v/>
      </c>
      <c r="N13" s="207" t="str">
        <f aca="false">MID(DATA!F11,11,1)</f>
        <v/>
      </c>
      <c r="O13" s="207"/>
      <c r="P13" s="207" t="str">
        <f aca="false">MID(DATA!F11,12,1)</f>
        <v/>
      </c>
      <c r="Q13" s="207" t="str">
        <f aca="false">UPPER(DATA!B11)</f>
        <v/>
      </c>
      <c r="R13" s="207" t="str">
        <f aca="false">UPPER(DATA!C11)</f>
        <v/>
      </c>
      <c r="S13" s="207" t="str">
        <f aca="false">UPPER(DATA!D11)</f>
        <v/>
      </c>
      <c r="T13" s="207" t="str">
        <f aca="false">UPPER(IF(DATA!BK11=TRUE(),"  ",IF(DATA!BK11=FALSE(),DATA!E11)))</f>
        <v>  </v>
      </c>
      <c r="U13" s="207"/>
      <c r="V13" s="208" t="str">
        <f aca="false">IF(DATA!BQ11=TRUE()," ",IF(DATA!BQ11=FALSE(),DATA!G11))</f>
        <v> </v>
      </c>
      <c r="W13" s="208"/>
      <c r="X13" s="209" t="n">
        <f aca="false">DATA!H11</f>
        <v>0</v>
      </c>
      <c r="Y13" s="207"/>
      <c r="Z13" s="210" t="n">
        <f aca="false">DATA!J11</f>
        <v>0</v>
      </c>
      <c r="AA13" s="207"/>
      <c r="AB13" s="211" t="str">
        <f aca="false">IF(Z13&gt;0,DATA!BG11,IF(Z13=0," "))</f>
        <v> </v>
      </c>
      <c r="AC13" s="211"/>
      <c r="AD13" s="212" t="str">
        <f aca="false">IF(Z13&gt;0,DATA!BH11,IF(Z13=0," "))</f>
        <v> </v>
      </c>
      <c r="AE13" s="207"/>
      <c r="AF13" s="213" t="str">
        <f aca="false">UPPER(IF(DATA!BO11=TRUE()," ",IF(DATA!BO11=FALSE(),DATA!BS11)))</f>
        <v> </v>
      </c>
      <c r="AG13" s="214" t="str">
        <f aca="false">IF(DATA!BP11=TRUE()," ",IF(DATA!BP11=FALSE(),DATA!BT11))</f>
        <v> </v>
      </c>
    </row>
    <row r="14" customFormat="false" ht="12.75" hidden="false" customHeight="true" outlineLevel="0" collapsed="false">
      <c r="A14" s="206" t="n">
        <f aca="false">DATA!A12</f>
        <v>4</v>
      </c>
      <c r="B14" s="207"/>
      <c r="C14" s="207" t="str">
        <f aca="false">LEFT(DATA!F12,1)</f>
        <v/>
      </c>
      <c r="D14" s="207" t="str">
        <f aca="false">MID(DATA!F12,2,1)</f>
        <v/>
      </c>
      <c r="E14" s="207"/>
      <c r="F14" s="207" t="str">
        <f aca="false">MID(DATA!F12,3,1)</f>
        <v/>
      </c>
      <c r="G14" s="207" t="str">
        <f aca="false">MID(DATA!F12,4,1)</f>
        <v/>
      </c>
      <c r="H14" s="207" t="str">
        <f aca="false">MID(DATA!F12,5,1)</f>
        <v/>
      </c>
      <c r="I14" s="207" t="str">
        <f aca="false">MID(DATA!F12,6,1)</f>
        <v/>
      </c>
      <c r="J14" s="207" t="str">
        <f aca="false">MID(DATA!F12,7,1)</f>
        <v/>
      </c>
      <c r="K14" s="207" t="str">
        <f aca="false">MID(DATA!F12,8,1)</f>
        <v/>
      </c>
      <c r="L14" s="207" t="str">
        <f aca="false">MID(DATA!F12,9,1)</f>
        <v/>
      </c>
      <c r="M14" s="207" t="str">
        <f aca="false">MID(DATA!F12,10,1)</f>
        <v/>
      </c>
      <c r="N14" s="207" t="str">
        <f aca="false">MID(DATA!F12,11,1)</f>
        <v/>
      </c>
      <c r="O14" s="207"/>
      <c r="P14" s="207" t="str">
        <f aca="false">MID(DATA!F12,12,1)</f>
        <v/>
      </c>
      <c r="Q14" s="207" t="str">
        <f aca="false">UPPER(DATA!B12)</f>
        <v/>
      </c>
      <c r="R14" s="207" t="str">
        <f aca="false">UPPER(DATA!C12)</f>
        <v/>
      </c>
      <c r="S14" s="207" t="str">
        <f aca="false">UPPER(DATA!D12)</f>
        <v/>
      </c>
      <c r="T14" s="207" t="str">
        <f aca="false">UPPER(IF(DATA!BK12=TRUE(),"  ",IF(DATA!BK12=FALSE(),DATA!E12)))</f>
        <v>  </v>
      </c>
      <c r="U14" s="207"/>
      <c r="V14" s="208" t="str">
        <f aca="false">IF(DATA!BQ12=TRUE()," ",IF(DATA!BQ12=FALSE(),DATA!G12))</f>
        <v> </v>
      </c>
      <c r="W14" s="208"/>
      <c r="X14" s="209" t="n">
        <f aca="false">DATA!H12</f>
        <v>0</v>
      </c>
      <c r="Y14" s="207"/>
      <c r="Z14" s="210" t="n">
        <f aca="false">DATA!J12</f>
        <v>0</v>
      </c>
      <c r="AA14" s="207"/>
      <c r="AB14" s="211" t="str">
        <f aca="false">IF(Z14&gt;0,DATA!BG12,IF(Z14=0," "))</f>
        <v> </v>
      </c>
      <c r="AC14" s="211"/>
      <c r="AD14" s="212" t="str">
        <f aca="false">IF(Z14&gt;0,DATA!BH12,IF(Z14=0," "))</f>
        <v> </v>
      </c>
      <c r="AE14" s="207"/>
      <c r="AF14" s="213" t="str">
        <f aca="false">UPPER(IF(DATA!BO12=TRUE()," ",IF(DATA!BO12=FALSE(),DATA!BS12)))</f>
        <v> </v>
      </c>
      <c r="AG14" s="214" t="str">
        <f aca="false">IF(DATA!BP12=TRUE()," ",IF(DATA!BP12=FALSE(),DATA!BT12))</f>
        <v> </v>
      </c>
    </row>
    <row r="15" customFormat="false" ht="12.75" hidden="false" customHeight="true" outlineLevel="0" collapsed="false">
      <c r="A15" s="206" t="n">
        <f aca="false">DATA!A13</f>
        <v>5</v>
      </c>
      <c r="B15" s="207"/>
      <c r="C15" s="207" t="str">
        <f aca="false">LEFT(DATA!F13,1)</f>
        <v/>
      </c>
      <c r="D15" s="207" t="str">
        <f aca="false">MID(DATA!F13,2,1)</f>
        <v/>
      </c>
      <c r="E15" s="207"/>
      <c r="F15" s="207" t="str">
        <f aca="false">MID(DATA!F13,3,1)</f>
        <v/>
      </c>
      <c r="G15" s="207" t="str">
        <f aca="false">MID(DATA!F13,4,1)</f>
        <v/>
      </c>
      <c r="H15" s="207" t="str">
        <f aca="false">MID(DATA!F13,5,1)</f>
        <v/>
      </c>
      <c r="I15" s="207" t="str">
        <f aca="false">MID(DATA!F13,6,1)</f>
        <v/>
      </c>
      <c r="J15" s="207" t="str">
        <f aca="false">MID(DATA!F13,7,1)</f>
        <v/>
      </c>
      <c r="K15" s="207" t="str">
        <f aca="false">MID(DATA!F13,8,1)</f>
        <v/>
      </c>
      <c r="L15" s="207" t="str">
        <f aca="false">MID(DATA!F13,9,1)</f>
        <v/>
      </c>
      <c r="M15" s="207" t="str">
        <f aca="false">MID(DATA!F13,10,1)</f>
        <v/>
      </c>
      <c r="N15" s="207" t="str">
        <f aca="false">MID(DATA!F13,11,1)</f>
        <v/>
      </c>
      <c r="O15" s="207"/>
      <c r="P15" s="207" t="str">
        <f aca="false">MID(DATA!F13,12,1)</f>
        <v/>
      </c>
      <c r="Q15" s="207" t="str">
        <f aca="false">UPPER(DATA!B13)</f>
        <v/>
      </c>
      <c r="R15" s="207" t="str">
        <f aca="false">UPPER(DATA!C13)</f>
        <v/>
      </c>
      <c r="S15" s="207" t="str">
        <f aca="false">UPPER(DATA!D13)</f>
        <v/>
      </c>
      <c r="T15" s="207" t="str">
        <f aca="false">UPPER(IF(DATA!BK13=TRUE(),"  ",IF(DATA!BK13=FALSE(),DATA!E13)))</f>
        <v>  </v>
      </c>
      <c r="U15" s="207"/>
      <c r="V15" s="208" t="str">
        <f aca="false">IF(DATA!BQ13=TRUE()," ",IF(DATA!BQ13=FALSE(),DATA!G13))</f>
        <v> </v>
      </c>
      <c r="W15" s="208"/>
      <c r="X15" s="209" t="n">
        <f aca="false">DATA!H13</f>
        <v>0</v>
      </c>
      <c r="Y15" s="207"/>
      <c r="Z15" s="210" t="n">
        <f aca="false">DATA!J13</f>
        <v>0</v>
      </c>
      <c r="AA15" s="207"/>
      <c r="AB15" s="211" t="str">
        <f aca="false">IF(Z15&gt;0,DATA!BG13,IF(Z15=0," "))</f>
        <v> </v>
      </c>
      <c r="AC15" s="211"/>
      <c r="AD15" s="212" t="str">
        <f aca="false">IF(Z15&gt;0,DATA!BH13,IF(Z15=0," "))</f>
        <v> </v>
      </c>
      <c r="AE15" s="207"/>
      <c r="AF15" s="213" t="str">
        <f aca="false">UPPER(IF(DATA!BO13=TRUE()," ",IF(DATA!BO13=FALSE(),DATA!BS13)))</f>
        <v> </v>
      </c>
      <c r="AG15" s="214" t="str">
        <f aca="false">IF(DATA!BP13=TRUE()," ",IF(DATA!BP13=FALSE(),DATA!BT13))</f>
        <v> </v>
      </c>
    </row>
    <row r="16" customFormat="false" ht="12.75" hidden="false" customHeight="true" outlineLevel="0" collapsed="false">
      <c r="A16" s="206" t="n">
        <f aca="false">DATA!A14</f>
        <v>6</v>
      </c>
      <c r="B16" s="207"/>
      <c r="C16" s="207" t="str">
        <f aca="false">LEFT(DATA!F14,1)</f>
        <v/>
      </c>
      <c r="D16" s="207" t="str">
        <f aca="false">MID(DATA!F14,2,1)</f>
        <v/>
      </c>
      <c r="E16" s="207"/>
      <c r="F16" s="207" t="str">
        <f aca="false">MID(DATA!F14,3,1)</f>
        <v/>
      </c>
      <c r="G16" s="207" t="str">
        <f aca="false">MID(DATA!F14,4,1)</f>
        <v/>
      </c>
      <c r="H16" s="207" t="str">
        <f aca="false">MID(DATA!F14,5,1)</f>
        <v/>
      </c>
      <c r="I16" s="207" t="str">
        <f aca="false">MID(DATA!F14,6,1)</f>
        <v/>
      </c>
      <c r="J16" s="207" t="str">
        <f aca="false">MID(DATA!F14,7,1)</f>
        <v/>
      </c>
      <c r="K16" s="207" t="str">
        <f aca="false">MID(DATA!F14,8,1)</f>
        <v/>
      </c>
      <c r="L16" s="207" t="str">
        <f aca="false">MID(DATA!F14,9,1)</f>
        <v/>
      </c>
      <c r="M16" s="207" t="str">
        <f aca="false">MID(DATA!F14,10,1)</f>
        <v/>
      </c>
      <c r="N16" s="207" t="str">
        <f aca="false">MID(DATA!F14,11,1)</f>
        <v/>
      </c>
      <c r="O16" s="207"/>
      <c r="P16" s="207" t="str">
        <f aca="false">MID(DATA!F14,12,1)</f>
        <v/>
      </c>
      <c r="Q16" s="207" t="str">
        <f aca="false">UPPER(DATA!B14)</f>
        <v/>
      </c>
      <c r="R16" s="207" t="str">
        <f aca="false">UPPER(DATA!C14)</f>
        <v/>
      </c>
      <c r="S16" s="207" t="str">
        <f aca="false">UPPER(DATA!D14)</f>
        <v/>
      </c>
      <c r="T16" s="207" t="str">
        <f aca="false">UPPER(IF(DATA!BK14=TRUE(),"  ",IF(DATA!BK14=FALSE(),DATA!E14)))</f>
        <v>  </v>
      </c>
      <c r="U16" s="207"/>
      <c r="V16" s="208" t="str">
        <f aca="false">IF(DATA!BQ14=TRUE()," ",IF(DATA!BQ14=FALSE(),DATA!G14))</f>
        <v> </v>
      </c>
      <c r="W16" s="208"/>
      <c r="X16" s="209" t="n">
        <f aca="false">DATA!H14</f>
        <v>0</v>
      </c>
      <c r="Y16" s="207"/>
      <c r="Z16" s="210" t="n">
        <f aca="false">DATA!J14</f>
        <v>0</v>
      </c>
      <c r="AA16" s="207"/>
      <c r="AB16" s="211" t="str">
        <f aca="false">IF(Z16&gt;0,DATA!BG14,IF(Z16=0," "))</f>
        <v> </v>
      </c>
      <c r="AC16" s="211"/>
      <c r="AD16" s="212" t="str">
        <f aca="false">IF(Z16&gt;0,DATA!BH14,IF(Z16=0," "))</f>
        <v> </v>
      </c>
      <c r="AE16" s="207"/>
      <c r="AF16" s="213" t="str">
        <f aca="false">UPPER(IF(DATA!BO14=TRUE()," ",IF(DATA!BO14=FALSE(),DATA!BS14)))</f>
        <v> </v>
      </c>
      <c r="AG16" s="214" t="str">
        <f aca="false">IF(DATA!BP14=TRUE()," ",IF(DATA!BP14=FALSE(),DATA!BT14))</f>
        <v> </v>
      </c>
    </row>
    <row r="17" customFormat="false" ht="12.75" hidden="false" customHeight="true" outlineLevel="0" collapsed="false">
      <c r="A17" s="206" t="n">
        <f aca="false">DATA!A15</f>
        <v>7</v>
      </c>
      <c r="B17" s="207"/>
      <c r="C17" s="207" t="str">
        <f aca="false">LEFT(DATA!F15,1)</f>
        <v/>
      </c>
      <c r="D17" s="207" t="str">
        <f aca="false">MID(DATA!F15,2,1)</f>
        <v/>
      </c>
      <c r="E17" s="207"/>
      <c r="F17" s="207" t="str">
        <f aca="false">MID(DATA!F15,3,1)</f>
        <v/>
      </c>
      <c r="G17" s="207" t="str">
        <f aca="false">MID(DATA!F15,4,1)</f>
        <v/>
      </c>
      <c r="H17" s="207" t="str">
        <f aca="false">MID(DATA!F15,5,1)</f>
        <v/>
      </c>
      <c r="I17" s="207" t="str">
        <f aca="false">MID(DATA!F15,6,1)</f>
        <v/>
      </c>
      <c r="J17" s="207" t="str">
        <f aca="false">MID(DATA!F15,7,1)</f>
        <v/>
      </c>
      <c r="K17" s="207" t="str">
        <f aca="false">MID(DATA!F15,8,1)</f>
        <v/>
      </c>
      <c r="L17" s="207" t="str">
        <f aca="false">MID(DATA!F15,9,1)</f>
        <v/>
      </c>
      <c r="M17" s="207" t="str">
        <f aca="false">MID(DATA!F15,10,1)</f>
        <v/>
      </c>
      <c r="N17" s="207" t="str">
        <f aca="false">MID(DATA!F15,11,1)</f>
        <v/>
      </c>
      <c r="O17" s="207"/>
      <c r="P17" s="207" t="str">
        <f aca="false">MID(DATA!F15,12,1)</f>
        <v/>
      </c>
      <c r="Q17" s="207" t="str">
        <f aca="false">UPPER(DATA!B15)</f>
        <v/>
      </c>
      <c r="R17" s="207" t="str">
        <f aca="false">UPPER(DATA!C15)</f>
        <v/>
      </c>
      <c r="S17" s="207" t="str">
        <f aca="false">UPPER(DATA!D15)</f>
        <v/>
      </c>
      <c r="T17" s="207" t="str">
        <f aca="false">UPPER(IF(DATA!BK15=TRUE(),"  ",IF(DATA!BK15=FALSE(),DATA!E15)))</f>
        <v>  </v>
      </c>
      <c r="U17" s="207"/>
      <c r="V17" s="208" t="str">
        <f aca="false">IF(DATA!BQ15=TRUE()," ",IF(DATA!BQ15=FALSE(),DATA!G15))</f>
        <v> </v>
      </c>
      <c r="W17" s="208"/>
      <c r="X17" s="209" t="n">
        <f aca="false">DATA!H15</f>
        <v>0</v>
      </c>
      <c r="Y17" s="207"/>
      <c r="Z17" s="210" t="n">
        <f aca="false">DATA!J15</f>
        <v>0</v>
      </c>
      <c r="AA17" s="207"/>
      <c r="AB17" s="211" t="str">
        <f aca="false">IF(Z17&gt;0,DATA!BG15,IF(Z17=0," "))</f>
        <v> </v>
      </c>
      <c r="AC17" s="211"/>
      <c r="AD17" s="212" t="str">
        <f aca="false">IF(Z17&gt;0,DATA!BH15,IF(Z17=0," "))</f>
        <v> </v>
      </c>
      <c r="AE17" s="207"/>
      <c r="AF17" s="213" t="str">
        <f aca="false">UPPER(IF(DATA!BO15=TRUE()," ",IF(DATA!BO15=FALSE(),DATA!BS15)))</f>
        <v> </v>
      </c>
      <c r="AG17" s="214" t="str">
        <f aca="false">IF(DATA!BP15=TRUE()," ",IF(DATA!BP15=FALSE(),DATA!BT15))</f>
        <v> </v>
      </c>
    </row>
    <row r="18" customFormat="false" ht="12.75" hidden="false" customHeight="true" outlineLevel="0" collapsed="false">
      <c r="A18" s="206" t="n">
        <f aca="false">DATA!A16</f>
        <v>8</v>
      </c>
      <c r="B18" s="207"/>
      <c r="C18" s="207" t="str">
        <f aca="false">LEFT(DATA!F16,1)</f>
        <v/>
      </c>
      <c r="D18" s="207" t="str">
        <f aca="false">MID(DATA!F16,2,1)</f>
        <v/>
      </c>
      <c r="E18" s="207"/>
      <c r="F18" s="207" t="str">
        <f aca="false">MID(DATA!F16,3,1)</f>
        <v/>
      </c>
      <c r="G18" s="207" t="str">
        <f aca="false">MID(DATA!F16,4,1)</f>
        <v/>
      </c>
      <c r="H18" s="207" t="str">
        <f aca="false">MID(DATA!F16,5,1)</f>
        <v/>
      </c>
      <c r="I18" s="207" t="str">
        <f aca="false">MID(DATA!F16,6,1)</f>
        <v/>
      </c>
      <c r="J18" s="207" t="str">
        <f aca="false">MID(DATA!F16,7,1)</f>
        <v/>
      </c>
      <c r="K18" s="207" t="str">
        <f aca="false">MID(DATA!F16,8,1)</f>
        <v/>
      </c>
      <c r="L18" s="207" t="str">
        <f aca="false">MID(DATA!F16,9,1)</f>
        <v/>
      </c>
      <c r="M18" s="207" t="str">
        <f aca="false">MID(DATA!F16,10,1)</f>
        <v/>
      </c>
      <c r="N18" s="207" t="str">
        <f aca="false">MID(DATA!F16,11,1)</f>
        <v/>
      </c>
      <c r="O18" s="207"/>
      <c r="P18" s="207" t="str">
        <f aca="false">MID(DATA!F16,12,1)</f>
        <v/>
      </c>
      <c r="Q18" s="207" t="str">
        <f aca="false">UPPER(DATA!B16)</f>
        <v/>
      </c>
      <c r="R18" s="207" t="str">
        <f aca="false">UPPER(DATA!C16)</f>
        <v/>
      </c>
      <c r="S18" s="207" t="str">
        <f aca="false">UPPER(DATA!D16)</f>
        <v/>
      </c>
      <c r="T18" s="207" t="str">
        <f aca="false">UPPER(IF(DATA!BK16=TRUE(),"  ",IF(DATA!BK16=FALSE(),DATA!E16)))</f>
        <v>  </v>
      </c>
      <c r="U18" s="207"/>
      <c r="V18" s="208" t="str">
        <f aca="false">IF(DATA!BQ16=TRUE()," ",IF(DATA!BQ16=FALSE(),DATA!G16))</f>
        <v> </v>
      </c>
      <c r="W18" s="208"/>
      <c r="X18" s="209" t="n">
        <f aca="false">DATA!H16</f>
        <v>0</v>
      </c>
      <c r="Y18" s="207"/>
      <c r="Z18" s="210" t="n">
        <f aca="false">DATA!J16</f>
        <v>0</v>
      </c>
      <c r="AA18" s="207"/>
      <c r="AB18" s="211" t="str">
        <f aca="false">IF(Z18&gt;0,DATA!BG16,IF(Z18=0," "))</f>
        <v> </v>
      </c>
      <c r="AC18" s="211"/>
      <c r="AD18" s="212" t="str">
        <f aca="false">IF(Z18&gt;0,DATA!BH16,IF(Z18=0," "))</f>
        <v> </v>
      </c>
      <c r="AE18" s="207"/>
      <c r="AF18" s="213" t="str">
        <f aca="false">UPPER(IF(DATA!BO16=TRUE()," ",IF(DATA!BO16=FALSE(),DATA!BS16)))</f>
        <v> </v>
      </c>
      <c r="AG18" s="214" t="str">
        <f aca="false">IF(DATA!BP16=TRUE()," ",IF(DATA!BP16=FALSE(),DATA!BT16))</f>
        <v> </v>
      </c>
    </row>
    <row r="19" customFormat="false" ht="12.75" hidden="false" customHeight="true" outlineLevel="0" collapsed="false">
      <c r="A19" s="206" t="n">
        <f aca="false">DATA!A17</f>
        <v>9</v>
      </c>
      <c r="B19" s="207"/>
      <c r="C19" s="207" t="str">
        <f aca="false">LEFT(DATA!F17,1)</f>
        <v/>
      </c>
      <c r="D19" s="207" t="str">
        <f aca="false">MID(DATA!F17,2,1)</f>
        <v/>
      </c>
      <c r="E19" s="207"/>
      <c r="F19" s="207" t="str">
        <f aca="false">MID(DATA!F17,3,1)</f>
        <v/>
      </c>
      <c r="G19" s="207" t="str">
        <f aca="false">MID(DATA!F17,4,1)</f>
        <v/>
      </c>
      <c r="H19" s="207" t="str">
        <f aca="false">MID(DATA!F17,5,1)</f>
        <v/>
      </c>
      <c r="I19" s="207" t="str">
        <f aca="false">MID(DATA!F17,6,1)</f>
        <v/>
      </c>
      <c r="J19" s="207" t="str">
        <f aca="false">MID(DATA!F17,7,1)</f>
        <v/>
      </c>
      <c r="K19" s="207" t="str">
        <f aca="false">MID(DATA!F17,8,1)</f>
        <v/>
      </c>
      <c r="L19" s="207" t="str">
        <f aca="false">MID(DATA!F17,9,1)</f>
        <v/>
      </c>
      <c r="M19" s="207" t="str">
        <f aca="false">MID(DATA!F17,10,1)</f>
        <v/>
      </c>
      <c r="N19" s="207" t="str">
        <f aca="false">MID(DATA!F17,11,1)</f>
        <v/>
      </c>
      <c r="O19" s="207"/>
      <c r="P19" s="207" t="str">
        <f aca="false">MID(DATA!F17,12,1)</f>
        <v/>
      </c>
      <c r="Q19" s="207" t="str">
        <f aca="false">UPPER(DATA!B17)</f>
        <v/>
      </c>
      <c r="R19" s="207" t="str">
        <f aca="false">UPPER(DATA!C17)</f>
        <v/>
      </c>
      <c r="S19" s="207" t="str">
        <f aca="false">UPPER(DATA!D17)</f>
        <v/>
      </c>
      <c r="T19" s="207" t="str">
        <f aca="false">UPPER(IF(DATA!BK17=TRUE(),"  ",IF(DATA!BK17=FALSE(),DATA!E17)))</f>
        <v>  </v>
      </c>
      <c r="U19" s="207"/>
      <c r="V19" s="208" t="str">
        <f aca="false">IF(DATA!BQ17=TRUE()," ",IF(DATA!BQ17=FALSE(),DATA!G17))</f>
        <v> </v>
      </c>
      <c r="W19" s="208"/>
      <c r="X19" s="209" t="n">
        <f aca="false">DATA!H17</f>
        <v>0</v>
      </c>
      <c r="Y19" s="207"/>
      <c r="Z19" s="210" t="n">
        <f aca="false">DATA!J17</f>
        <v>0</v>
      </c>
      <c r="AA19" s="207"/>
      <c r="AB19" s="211" t="str">
        <f aca="false">IF(Z19&gt;0,DATA!BG17,IF(Z19=0," "))</f>
        <v> </v>
      </c>
      <c r="AC19" s="211"/>
      <c r="AD19" s="212" t="str">
        <f aca="false">IF(Z19&gt;0,DATA!BH17,IF(Z19=0," "))</f>
        <v> </v>
      </c>
      <c r="AE19" s="207"/>
      <c r="AF19" s="213" t="str">
        <f aca="false">UPPER(IF(DATA!BO17=TRUE()," ",IF(DATA!BO17=FALSE(),DATA!BS17)))</f>
        <v> </v>
      </c>
      <c r="AG19" s="214" t="str">
        <f aca="false">IF(DATA!BP17=TRUE()," ",IF(DATA!BP17=FALSE(),DATA!BT17))</f>
        <v> </v>
      </c>
    </row>
    <row r="20" customFormat="false" ht="12.75" hidden="false" customHeight="true" outlineLevel="0" collapsed="false">
      <c r="A20" s="206" t="n">
        <f aca="false">DATA!A18</f>
        <v>10</v>
      </c>
      <c r="B20" s="207"/>
      <c r="C20" s="207" t="str">
        <f aca="false">LEFT(DATA!F18,1)</f>
        <v/>
      </c>
      <c r="D20" s="207" t="str">
        <f aca="false">MID(DATA!F18,2,1)</f>
        <v/>
      </c>
      <c r="E20" s="207"/>
      <c r="F20" s="207" t="str">
        <f aca="false">MID(DATA!F18,3,1)</f>
        <v/>
      </c>
      <c r="G20" s="207" t="str">
        <f aca="false">MID(DATA!F18,4,1)</f>
        <v/>
      </c>
      <c r="H20" s="207" t="str">
        <f aca="false">MID(DATA!F18,5,1)</f>
        <v/>
      </c>
      <c r="I20" s="207" t="str">
        <f aca="false">MID(DATA!F18,6,1)</f>
        <v/>
      </c>
      <c r="J20" s="207" t="str">
        <f aca="false">MID(DATA!F18,7,1)</f>
        <v/>
      </c>
      <c r="K20" s="207" t="str">
        <f aca="false">MID(DATA!F18,8,1)</f>
        <v/>
      </c>
      <c r="L20" s="207" t="str">
        <f aca="false">MID(DATA!F18,9,1)</f>
        <v/>
      </c>
      <c r="M20" s="207" t="str">
        <f aca="false">MID(DATA!F18,10,1)</f>
        <v/>
      </c>
      <c r="N20" s="207" t="str">
        <f aca="false">MID(DATA!F18,11,1)</f>
        <v/>
      </c>
      <c r="O20" s="207"/>
      <c r="P20" s="207" t="str">
        <f aca="false">MID(DATA!F18,12,1)</f>
        <v/>
      </c>
      <c r="Q20" s="207" t="str">
        <f aca="false">UPPER(DATA!B18)</f>
        <v/>
      </c>
      <c r="R20" s="207" t="str">
        <f aca="false">UPPER(DATA!C18)</f>
        <v/>
      </c>
      <c r="S20" s="207" t="str">
        <f aca="false">UPPER(DATA!D18)</f>
        <v/>
      </c>
      <c r="T20" s="207" t="str">
        <f aca="false">UPPER(IF(DATA!BK18=TRUE(),"  ",IF(DATA!BK18=FALSE(),DATA!E18)))</f>
        <v>  </v>
      </c>
      <c r="U20" s="207"/>
      <c r="V20" s="208" t="str">
        <f aca="false">IF(DATA!BQ18=TRUE()," ",IF(DATA!BQ18=FALSE(),DATA!G18))</f>
        <v> </v>
      </c>
      <c r="W20" s="208"/>
      <c r="X20" s="209" t="n">
        <f aca="false">DATA!H18</f>
        <v>0</v>
      </c>
      <c r="Y20" s="207"/>
      <c r="Z20" s="210" t="n">
        <f aca="false">DATA!J18</f>
        <v>0</v>
      </c>
      <c r="AA20" s="207"/>
      <c r="AB20" s="211" t="str">
        <f aca="false">IF(Z20&gt;0,DATA!BG18,IF(Z20=0," "))</f>
        <v> </v>
      </c>
      <c r="AC20" s="211"/>
      <c r="AD20" s="212" t="str">
        <f aca="false">IF(Z20&gt;0,DATA!BH18,IF(Z20=0," "))</f>
        <v> </v>
      </c>
      <c r="AE20" s="207"/>
      <c r="AF20" s="213" t="str">
        <f aca="false">UPPER(IF(DATA!BO18=TRUE()," ",IF(DATA!BO18=FALSE(),DATA!BS18)))</f>
        <v> </v>
      </c>
      <c r="AG20" s="214" t="str">
        <f aca="false">IF(DATA!BP18=TRUE()," ",IF(DATA!BP18=FALSE(),DATA!BT18))</f>
        <v> </v>
      </c>
    </row>
    <row r="21" customFormat="false" ht="12.75" hidden="false" customHeight="true" outlineLevel="0" collapsed="false">
      <c r="A21" s="206" t="n">
        <f aca="false">DATA!A19</f>
        <v>11</v>
      </c>
      <c r="B21" s="207"/>
      <c r="C21" s="207" t="str">
        <f aca="false">LEFT(DATA!F19,1)</f>
        <v/>
      </c>
      <c r="D21" s="207" t="str">
        <f aca="false">MID(DATA!F19,2,1)</f>
        <v/>
      </c>
      <c r="E21" s="207"/>
      <c r="F21" s="207" t="str">
        <f aca="false">MID(DATA!F19,3,1)</f>
        <v/>
      </c>
      <c r="G21" s="207" t="str">
        <f aca="false">MID(DATA!F19,4,1)</f>
        <v/>
      </c>
      <c r="H21" s="207" t="str">
        <f aca="false">MID(DATA!F19,5,1)</f>
        <v/>
      </c>
      <c r="I21" s="207" t="str">
        <f aca="false">MID(DATA!F19,6,1)</f>
        <v/>
      </c>
      <c r="J21" s="207" t="str">
        <f aca="false">MID(DATA!F19,7,1)</f>
        <v/>
      </c>
      <c r="K21" s="207" t="str">
        <f aca="false">MID(DATA!F19,8,1)</f>
        <v/>
      </c>
      <c r="L21" s="207" t="str">
        <f aca="false">MID(DATA!F19,9,1)</f>
        <v/>
      </c>
      <c r="M21" s="207" t="str">
        <f aca="false">MID(DATA!F19,10,1)</f>
        <v/>
      </c>
      <c r="N21" s="207" t="str">
        <f aca="false">MID(DATA!F19,11,1)</f>
        <v/>
      </c>
      <c r="O21" s="207"/>
      <c r="P21" s="207" t="str">
        <f aca="false">MID(DATA!F19,12,1)</f>
        <v/>
      </c>
      <c r="Q21" s="207" t="str">
        <f aca="false">UPPER(DATA!B19)</f>
        <v/>
      </c>
      <c r="R21" s="207" t="str">
        <f aca="false">UPPER(DATA!C19)</f>
        <v/>
      </c>
      <c r="S21" s="207" t="str">
        <f aca="false">UPPER(DATA!D19)</f>
        <v/>
      </c>
      <c r="T21" s="207" t="str">
        <f aca="false">UPPER(IF(DATA!BK19=TRUE(),"  ",IF(DATA!BK19=FALSE(),DATA!E19)))</f>
        <v>  </v>
      </c>
      <c r="U21" s="207"/>
      <c r="V21" s="208" t="str">
        <f aca="false">IF(DATA!BQ19=TRUE()," ",IF(DATA!BQ19=FALSE(),DATA!G19))</f>
        <v> </v>
      </c>
      <c r="W21" s="208"/>
      <c r="X21" s="209" t="n">
        <f aca="false">DATA!H19</f>
        <v>0</v>
      </c>
      <c r="Y21" s="207"/>
      <c r="Z21" s="210" t="n">
        <f aca="false">DATA!J19</f>
        <v>0</v>
      </c>
      <c r="AA21" s="207"/>
      <c r="AB21" s="211" t="str">
        <f aca="false">IF(Z21&gt;0,DATA!BG19,IF(Z21=0," "))</f>
        <v> </v>
      </c>
      <c r="AC21" s="211"/>
      <c r="AD21" s="212" t="str">
        <f aca="false">IF(Z21&gt;0,DATA!BH19,IF(Z21=0," "))</f>
        <v> </v>
      </c>
      <c r="AE21" s="207"/>
      <c r="AF21" s="213" t="str">
        <f aca="false">UPPER(IF(DATA!BO19=TRUE()," ",IF(DATA!BO19=FALSE(),DATA!BS19)))</f>
        <v> </v>
      </c>
      <c r="AG21" s="214" t="str">
        <f aca="false">IF(DATA!BP19=TRUE()," ",IF(DATA!BP19=FALSE(),DATA!BT19))</f>
        <v> </v>
      </c>
    </row>
    <row r="22" customFormat="false" ht="12.75" hidden="false" customHeight="true" outlineLevel="0" collapsed="false">
      <c r="A22" s="206" t="n">
        <f aca="false">DATA!A20</f>
        <v>12</v>
      </c>
      <c r="B22" s="207"/>
      <c r="C22" s="207" t="str">
        <f aca="false">LEFT(DATA!F20,1)</f>
        <v/>
      </c>
      <c r="D22" s="207" t="str">
        <f aca="false">MID(DATA!F20,2,1)</f>
        <v/>
      </c>
      <c r="E22" s="207"/>
      <c r="F22" s="207" t="str">
        <f aca="false">MID(DATA!F20,3,1)</f>
        <v/>
      </c>
      <c r="G22" s="207" t="str">
        <f aca="false">MID(DATA!F20,4,1)</f>
        <v/>
      </c>
      <c r="H22" s="207" t="str">
        <f aca="false">MID(DATA!F20,5,1)</f>
        <v/>
      </c>
      <c r="I22" s="207" t="str">
        <f aca="false">MID(DATA!F20,6,1)</f>
        <v/>
      </c>
      <c r="J22" s="207" t="str">
        <f aca="false">MID(DATA!F20,7,1)</f>
        <v/>
      </c>
      <c r="K22" s="207" t="str">
        <f aca="false">MID(DATA!F20,8,1)</f>
        <v/>
      </c>
      <c r="L22" s="207" t="str">
        <f aca="false">MID(DATA!F20,9,1)</f>
        <v/>
      </c>
      <c r="M22" s="207" t="str">
        <f aca="false">MID(DATA!F20,10,1)</f>
        <v/>
      </c>
      <c r="N22" s="207" t="str">
        <f aca="false">MID(DATA!F20,11,1)</f>
        <v/>
      </c>
      <c r="O22" s="207"/>
      <c r="P22" s="207" t="str">
        <f aca="false">MID(DATA!F20,12,1)</f>
        <v/>
      </c>
      <c r="Q22" s="207" t="str">
        <f aca="false">UPPER(DATA!B20)</f>
        <v/>
      </c>
      <c r="R22" s="207" t="str">
        <f aca="false">UPPER(DATA!C20)</f>
        <v/>
      </c>
      <c r="S22" s="207" t="str">
        <f aca="false">UPPER(DATA!D20)</f>
        <v/>
      </c>
      <c r="T22" s="207" t="str">
        <f aca="false">UPPER(IF(DATA!BK20=TRUE(),"  ",IF(DATA!BK20=FALSE(),DATA!E20)))</f>
        <v>  </v>
      </c>
      <c r="U22" s="207"/>
      <c r="V22" s="208" t="str">
        <f aca="false">IF(DATA!BQ20=TRUE()," ",IF(DATA!BQ20=FALSE(),DATA!G20))</f>
        <v> </v>
      </c>
      <c r="W22" s="208"/>
      <c r="X22" s="209" t="n">
        <f aca="false">DATA!H20</f>
        <v>0</v>
      </c>
      <c r="Y22" s="207"/>
      <c r="Z22" s="210" t="n">
        <f aca="false">DATA!J20</f>
        <v>0</v>
      </c>
      <c r="AA22" s="207"/>
      <c r="AB22" s="211" t="str">
        <f aca="false">IF(Z22&gt;0,DATA!BG20,IF(Z22=0," "))</f>
        <v> </v>
      </c>
      <c r="AC22" s="211"/>
      <c r="AD22" s="212" t="str">
        <f aca="false">IF(Z22&gt;0,DATA!BH20,IF(Z22=0," "))</f>
        <v> </v>
      </c>
      <c r="AE22" s="207"/>
      <c r="AF22" s="213" t="str">
        <f aca="false">UPPER(IF(DATA!BO20=TRUE()," ",IF(DATA!BO20=FALSE(),DATA!BS20)))</f>
        <v> </v>
      </c>
      <c r="AG22" s="214" t="str">
        <f aca="false">IF(DATA!BP20=TRUE()," ",IF(DATA!BP20=FALSE(),DATA!BT20))</f>
        <v> </v>
      </c>
    </row>
    <row r="23" customFormat="false" ht="3" hidden="false" customHeight="true" outlineLevel="0" collapsed="false">
      <c r="A23" s="213"/>
      <c r="B23" s="215"/>
      <c r="C23" s="213"/>
      <c r="D23" s="213"/>
      <c r="E23" s="213"/>
      <c r="F23" s="213"/>
      <c r="G23" s="213"/>
      <c r="H23" s="213"/>
      <c r="I23" s="213"/>
      <c r="J23" s="213"/>
      <c r="K23" s="213"/>
      <c r="L23" s="213"/>
      <c r="M23" s="213"/>
      <c r="N23" s="213"/>
      <c r="O23" s="213"/>
      <c r="P23" s="213"/>
      <c r="Q23" s="213"/>
      <c r="R23" s="213"/>
      <c r="S23" s="213"/>
      <c r="T23" s="213"/>
      <c r="U23" s="213"/>
      <c r="V23" s="213"/>
      <c r="W23" s="213"/>
      <c r="X23" s="213"/>
      <c r="Y23" s="213"/>
      <c r="Z23" s="213"/>
      <c r="AA23" s="213"/>
      <c r="AB23" s="213"/>
      <c r="AC23" s="213"/>
      <c r="AD23" s="213"/>
      <c r="AE23" s="213"/>
      <c r="AF23" s="213"/>
      <c r="AG23" s="213"/>
    </row>
    <row r="24" customFormat="false" ht="30" hidden="false" customHeight="true" outlineLevel="0" collapsed="false">
      <c r="A24" s="216"/>
      <c r="B24" s="216"/>
      <c r="C24" s="216"/>
      <c r="D24" s="216"/>
      <c r="E24" s="216"/>
      <c r="F24" s="216"/>
      <c r="G24" s="216"/>
      <c r="H24" s="217"/>
      <c r="I24" s="217"/>
      <c r="J24" s="218" t="s">
        <v>109</v>
      </c>
      <c r="K24" s="218"/>
      <c r="L24" s="218"/>
      <c r="M24" s="218"/>
      <c r="N24" s="218"/>
      <c r="O24" s="218"/>
      <c r="P24" s="218"/>
      <c r="Q24" s="218"/>
      <c r="R24" s="218"/>
      <c r="S24" s="218"/>
      <c r="T24" s="218"/>
      <c r="U24" s="207"/>
      <c r="V24" s="219" t="s">
        <v>110</v>
      </c>
      <c r="W24" s="219"/>
      <c r="X24" s="219"/>
      <c r="Y24" s="219"/>
      <c r="Z24" s="219"/>
      <c r="AA24" s="207"/>
      <c r="AB24" s="220" t="n">
        <f aca="false">SUM(AB11:AC22)</f>
        <v>0</v>
      </c>
      <c r="AC24" s="220"/>
      <c r="AD24" s="221" t="n">
        <f aca="false">SUM(AD11:AD22)</f>
        <v>0</v>
      </c>
      <c r="AE24" s="207"/>
      <c r="AF24" s="207"/>
      <c r="AG24" s="222" t="str">
        <f aca="false">UPPER(DATA!G4)</f>
        <v>REGULUS BERDIN</v>
      </c>
    </row>
    <row r="25" customFormat="false" ht="31.5" hidden="false" customHeight="true" outlineLevel="0" collapsed="false">
      <c r="A25" s="223" t="n">
        <f aca="false">COUNT(DATA!BJ9:BJ25548)</f>
        <v>12</v>
      </c>
      <c r="B25" s="223"/>
      <c r="C25" s="223"/>
      <c r="D25" s="223"/>
      <c r="E25" s="223"/>
      <c r="F25" s="223"/>
      <c r="G25" s="223"/>
      <c r="H25" s="224" t="s">
        <v>94</v>
      </c>
      <c r="I25" s="224"/>
      <c r="J25" s="224"/>
      <c r="K25" s="224"/>
      <c r="L25" s="224"/>
      <c r="M25" s="224"/>
      <c r="N25" s="224"/>
      <c r="O25" s="224"/>
      <c r="P25" s="224"/>
      <c r="Q25" s="225" t="s">
        <v>111</v>
      </c>
      <c r="R25" s="225"/>
      <c r="S25" s="226" t="s">
        <v>112</v>
      </c>
      <c r="T25" s="225" t="s">
        <v>113</v>
      </c>
      <c r="U25" s="207"/>
      <c r="V25" s="219"/>
      <c r="W25" s="219"/>
      <c r="X25" s="219"/>
      <c r="Y25" s="219"/>
      <c r="Z25" s="219"/>
      <c r="AA25" s="207"/>
      <c r="AB25" s="220"/>
      <c r="AC25" s="220"/>
      <c r="AD25" s="221"/>
      <c r="AE25" s="207"/>
      <c r="AF25" s="227" t="str">
        <f aca="false">UPPER(DATA!G5)</f>
        <v>PROGRAMMER</v>
      </c>
      <c r="AG25" s="227"/>
    </row>
    <row r="26" customFormat="false" ht="33.75" hidden="false" customHeight="true" outlineLevel="0" collapsed="false">
      <c r="A26" s="228" t="s">
        <v>114</v>
      </c>
      <c r="B26" s="228"/>
      <c r="C26" s="228"/>
      <c r="D26" s="228"/>
      <c r="E26" s="228"/>
      <c r="F26" s="228"/>
      <c r="G26" s="228"/>
      <c r="H26" s="225" t="str">
        <f aca="false">DATA!BG4</f>
        <v>DECEMBER</v>
      </c>
      <c r="I26" s="225"/>
      <c r="J26" s="225"/>
      <c r="K26" s="225"/>
      <c r="L26" s="225"/>
      <c r="M26" s="225"/>
      <c r="N26" s="225"/>
      <c r="O26" s="225"/>
      <c r="P26" s="225"/>
      <c r="Q26" s="221" t="n">
        <f aca="false">DATA!BG2</f>
        <v>0</v>
      </c>
      <c r="R26" s="221"/>
      <c r="S26" s="229" t="n">
        <f aca="false">DATA!BG1</f>
        <v>0</v>
      </c>
      <c r="T26" s="230" t="str">
        <f aca="false">IF(DATA!BG3&gt;0,DATA!BG3,IF(DATA!BG3=0," "))</f>
        <v> </v>
      </c>
      <c r="U26" s="207"/>
      <c r="V26" s="231" t="s">
        <v>115</v>
      </c>
      <c r="W26" s="231"/>
      <c r="X26" s="231"/>
      <c r="Y26" s="231"/>
      <c r="Z26" s="231"/>
      <c r="AA26" s="207"/>
      <c r="AB26" s="221" t="n">
        <f aca="false">SUM(AB24:AD24)</f>
        <v>0</v>
      </c>
      <c r="AC26" s="221"/>
      <c r="AD26" s="221"/>
      <c r="AE26" s="207"/>
      <c r="AF26" s="232" t="n">
        <f aca="false">DATA!E7</f>
        <v>43414.5904380231</v>
      </c>
      <c r="AG26" s="232"/>
    </row>
    <row r="27" customFormat="false" ht="3" hidden="false" customHeight="true" outlineLevel="0" collapsed="false">
      <c r="A27" s="233"/>
      <c r="B27" s="233"/>
      <c r="C27" s="233"/>
      <c r="D27" s="233"/>
      <c r="E27" s="233"/>
      <c r="F27" s="233"/>
      <c r="G27" s="233"/>
      <c r="H27" s="233"/>
      <c r="I27" s="233"/>
      <c r="J27" s="233"/>
      <c r="K27" s="233"/>
      <c r="L27" s="233"/>
      <c r="M27" s="233"/>
      <c r="N27" s="233"/>
      <c r="O27" s="233"/>
      <c r="P27" s="233"/>
      <c r="Q27" s="233"/>
      <c r="R27" s="233"/>
      <c r="S27" s="233"/>
      <c r="T27" s="233"/>
      <c r="U27" s="233"/>
      <c r="V27" s="213"/>
      <c r="W27" s="213"/>
      <c r="X27" s="213"/>
      <c r="Y27" s="233"/>
      <c r="Z27" s="233"/>
      <c r="AA27" s="233"/>
      <c r="AB27" s="213"/>
      <c r="AC27" s="213"/>
      <c r="AD27" s="233"/>
      <c r="AE27" s="233"/>
      <c r="AF27" s="233"/>
      <c r="AG27" s="233"/>
    </row>
    <row r="28" customFormat="false" ht="12.75" hidden="false" customHeight="false" outlineLevel="0" collapsed="false">
      <c r="A28" s="234" t="s">
        <v>116</v>
      </c>
      <c r="B28" s="234"/>
      <c r="C28" s="234"/>
      <c r="D28" s="234"/>
      <c r="E28" s="234"/>
      <c r="F28" s="234"/>
      <c r="G28" s="234"/>
      <c r="H28" s="234"/>
      <c r="I28" s="234"/>
      <c r="J28" s="234"/>
      <c r="K28" s="234"/>
      <c r="L28" s="234"/>
      <c r="M28" s="234"/>
      <c r="N28" s="234"/>
      <c r="O28" s="234"/>
      <c r="P28" s="234"/>
      <c r="Q28" s="234"/>
      <c r="R28" s="234"/>
      <c r="S28" s="234"/>
      <c r="T28" s="234"/>
      <c r="U28" s="234"/>
      <c r="V28" s="234"/>
      <c r="W28" s="234"/>
      <c r="X28" s="234"/>
      <c r="Y28" s="234"/>
      <c r="Z28" s="234"/>
      <c r="AA28" s="234"/>
      <c r="AB28" s="234"/>
      <c r="AC28" s="234"/>
      <c r="AD28" s="234"/>
      <c r="AE28" s="234"/>
      <c r="AF28" s="234"/>
      <c r="AG28" s="234"/>
    </row>
    <row r="29" customFormat="false" ht="28.5" hidden="false" customHeight="true" outlineLevel="0" collapsed="false">
      <c r="A29" s="235"/>
      <c r="B29" s="235"/>
      <c r="C29" s="235"/>
      <c r="D29" s="235"/>
      <c r="E29" s="235"/>
      <c r="F29" s="235"/>
      <c r="G29" s="235"/>
      <c r="H29" s="235"/>
      <c r="I29" s="235"/>
      <c r="J29" s="235"/>
      <c r="K29" s="235"/>
      <c r="L29" s="235"/>
      <c r="M29" s="235"/>
      <c r="N29" s="235"/>
      <c r="O29" s="235"/>
      <c r="P29" s="235"/>
      <c r="Q29" s="236" t="str">
        <f aca="false">UPPER(DATA!B5)</f>
        <v/>
      </c>
      <c r="R29" s="236"/>
      <c r="S29" s="237"/>
      <c r="T29" s="236" t="str">
        <f aca="false">UPPER(DATA!B6)</f>
        <v/>
      </c>
      <c r="U29" s="236"/>
      <c r="V29" s="236"/>
      <c r="W29" s="237"/>
      <c r="X29" s="236"/>
      <c r="Y29" s="236"/>
      <c r="Z29" s="236"/>
      <c r="AA29" s="236"/>
      <c r="AB29" s="236"/>
      <c r="AC29" s="238"/>
      <c r="AD29" s="238"/>
      <c r="AE29" s="238"/>
      <c r="AF29" s="238"/>
      <c r="AG29" s="238"/>
    </row>
    <row r="30" customFormat="false" ht="12.75" hidden="false" customHeight="true" outlineLevel="0" collapsed="false">
      <c r="A30" s="235"/>
      <c r="B30" s="235"/>
      <c r="C30" s="235"/>
      <c r="D30" s="235"/>
      <c r="E30" s="235"/>
      <c r="F30" s="235"/>
      <c r="G30" s="235"/>
      <c r="H30" s="235"/>
      <c r="I30" s="235"/>
      <c r="J30" s="235"/>
      <c r="K30" s="235"/>
      <c r="L30" s="235"/>
      <c r="M30" s="235"/>
      <c r="N30" s="235"/>
      <c r="O30" s="235"/>
      <c r="P30" s="235"/>
      <c r="Q30" s="239" t="s">
        <v>117</v>
      </c>
      <c r="R30" s="239"/>
      <c r="S30" s="237"/>
      <c r="T30" s="239" t="s">
        <v>118</v>
      </c>
      <c r="U30" s="239"/>
      <c r="V30" s="239"/>
      <c r="W30" s="237"/>
      <c r="X30" s="239" t="s">
        <v>119</v>
      </c>
      <c r="Y30" s="239"/>
      <c r="Z30" s="239"/>
      <c r="AA30" s="239"/>
      <c r="AB30" s="239"/>
      <c r="AC30" s="238"/>
      <c r="AD30" s="238"/>
      <c r="AE30" s="238"/>
      <c r="AF30" s="238"/>
      <c r="AG30" s="238"/>
    </row>
  </sheetData>
  <sheetProtection sheet="true" password="b816" selectLockedCells="true" selectUnlockedCells="true"/>
  <mergeCells count="85">
    <mergeCell ref="A1:D1"/>
    <mergeCell ref="E1:T1"/>
    <mergeCell ref="U1:AG1"/>
    <mergeCell ref="A2:P2"/>
    <mergeCell ref="Q2:T2"/>
    <mergeCell ref="U2:AG3"/>
    <mergeCell ref="A3:P3"/>
    <mergeCell ref="Q3:T3"/>
    <mergeCell ref="A4:P5"/>
    <mergeCell ref="Q4:T5"/>
    <mergeCell ref="V4:V5"/>
    <mergeCell ref="W4:X5"/>
    <mergeCell ref="Z4:Z5"/>
    <mergeCell ref="AA4:AE5"/>
    <mergeCell ref="AF4:AF5"/>
    <mergeCell ref="AG4:AG5"/>
    <mergeCell ref="A6:P7"/>
    <mergeCell ref="Q6:T7"/>
    <mergeCell ref="V6:X8"/>
    <mergeCell ref="Z6:AD8"/>
    <mergeCell ref="AF6:AG8"/>
    <mergeCell ref="A8:K8"/>
    <mergeCell ref="L8:R8"/>
    <mergeCell ref="B9:P10"/>
    <mergeCell ref="Q9:T9"/>
    <mergeCell ref="W9:X9"/>
    <mergeCell ref="AC9:AD9"/>
    <mergeCell ref="V10:W10"/>
    <mergeCell ref="AB10:AC10"/>
    <mergeCell ref="AF10:AG10"/>
    <mergeCell ref="V11:W11"/>
    <mergeCell ref="AB11:AC11"/>
    <mergeCell ref="V12:W12"/>
    <mergeCell ref="AB12:AC12"/>
    <mergeCell ref="V13:W13"/>
    <mergeCell ref="AB13:AC13"/>
    <mergeCell ref="V14:W14"/>
    <mergeCell ref="AB14:AC14"/>
    <mergeCell ref="V15:W15"/>
    <mergeCell ref="AB15:AC15"/>
    <mergeCell ref="V16:W16"/>
    <mergeCell ref="AB16:AC16"/>
    <mergeCell ref="V17:W17"/>
    <mergeCell ref="AB17:AC17"/>
    <mergeCell ref="V18:W18"/>
    <mergeCell ref="AB18:AC18"/>
    <mergeCell ref="V19:W19"/>
    <mergeCell ref="AB19:AC19"/>
    <mergeCell ref="V20:W20"/>
    <mergeCell ref="AB20:AC20"/>
    <mergeCell ref="V21:W21"/>
    <mergeCell ref="AB21:AC21"/>
    <mergeCell ref="V22:W22"/>
    <mergeCell ref="AB22:AC22"/>
    <mergeCell ref="V23:W23"/>
    <mergeCell ref="AB23:AC23"/>
    <mergeCell ref="A24:G24"/>
    <mergeCell ref="H24:I24"/>
    <mergeCell ref="J24:T24"/>
    <mergeCell ref="V24:Z25"/>
    <mergeCell ref="AB24:AC25"/>
    <mergeCell ref="AD24:AD25"/>
    <mergeCell ref="A25:G25"/>
    <mergeCell ref="H25:P25"/>
    <mergeCell ref="Q25:R25"/>
    <mergeCell ref="AF25:AG25"/>
    <mergeCell ref="A26:G26"/>
    <mergeCell ref="H26:P26"/>
    <mergeCell ref="Q26:R26"/>
    <mergeCell ref="V26:Z26"/>
    <mergeCell ref="AB26:AD26"/>
    <mergeCell ref="AF26:AG26"/>
    <mergeCell ref="V27:X27"/>
    <mergeCell ref="AB27:AC27"/>
    <mergeCell ref="A28:AG28"/>
    <mergeCell ref="A29:P30"/>
    <mergeCell ref="Q29:R29"/>
    <mergeCell ref="S29:S30"/>
    <mergeCell ref="T29:V29"/>
    <mergeCell ref="W29:W30"/>
    <mergeCell ref="X29:AB29"/>
    <mergeCell ref="AC29:AG30"/>
    <mergeCell ref="Q30:R30"/>
    <mergeCell ref="T30:V30"/>
    <mergeCell ref="X30:AB30"/>
  </mergeCells>
  <printOptions headings="false" gridLines="false" gridLinesSet="true" horizontalCentered="false" verticalCentered="false"/>
  <pageMargins left="0.7" right="0.7" top="0.75" bottom="0.75" header="0.3" footer="0.3"/>
  <pageSetup paperSize="5" scale="95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>&amp;R&amp;8This form maybe reproduced and is NOT FOR SALE</oddHeader>
    <oddFooter>&amp;L&amp;"Arial,Italic"&amp;6marc punzalan&amp;C&amp;"Arial,Bold"&amp;8PLEASE READ INSTRUCTIONS (FOR EACH NUMBERED BOX) AT THE BACK BEFORE ACCOMPLISHING THIS FORM&amp;R&amp;"Arial,Bold"&amp;8 | 17 |  PAGE  &amp;P OF &amp;N PAGES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G30"/>
  <sheetViews>
    <sheetView showFormulas="false" showGridLines="false" showRowColHeaders="true" showZeros="true" rightToLeft="false" tabSelected="false" showOutlineSymbols="true" defaultGridColor="true" view="normal" topLeftCell="A4" colorId="64" zoomScale="100" zoomScaleNormal="100" zoomScalePageLayoutView="100" workbookViewId="0">
      <selection pane="topLeft" activeCell="Q11" activeCellId="0" sqref="Q11"/>
    </sheetView>
  </sheetViews>
  <sheetFormatPr defaultRowHeight="12.75" zeroHeight="false" outlineLevelRow="0" outlineLevelCol="0"/>
  <cols>
    <col collapsed="false" customWidth="true" hidden="false" outlineLevel="0" max="1" min="1" style="0" width="3.98"/>
    <col collapsed="false" customWidth="true" hidden="false" outlineLevel="0" max="2" min="2" style="0" width="0.28"/>
    <col collapsed="false" customWidth="true" hidden="false" outlineLevel="0" max="4" min="3" style="0" width="1.7"/>
    <col collapsed="false" customWidth="true" hidden="false" outlineLevel="0" max="5" min="5" style="0" width="0.28"/>
    <col collapsed="false" customWidth="true" hidden="false" outlineLevel="0" max="14" min="6" style="0" width="1.7"/>
    <col collapsed="false" customWidth="true" hidden="false" outlineLevel="0" max="15" min="15" style="0" width="0.28"/>
    <col collapsed="false" customWidth="true" hidden="false" outlineLevel="0" max="16" min="16" style="0" width="1.7"/>
    <col collapsed="false" customWidth="true" hidden="false" outlineLevel="0" max="17" min="17" style="0" width="24.68"/>
    <col collapsed="false" customWidth="true" hidden="false" outlineLevel="0" max="18" min="18" style="0" width="5.84"/>
    <col collapsed="false" customWidth="true" hidden="false" outlineLevel="0" max="19" min="19" style="0" width="24.68"/>
    <col collapsed="false" customWidth="true" hidden="false" outlineLevel="0" max="20" min="20" style="0" width="24.82"/>
    <col collapsed="false" customWidth="true" hidden="false" outlineLevel="0" max="21" min="21" style="0" width="0.28"/>
    <col collapsed="false" customWidth="true" hidden="false" outlineLevel="0" max="22" min="22" style="0" width="3.98"/>
    <col collapsed="false" customWidth="true" hidden="false" outlineLevel="0" max="23" min="23" style="0" width="7.84"/>
    <col collapsed="false" customWidth="true" hidden="false" outlineLevel="0" max="24" min="24" style="0" width="6.84"/>
    <col collapsed="false" customWidth="true" hidden="false" outlineLevel="0" max="25" min="25" style="0" width="0.28"/>
    <col collapsed="false" customWidth="true" hidden="false" outlineLevel="0" max="26" min="26" style="0" width="5.7"/>
    <col collapsed="false" customWidth="true" hidden="false" outlineLevel="0" max="27" min="27" style="0" width="0.28"/>
    <col collapsed="false" customWidth="true" hidden="false" outlineLevel="0" max="28" min="28" style="0" width="3.98"/>
    <col collapsed="false" customWidth="true" hidden="false" outlineLevel="0" max="29" min="29" style="0" width="7.41"/>
    <col collapsed="false" customWidth="true" hidden="false" outlineLevel="0" max="30" min="30" style="0" width="10.69"/>
    <col collapsed="false" customWidth="true" hidden="false" outlineLevel="0" max="31" min="31" style="0" width="0.28"/>
    <col collapsed="false" customWidth="true" hidden="false" outlineLevel="0" max="32" min="32" style="0" width="4.41"/>
    <col collapsed="false" customWidth="true" hidden="false" outlineLevel="0" max="33" min="33" style="0" width="13.4"/>
    <col collapsed="false" customWidth="true" hidden="false" outlineLevel="0" max="1025" min="34" style="0" width="8.84"/>
  </cols>
  <sheetData>
    <row r="1" customFormat="false" ht="57.75" hidden="false" customHeight="true" outlineLevel="0" collapsed="false">
      <c r="A1" s="145" t="s">
        <v>87</v>
      </c>
      <c r="B1" s="145"/>
      <c r="C1" s="145"/>
      <c r="D1" s="145"/>
      <c r="E1" s="146" t="s">
        <v>88</v>
      </c>
      <c r="F1" s="146"/>
      <c r="G1" s="146"/>
      <c r="H1" s="146"/>
      <c r="I1" s="146"/>
      <c r="J1" s="146"/>
      <c r="K1" s="146"/>
      <c r="L1" s="146"/>
      <c r="M1" s="146"/>
      <c r="N1" s="146"/>
      <c r="O1" s="146"/>
      <c r="P1" s="146"/>
      <c r="Q1" s="146"/>
      <c r="R1" s="146"/>
      <c r="S1" s="146"/>
      <c r="T1" s="146"/>
      <c r="U1" s="147" t="s">
        <v>89</v>
      </c>
      <c r="V1" s="147"/>
      <c r="W1" s="147"/>
      <c r="X1" s="147"/>
      <c r="Y1" s="147"/>
      <c r="Z1" s="147"/>
      <c r="AA1" s="147"/>
      <c r="AB1" s="147"/>
      <c r="AC1" s="147"/>
      <c r="AD1" s="147"/>
      <c r="AE1" s="147"/>
      <c r="AF1" s="147"/>
      <c r="AG1" s="147"/>
    </row>
    <row r="2" customFormat="false" ht="25.5" hidden="false" customHeight="true" outlineLevel="0" collapsed="false">
      <c r="A2" s="148" t="s">
        <v>90</v>
      </c>
      <c r="B2" s="148"/>
      <c r="C2" s="148"/>
      <c r="D2" s="148"/>
      <c r="E2" s="148"/>
      <c r="F2" s="148"/>
      <c r="G2" s="148"/>
      <c r="H2" s="148"/>
      <c r="I2" s="148"/>
      <c r="J2" s="148"/>
      <c r="K2" s="148"/>
      <c r="L2" s="148"/>
      <c r="M2" s="148"/>
      <c r="N2" s="148"/>
      <c r="O2" s="148"/>
      <c r="P2" s="148"/>
      <c r="Q2" s="149" t="n">
        <f aca="false">DATA!B3</f>
        <v>0</v>
      </c>
      <c r="R2" s="149"/>
      <c r="S2" s="149"/>
      <c r="T2" s="149"/>
      <c r="U2" s="150"/>
      <c r="V2" s="150"/>
      <c r="W2" s="150"/>
      <c r="X2" s="150"/>
      <c r="Y2" s="150"/>
      <c r="Z2" s="150"/>
      <c r="AA2" s="150"/>
      <c r="AB2" s="150"/>
      <c r="AC2" s="150"/>
      <c r="AD2" s="150"/>
      <c r="AE2" s="150"/>
      <c r="AF2" s="150"/>
      <c r="AG2" s="150"/>
    </row>
    <row r="3" customFormat="false" ht="25.5" hidden="false" customHeight="true" outlineLevel="0" collapsed="false">
      <c r="A3" s="151" t="s">
        <v>91</v>
      </c>
      <c r="B3" s="151"/>
      <c r="C3" s="151"/>
      <c r="D3" s="151"/>
      <c r="E3" s="151"/>
      <c r="F3" s="151"/>
      <c r="G3" s="151"/>
      <c r="H3" s="151"/>
      <c r="I3" s="151"/>
      <c r="J3" s="151"/>
      <c r="K3" s="151"/>
      <c r="L3" s="151"/>
      <c r="M3" s="151"/>
      <c r="N3" s="151"/>
      <c r="O3" s="151"/>
      <c r="P3" s="151"/>
      <c r="Q3" s="152" t="str">
        <f aca="false">DATA!G2</f>
        <v>TIN-112-4444</v>
      </c>
      <c r="R3" s="152"/>
      <c r="S3" s="152"/>
      <c r="T3" s="152"/>
      <c r="U3" s="150"/>
      <c r="V3" s="150"/>
      <c r="W3" s="150"/>
      <c r="X3" s="150"/>
      <c r="Y3" s="150"/>
      <c r="Z3" s="150"/>
      <c r="AA3" s="150"/>
      <c r="AB3" s="150"/>
      <c r="AC3" s="150"/>
      <c r="AD3" s="150"/>
      <c r="AE3" s="150"/>
      <c r="AF3" s="150"/>
      <c r="AG3" s="150"/>
    </row>
    <row r="4" customFormat="false" ht="15" hidden="false" customHeight="true" outlineLevel="0" collapsed="false">
      <c r="A4" s="153" t="s">
        <v>92</v>
      </c>
      <c r="B4" s="153"/>
      <c r="C4" s="153"/>
      <c r="D4" s="153"/>
      <c r="E4" s="153"/>
      <c r="F4" s="153"/>
      <c r="G4" s="153"/>
      <c r="H4" s="153"/>
      <c r="I4" s="153"/>
      <c r="J4" s="153"/>
      <c r="K4" s="153"/>
      <c r="L4" s="153"/>
      <c r="M4" s="153"/>
      <c r="N4" s="153"/>
      <c r="O4" s="153"/>
      <c r="P4" s="153"/>
      <c r="Q4" s="154" t="str">
        <f aca="false">UPPER(DATA!B1)</f>
        <v/>
      </c>
      <c r="R4" s="154"/>
      <c r="S4" s="154"/>
      <c r="T4" s="154"/>
      <c r="U4" s="155"/>
      <c r="V4" s="156"/>
      <c r="W4" s="157" t="s">
        <v>23</v>
      </c>
      <c r="X4" s="157"/>
      <c r="Y4" s="158"/>
      <c r="Z4" s="159"/>
      <c r="AA4" s="160" t="s">
        <v>93</v>
      </c>
      <c r="AB4" s="160"/>
      <c r="AC4" s="160"/>
      <c r="AD4" s="160"/>
      <c r="AE4" s="160"/>
      <c r="AF4" s="159"/>
      <c r="AG4" s="161" t="s">
        <v>94</v>
      </c>
    </row>
    <row r="5" customFormat="false" ht="15" hidden="false" customHeight="true" outlineLevel="0" collapsed="false">
      <c r="A5" s="153"/>
      <c r="B5" s="153"/>
      <c r="C5" s="153"/>
      <c r="D5" s="153"/>
      <c r="E5" s="153"/>
      <c r="F5" s="153"/>
      <c r="G5" s="153"/>
      <c r="H5" s="153"/>
      <c r="I5" s="153"/>
      <c r="J5" s="153"/>
      <c r="K5" s="153"/>
      <c r="L5" s="153"/>
      <c r="M5" s="153"/>
      <c r="N5" s="153"/>
      <c r="O5" s="153"/>
      <c r="P5" s="153"/>
      <c r="Q5" s="154"/>
      <c r="R5" s="154"/>
      <c r="S5" s="154"/>
      <c r="T5" s="154"/>
      <c r="U5" s="162"/>
      <c r="V5" s="156"/>
      <c r="W5" s="157"/>
      <c r="X5" s="157"/>
      <c r="Y5" s="163"/>
      <c r="Z5" s="159"/>
      <c r="AA5" s="160"/>
      <c r="AB5" s="160"/>
      <c r="AC5" s="160"/>
      <c r="AD5" s="160"/>
      <c r="AE5" s="160"/>
      <c r="AF5" s="159"/>
      <c r="AG5" s="161"/>
    </row>
    <row r="6" customFormat="false" ht="14.25" hidden="false" customHeight="true" outlineLevel="0" collapsed="false">
      <c r="A6" s="164" t="s">
        <v>95</v>
      </c>
      <c r="B6" s="164"/>
      <c r="C6" s="164"/>
      <c r="D6" s="164"/>
      <c r="E6" s="164"/>
      <c r="F6" s="164"/>
      <c r="G6" s="164"/>
      <c r="H6" s="164"/>
      <c r="I6" s="164"/>
      <c r="J6" s="164"/>
      <c r="K6" s="164"/>
      <c r="L6" s="164"/>
      <c r="M6" s="164"/>
      <c r="N6" s="164"/>
      <c r="O6" s="164"/>
      <c r="P6" s="164"/>
      <c r="Q6" s="165" t="str">
        <f aca="false">UPPER(DATA!B2)</f>
        <v/>
      </c>
      <c r="R6" s="165"/>
      <c r="S6" s="165"/>
      <c r="T6" s="165"/>
      <c r="U6" s="162"/>
      <c r="V6" s="166"/>
      <c r="W6" s="166"/>
      <c r="X6" s="166"/>
      <c r="Y6" s="163"/>
      <c r="Z6" s="167"/>
      <c r="AA6" s="167"/>
      <c r="AB6" s="167"/>
      <c r="AC6" s="167"/>
      <c r="AD6" s="167"/>
      <c r="AE6" s="163"/>
      <c r="AF6" s="168" t="str">
        <f aca="false">CONCATENATE(DATA!BG4," ",DATA!E4)</f>
        <v>DECEMBER 2015</v>
      </c>
      <c r="AG6" s="168"/>
    </row>
    <row r="7" customFormat="false" ht="12" hidden="false" customHeight="true" outlineLevel="0" collapsed="false">
      <c r="A7" s="164"/>
      <c r="B7" s="164"/>
      <c r="C7" s="164"/>
      <c r="D7" s="164"/>
      <c r="E7" s="164"/>
      <c r="F7" s="164"/>
      <c r="G7" s="164"/>
      <c r="H7" s="164"/>
      <c r="I7" s="164"/>
      <c r="J7" s="164"/>
      <c r="K7" s="164"/>
      <c r="L7" s="164"/>
      <c r="M7" s="164"/>
      <c r="N7" s="164"/>
      <c r="O7" s="164"/>
      <c r="P7" s="164"/>
      <c r="Q7" s="165"/>
      <c r="R7" s="165"/>
      <c r="S7" s="165"/>
      <c r="T7" s="165"/>
      <c r="U7" s="162"/>
      <c r="V7" s="166"/>
      <c r="W7" s="166"/>
      <c r="X7" s="166"/>
      <c r="Y7" s="163"/>
      <c r="Z7" s="167"/>
      <c r="AA7" s="167"/>
      <c r="AB7" s="167"/>
      <c r="AC7" s="167"/>
      <c r="AD7" s="167"/>
      <c r="AE7" s="163"/>
      <c r="AF7" s="168"/>
      <c r="AG7" s="168"/>
    </row>
    <row r="8" customFormat="false" ht="15" hidden="false" customHeight="true" outlineLevel="0" collapsed="false">
      <c r="A8" s="169" t="s">
        <v>96</v>
      </c>
      <c r="B8" s="169"/>
      <c r="C8" s="169"/>
      <c r="D8" s="169"/>
      <c r="E8" s="169"/>
      <c r="F8" s="169"/>
      <c r="G8" s="169"/>
      <c r="H8" s="169"/>
      <c r="I8" s="169"/>
      <c r="J8" s="169"/>
      <c r="K8" s="169"/>
      <c r="L8" s="170" t="n">
        <f aca="false">DATA!B4</f>
        <v>0</v>
      </c>
      <c r="M8" s="170"/>
      <c r="N8" s="170"/>
      <c r="O8" s="170"/>
      <c r="P8" s="170"/>
      <c r="Q8" s="170"/>
      <c r="R8" s="170"/>
      <c r="S8" s="171" t="s">
        <v>97</v>
      </c>
      <c r="T8" s="172" t="n">
        <f aca="false">DATA!B7</f>
        <v>0</v>
      </c>
      <c r="U8" s="173"/>
      <c r="V8" s="166"/>
      <c r="W8" s="166"/>
      <c r="X8" s="166"/>
      <c r="Y8" s="174"/>
      <c r="Z8" s="167"/>
      <c r="AA8" s="167"/>
      <c r="AB8" s="167"/>
      <c r="AC8" s="167"/>
      <c r="AD8" s="167"/>
      <c r="AE8" s="174"/>
      <c r="AF8" s="168"/>
      <c r="AG8" s="168"/>
    </row>
    <row r="9" customFormat="false" ht="24" hidden="false" customHeight="true" outlineLevel="0" collapsed="false">
      <c r="A9" s="175" t="s">
        <v>98</v>
      </c>
      <c r="B9" s="176" t="s">
        <v>98</v>
      </c>
      <c r="C9" s="176"/>
      <c r="D9" s="176"/>
      <c r="E9" s="176"/>
      <c r="F9" s="176"/>
      <c r="G9" s="176"/>
      <c r="H9" s="176"/>
      <c r="I9" s="176"/>
      <c r="J9" s="176"/>
      <c r="K9" s="176"/>
      <c r="L9" s="176"/>
      <c r="M9" s="176"/>
      <c r="N9" s="176"/>
      <c r="O9" s="176"/>
      <c r="P9" s="176"/>
      <c r="Q9" s="177" t="s">
        <v>99</v>
      </c>
      <c r="R9" s="177"/>
      <c r="S9" s="177"/>
      <c r="T9" s="177"/>
      <c r="U9" s="178"/>
      <c r="V9" s="179"/>
      <c r="W9" s="180" t="s">
        <v>100</v>
      </c>
      <c r="X9" s="180"/>
      <c r="Y9" s="178"/>
      <c r="Z9" s="181"/>
      <c r="AA9" s="178"/>
      <c r="AB9" s="179"/>
      <c r="AC9" s="182" t="s">
        <v>101</v>
      </c>
      <c r="AD9" s="182"/>
      <c r="AE9" s="178"/>
      <c r="AF9" s="183"/>
      <c r="AG9" s="184" t="s">
        <v>102</v>
      </c>
    </row>
    <row r="10" customFormat="false" ht="26.25" hidden="false" customHeight="true" outlineLevel="0" collapsed="false">
      <c r="A10" s="185"/>
      <c r="B10" s="176"/>
      <c r="C10" s="176"/>
      <c r="D10" s="176"/>
      <c r="E10" s="176"/>
      <c r="F10" s="176"/>
      <c r="G10" s="176"/>
      <c r="H10" s="176"/>
      <c r="I10" s="176"/>
      <c r="J10" s="176"/>
      <c r="K10" s="176"/>
      <c r="L10" s="176"/>
      <c r="M10" s="176"/>
      <c r="N10" s="176"/>
      <c r="O10" s="176"/>
      <c r="P10" s="176"/>
      <c r="Q10" s="186" t="s">
        <v>60</v>
      </c>
      <c r="R10" s="187" t="s">
        <v>103</v>
      </c>
      <c r="S10" s="188" t="s">
        <v>62</v>
      </c>
      <c r="T10" s="189" t="s">
        <v>63</v>
      </c>
      <c r="U10" s="190" t="s">
        <v>104</v>
      </c>
      <c r="V10" s="191" t="s">
        <v>104</v>
      </c>
      <c r="W10" s="191"/>
      <c r="X10" s="192" t="s">
        <v>105</v>
      </c>
      <c r="Y10" s="193"/>
      <c r="Z10" s="194" t="s">
        <v>106</v>
      </c>
      <c r="AA10" s="193"/>
      <c r="AB10" s="186" t="s">
        <v>55</v>
      </c>
      <c r="AC10" s="186"/>
      <c r="AD10" s="189" t="s">
        <v>107</v>
      </c>
      <c r="AE10" s="193"/>
      <c r="AF10" s="195" t="s">
        <v>108</v>
      </c>
      <c r="AG10" s="195"/>
    </row>
    <row r="11" customFormat="false" ht="12.75" hidden="false" customHeight="true" outlineLevel="0" collapsed="false">
      <c r="A11" s="240" t="n">
        <f aca="false">DATA!A9</f>
        <v>1</v>
      </c>
      <c r="B11" s="241"/>
      <c r="C11" s="241" t="str">
        <f aca="false">LEFT(DATA!F9,1)</f>
        <v/>
      </c>
      <c r="D11" s="241" t="str">
        <f aca="false">MID(DATA!F9,2,1)</f>
        <v/>
      </c>
      <c r="E11" s="241"/>
      <c r="F11" s="241" t="str">
        <f aca="false">MID(DATA!F9,3,1)</f>
        <v/>
      </c>
      <c r="G11" s="241" t="str">
        <f aca="false">MID(DATA!F9,4,1)</f>
        <v/>
      </c>
      <c r="H11" s="241" t="str">
        <f aca="false">MID(DATA!F9,5,1)</f>
        <v/>
      </c>
      <c r="I11" s="241" t="str">
        <f aca="false">MID(DATA!F9,6,1)</f>
        <v/>
      </c>
      <c r="J11" s="241" t="str">
        <f aca="false">MID(DATA!F9,7,1)</f>
        <v/>
      </c>
      <c r="K11" s="241" t="str">
        <f aca="false">MID(DATA!F9,8,1)</f>
        <v/>
      </c>
      <c r="L11" s="241" t="str">
        <f aca="false">MID(DATA!F9,9,1)</f>
        <v/>
      </c>
      <c r="M11" s="241" t="str">
        <f aca="false">MID(DATA!F9,10,1)</f>
        <v/>
      </c>
      <c r="N11" s="241" t="str">
        <f aca="false">MID(DATA!F9,11,1)</f>
        <v/>
      </c>
      <c r="O11" s="241"/>
      <c r="P11" s="241" t="str">
        <f aca="false">MID(DATA!F9,12,1)</f>
        <v/>
      </c>
      <c r="Q11" s="241" t="str">
        <f aca="false">UPPER(DATA!B9)</f>
        <v/>
      </c>
      <c r="R11" s="241" t="str">
        <f aca="false">UPPER(DATA!C9)</f>
        <v/>
      </c>
      <c r="S11" s="241" t="str">
        <f aca="false">UPPER(DATA!D9)</f>
        <v/>
      </c>
      <c r="T11" s="241" t="str">
        <f aca="false">UPPER(IF(DATA!BK9=TRUE(),"  ",IF(DATA!BK9=FALSE(),DATA!E9)))</f>
        <v>  </v>
      </c>
      <c r="U11" s="241"/>
      <c r="V11" s="242" t="str">
        <f aca="false">IF(DATA!BQ9=TRUE()," ",IF(DATA!BQ9=FALSE(),DATA!G9))</f>
        <v> </v>
      </c>
      <c r="W11" s="242"/>
      <c r="X11" s="243" t="n">
        <f aca="false">DATA!H9</f>
        <v>0</v>
      </c>
      <c r="Y11" s="241"/>
      <c r="Z11" s="244" t="n">
        <f aca="false">DATA!J9</f>
        <v>0</v>
      </c>
      <c r="AA11" s="207"/>
      <c r="AB11" s="245" t="str">
        <f aca="false">IF(Z11&gt;0,DATA!BG9,IF(Z11=0," "))</f>
        <v> </v>
      </c>
      <c r="AC11" s="245"/>
      <c r="AD11" s="246" t="str">
        <f aca="false">IF(Z11&gt;0,DATA!BI9,IF(Z11=0," "))</f>
        <v> </v>
      </c>
      <c r="AE11" s="207"/>
      <c r="AF11" s="247" t="str">
        <f aca="false">UPPER(IF(DATA!BO9=TRUE()," ",IF(DATA!BO9=FALSE(),DATA!BS9)))</f>
        <v> </v>
      </c>
      <c r="AG11" s="248" t="str">
        <f aca="false">IF(DATA!BP9=TRUE()," ",IF(DATA!BP9=FALSE(),DATA!BT9))</f>
        <v> </v>
      </c>
    </row>
    <row r="12" customFormat="false" ht="12.75" hidden="false" customHeight="false" outlineLevel="0" collapsed="false">
      <c r="A12" s="240" t="n">
        <f aca="false">DATA!A10</f>
        <v>2</v>
      </c>
      <c r="B12" s="207"/>
      <c r="C12" s="207" t="str">
        <f aca="false">LEFT(DATA!F10,1)</f>
        <v/>
      </c>
      <c r="D12" s="207" t="str">
        <f aca="false">MID(DATA!F10,2,1)</f>
        <v/>
      </c>
      <c r="E12" s="207"/>
      <c r="F12" s="207" t="str">
        <f aca="false">MID(DATA!F10,3,1)</f>
        <v/>
      </c>
      <c r="G12" s="207" t="str">
        <f aca="false">MID(DATA!F10,4,1)</f>
        <v/>
      </c>
      <c r="H12" s="207" t="str">
        <f aca="false">MID(DATA!F10,5,1)</f>
        <v/>
      </c>
      <c r="I12" s="207" t="str">
        <f aca="false">MID(DATA!F10,6,1)</f>
        <v/>
      </c>
      <c r="J12" s="207" t="str">
        <f aca="false">MID(DATA!F10,7,1)</f>
        <v/>
      </c>
      <c r="K12" s="207" t="str">
        <f aca="false">MID(DATA!F10,8,1)</f>
        <v/>
      </c>
      <c r="L12" s="207" t="str">
        <f aca="false">MID(DATA!F10,9,1)</f>
        <v/>
      </c>
      <c r="M12" s="207" t="str">
        <f aca="false">MID(DATA!F10,10,1)</f>
        <v/>
      </c>
      <c r="N12" s="207" t="str">
        <f aca="false">MID(DATA!F10,11,1)</f>
        <v/>
      </c>
      <c r="O12" s="207"/>
      <c r="P12" s="207" t="str">
        <f aca="false">MID(DATA!F10,12,1)</f>
        <v/>
      </c>
      <c r="Q12" s="207" t="str">
        <f aca="false">UPPER(DATA!B10)</f>
        <v/>
      </c>
      <c r="R12" s="207" t="str">
        <f aca="false">UPPER(DATA!C10)</f>
        <v/>
      </c>
      <c r="S12" s="207" t="str">
        <f aca="false">UPPER(DATA!D10)</f>
        <v/>
      </c>
      <c r="T12" s="207" t="str">
        <f aca="false">UPPER(IF(DATA!BK10=TRUE(),"  ",IF(DATA!BK10=FALSE(),DATA!E10)))</f>
        <v>  </v>
      </c>
      <c r="U12" s="207"/>
      <c r="V12" s="208" t="str">
        <f aca="false">IF(DATA!BQ10=TRUE()," ",IF(DATA!BQ10=FALSE(),DATA!G10))</f>
        <v> </v>
      </c>
      <c r="W12" s="208"/>
      <c r="X12" s="217" t="n">
        <f aca="false">DATA!H10</f>
        <v>0</v>
      </c>
      <c r="Y12" s="207"/>
      <c r="Z12" s="217" t="n">
        <f aca="false">DATA!J10</f>
        <v>0</v>
      </c>
      <c r="AA12" s="207"/>
      <c r="AB12" s="212" t="str">
        <f aca="false">IF(Z12&gt;0,DATA!BG10,IF(Z12=0," "))</f>
        <v> </v>
      </c>
      <c r="AC12" s="212"/>
      <c r="AD12" s="212" t="str">
        <f aca="false">IF(Z12&gt;0,DATA!BI10,IF(Z12=0," "))</f>
        <v> </v>
      </c>
      <c r="AE12" s="207"/>
      <c r="AF12" s="213" t="str">
        <f aca="false">UPPER(IF(DATA!BO10=TRUE()," ",IF(DATA!BO10=FALSE(),DATA!BS10)))</f>
        <v> </v>
      </c>
      <c r="AG12" s="214" t="str">
        <f aca="false">IF(DATA!BP10=TRUE()," ",IF(DATA!BP10=FALSE(),DATA!BT10))</f>
        <v> </v>
      </c>
    </row>
    <row r="13" customFormat="false" ht="12.75" hidden="false" customHeight="false" outlineLevel="0" collapsed="false">
      <c r="A13" s="240" t="n">
        <f aca="false">DATA!A11</f>
        <v>3</v>
      </c>
      <c r="B13" s="207"/>
      <c r="C13" s="207" t="str">
        <f aca="false">LEFT(DATA!F11,1)</f>
        <v/>
      </c>
      <c r="D13" s="207" t="str">
        <f aca="false">MID(DATA!F11,2,1)</f>
        <v/>
      </c>
      <c r="E13" s="207"/>
      <c r="F13" s="207" t="str">
        <f aca="false">MID(DATA!F11,3,1)</f>
        <v/>
      </c>
      <c r="G13" s="207" t="str">
        <f aca="false">MID(DATA!F11,4,1)</f>
        <v/>
      </c>
      <c r="H13" s="207" t="str">
        <f aca="false">MID(DATA!F11,5,1)</f>
        <v/>
      </c>
      <c r="I13" s="207" t="str">
        <f aca="false">MID(DATA!F11,6,1)</f>
        <v/>
      </c>
      <c r="J13" s="207" t="str">
        <f aca="false">MID(DATA!F11,7,1)</f>
        <v/>
      </c>
      <c r="K13" s="207" t="str">
        <f aca="false">MID(DATA!F11,8,1)</f>
        <v/>
      </c>
      <c r="L13" s="207" t="str">
        <f aca="false">MID(DATA!F11,9,1)</f>
        <v/>
      </c>
      <c r="M13" s="207" t="str">
        <f aca="false">MID(DATA!F11,10,1)</f>
        <v/>
      </c>
      <c r="N13" s="207" t="str">
        <f aca="false">MID(DATA!F11,11,1)</f>
        <v/>
      </c>
      <c r="O13" s="207"/>
      <c r="P13" s="207" t="str">
        <f aca="false">MID(DATA!F11,12,1)</f>
        <v/>
      </c>
      <c r="Q13" s="207" t="str">
        <f aca="false">UPPER(DATA!B11)</f>
        <v/>
      </c>
      <c r="R13" s="207" t="str">
        <f aca="false">UPPER(DATA!C11)</f>
        <v/>
      </c>
      <c r="S13" s="207" t="str">
        <f aca="false">UPPER(DATA!D11)</f>
        <v/>
      </c>
      <c r="T13" s="207" t="str">
        <f aca="false">UPPER(IF(DATA!BK11=TRUE(),"  ",IF(DATA!BK11=FALSE(),DATA!E11)))</f>
        <v>  </v>
      </c>
      <c r="U13" s="207"/>
      <c r="V13" s="208" t="str">
        <f aca="false">IF(DATA!BQ11=TRUE()," ",IF(DATA!BQ11=FALSE(),DATA!G11))</f>
        <v> </v>
      </c>
      <c r="W13" s="208"/>
      <c r="X13" s="217" t="n">
        <f aca="false">DATA!H11</f>
        <v>0</v>
      </c>
      <c r="Y13" s="207"/>
      <c r="Z13" s="217" t="n">
        <f aca="false">DATA!J11</f>
        <v>0</v>
      </c>
      <c r="AA13" s="207"/>
      <c r="AB13" s="212" t="str">
        <f aca="false">IF(Z13&gt;0,DATA!BG11,IF(Z13=0," "))</f>
        <v> </v>
      </c>
      <c r="AC13" s="212"/>
      <c r="AD13" s="212" t="str">
        <f aca="false">IF(Z13&gt;0,DATA!BI11,IF(Z13=0," "))</f>
        <v> </v>
      </c>
      <c r="AE13" s="207"/>
      <c r="AF13" s="213" t="str">
        <f aca="false">UPPER(IF(DATA!BO11=TRUE()," ",IF(DATA!BO11=FALSE(),DATA!BS11)))</f>
        <v> </v>
      </c>
      <c r="AG13" s="214" t="str">
        <f aca="false">IF(DATA!BP11=TRUE()," ",IF(DATA!BP11=FALSE(),DATA!BT11))</f>
        <v> </v>
      </c>
    </row>
    <row r="14" customFormat="false" ht="12.75" hidden="false" customHeight="false" outlineLevel="0" collapsed="false">
      <c r="A14" s="240" t="n">
        <f aca="false">DATA!A12</f>
        <v>4</v>
      </c>
      <c r="B14" s="207"/>
      <c r="C14" s="207" t="str">
        <f aca="false">LEFT(DATA!F12,1)</f>
        <v/>
      </c>
      <c r="D14" s="207" t="str">
        <f aca="false">MID(DATA!F12,2,1)</f>
        <v/>
      </c>
      <c r="E14" s="207"/>
      <c r="F14" s="207" t="str">
        <f aca="false">MID(DATA!F12,3,1)</f>
        <v/>
      </c>
      <c r="G14" s="207" t="str">
        <f aca="false">MID(DATA!F12,4,1)</f>
        <v/>
      </c>
      <c r="H14" s="207" t="str">
        <f aca="false">MID(DATA!F12,5,1)</f>
        <v/>
      </c>
      <c r="I14" s="207" t="str">
        <f aca="false">MID(DATA!F12,6,1)</f>
        <v/>
      </c>
      <c r="J14" s="207" t="str">
        <f aca="false">MID(DATA!F12,7,1)</f>
        <v/>
      </c>
      <c r="K14" s="207" t="str">
        <f aca="false">MID(DATA!F12,8,1)</f>
        <v/>
      </c>
      <c r="L14" s="207" t="str">
        <f aca="false">MID(DATA!F12,9,1)</f>
        <v/>
      </c>
      <c r="M14" s="207" t="str">
        <f aca="false">MID(DATA!F12,10,1)</f>
        <v/>
      </c>
      <c r="N14" s="207" t="str">
        <f aca="false">MID(DATA!F12,11,1)</f>
        <v/>
      </c>
      <c r="O14" s="207"/>
      <c r="P14" s="207" t="str">
        <f aca="false">MID(DATA!F12,12,1)</f>
        <v/>
      </c>
      <c r="Q14" s="207" t="str">
        <f aca="false">UPPER(DATA!B12)</f>
        <v/>
      </c>
      <c r="R14" s="207" t="str">
        <f aca="false">UPPER(DATA!C12)</f>
        <v/>
      </c>
      <c r="S14" s="207" t="str">
        <f aca="false">UPPER(DATA!D12)</f>
        <v/>
      </c>
      <c r="T14" s="207" t="str">
        <f aca="false">UPPER(IF(DATA!BK12=TRUE(),"  ",IF(DATA!BK12=FALSE(),DATA!E12)))</f>
        <v>  </v>
      </c>
      <c r="U14" s="207"/>
      <c r="V14" s="208" t="str">
        <f aca="false">IF(DATA!BQ12=TRUE()," ",IF(DATA!BQ12=FALSE(),DATA!G12))</f>
        <v> </v>
      </c>
      <c r="W14" s="208"/>
      <c r="X14" s="217" t="n">
        <f aca="false">DATA!H12</f>
        <v>0</v>
      </c>
      <c r="Y14" s="207"/>
      <c r="Z14" s="217" t="n">
        <f aca="false">DATA!J12</f>
        <v>0</v>
      </c>
      <c r="AA14" s="207"/>
      <c r="AB14" s="212" t="str">
        <f aca="false">IF(Z14&gt;0,DATA!BG12,IF(Z14=0," "))</f>
        <v> </v>
      </c>
      <c r="AC14" s="212"/>
      <c r="AD14" s="212" t="str">
        <f aca="false">IF(Z14&gt;0,DATA!BI12,IF(Z14=0," "))</f>
        <v> </v>
      </c>
      <c r="AE14" s="207"/>
      <c r="AF14" s="213" t="str">
        <f aca="false">UPPER(IF(DATA!BO12=TRUE()," ",IF(DATA!BO12=FALSE(),DATA!BS12)))</f>
        <v> </v>
      </c>
      <c r="AG14" s="214" t="str">
        <f aca="false">IF(DATA!BP12=TRUE()," ",IF(DATA!BP12=FALSE(),DATA!BT12))</f>
        <v> </v>
      </c>
    </row>
    <row r="15" customFormat="false" ht="12.75" hidden="false" customHeight="false" outlineLevel="0" collapsed="false">
      <c r="A15" s="240" t="n">
        <f aca="false">DATA!A13</f>
        <v>5</v>
      </c>
      <c r="B15" s="207"/>
      <c r="C15" s="207" t="str">
        <f aca="false">LEFT(DATA!F13,1)</f>
        <v/>
      </c>
      <c r="D15" s="207" t="str">
        <f aca="false">MID(DATA!F13,2,1)</f>
        <v/>
      </c>
      <c r="E15" s="207"/>
      <c r="F15" s="207" t="str">
        <f aca="false">MID(DATA!F13,3,1)</f>
        <v/>
      </c>
      <c r="G15" s="207" t="str">
        <f aca="false">MID(DATA!F13,4,1)</f>
        <v/>
      </c>
      <c r="H15" s="207" t="str">
        <f aca="false">MID(DATA!F13,5,1)</f>
        <v/>
      </c>
      <c r="I15" s="207" t="str">
        <f aca="false">MID(DATA!F13,6,1)</f>
        <v/>
      </c>
      <c r="J15" s="207" t="str">
        <f aca="false">MID(DATA!F13,7,1)</f>
        <v/>
      </c>
      <c r="K15" s="207" t="str">
        <f aca="false">MID(DATA!F13,8,1)</f>
        <v/>
      </c>
      <c r="L15" s="207" t="str">
        <f aca="false">MID(DATA!F13,9,1)</f>
        <v/>
      </c>
      <c r="M15" s="207" t="str">
        <f aca="false">MID(DATA!F13,10,1)</f>
        <v/>
      </c>
      <c r="N15" s="207" t="str">
        <f aca="false">MID(DATA!F13,11,1)</f>
        <v/>
      </c>
      <c r="O15" s="207"/>
      <c r="P15" s="207" t="str">
        <f aca="false">MID(DATA!F13,12,1)</f>
        <v/>
      </c>
      <c r="Q15" s="207" t="str">
        <f aca="false">UPPER(DATA!B13)</f>
        <v/>
      </c>
      <c r="R15" s="207" t="str">
        <f aca="false">UPPER(DATA!C13)</f>
        <v/>
      </c>
      <c r="S15" s="207" t="str">
        <f aca="false">UPPER(DATA!D13)</f>
        <v/>
      </c>
      <c r="T15" s="207" t="str">
        <f aca="false">UPPER(IF(DATA!BK13=TRUE(),"  ",IF(DATA!BK13=FALSE(),DATA!E13)))</f>
        <v>  </v>
      </c>
      <c r="U15" s="207"/>
      <c r="V15" s="208" t="str">
        <f aca="false">IF(DATA!BQ13=TRUE()," ",IF(DATA!BQ13=FALSE(),DATA!G13))</f>
        <v> </v>
      </c>
      <c r="W15" s="208"/>
      <c r="X15" s="217" t="n">
        <f aca="false">DATA!H13</f>
        <v>0</v>
      </c>
      <c r="Y15" s="207"/>
      <c r="Z15" s="217" t="n">
        <f aca="false">DATA!J13</f>
        <v>0</v>
      </c>
      <c r="AA15" s="207"/>
      <c r="AB15" s="212" t="str">
        <f aca="false">IF(Z15&gt;0,DATA!BG13,IF(Z15=0," "))</f>
        <v> </v>
      </c>
      <c r="AC15" s="212"/>
      <c r="AD15" s="212" t="str">
        <f aca="false">IF(Z15&gt;0,DATA!BI13,IF(Z15=0," "))</f>
        <v> </v>
      </c>
      <c r="AE15" s="207"/>
      <c r="AF15" s="213" t="str">
        <f aca="false">UPPER(IF(DATA!BO13=TRUE()," ",IF(DATA!BO13=FALSE(),DATA!BS13)))</f>
        <v> </v>
      </c>
      <c r="AG15" s="214" t="str">
        <f aca="false">IF(DATA!BP13=TRUE()," ",IF(DATA!BP13=FALSE(),DATA!BT13))</f>
        <v> </v>
      </c>
    </row>
    <row r="16" customFormat="false" ht="12.75" hidden="false" customHeight="false" outlineLevel="0" collapsed="false">
      <c r="A16" s="240" t="n">
        <f aca="false">DATA!A14</f>
        <v>6</v>
      </c>
      <c r="B16" s="207"/>
      <c r="C16" s="207" t="str">
        <f aca="false">LEFT(DATA!F14,1)</f>
        <v/>
      </c>
      <c r="D16" s="207" t="str">
        <f aca="false">MID(DATA!F14,2,1)</f>
        <v/>
      </c>
      <c r="E16" s="207"/>
      <c r="F16" s="207" t="str">
        <f aca="false">MID(DATA!F14,3,1)</f>
        <v/>
      </c>
      <c r="G16" s="207" t="str">
        <f aca="false">MID(DATA!F14,4,1)</f>
        <v/>
      </c>
      <c r="H16" s="207" t="str">
        <f aca="false">MID(DATA!F14,5,1)</f>
        <v/>
      </c>
      <c r="I16" s="207" t="str">
        <f aca="false">MID(DATA!F14,6,1)</f>
        <v/>
      </c>
      <c r="J16" s="207" t="str">
        <f aca="false">MID(DATA!F14,7,1)</f>
        <v/>
      </c>
      <c r="K16" s="207" t="str">
        <f aca="false">MID(DATA!F14,8,1)</f>
        <v/>
      </c>
      <c r="L16" s="207" t="str">
        <f aca="false">MID(DATA!F14,9,1)</f>
        <v/>
      </c>
      <c r="M16" s="207" t="str">
        <f aca="false">MID(DATA!F14,10,1)</f>
        <v/>
      </c>
      <c r="N16" s="207" t="str">
        <f aca="false">MID(DATA!F14,11,1)</f>
        <v/>
      </c>
      <c r="O16" s="207"/>
      <c r="P16" s="207" t="str">
        <f aca="false">MID(DATA!F14,12,1)</f>
        <v/>
      </c>
      <c r="Q16" s="207" t="str">
        <f aca="false">UPPER(DATA!B14)</f>
        <v/>
      </c>
      <c r="R16" s="207" t="str">
        <f aca="false">UPPER(DATA!C14)</f>
        <v/>
      </c>
      <c r="S16" s="207" t="str">
        <f aca="false">UPPER(DATA!D14)</f>
        <v/>
      </c>
      <c r="T16" s="207" t="str">
        <f aca="false">UPPER(IF(DATA!BK14=TRUE(),"  ",IF(DATA!BK14=FALSE(),DATA!E14)))</f>
        <v>  </v>
      </c>
      <c r="U16" s="207"/>
      <c r="V16" s="208" t="str">
        <f aca="false">IF(DATA!BQ14=TRUE()," ",IF(DATA!BQ14=FALSE(),DATA!G14))</f>
        <v> </v>
      </c>
      <c r="W16" s="208"/>
      <c r="X16" s="217" t="n">
        <f aca="false">DATA!H14</f>
        <v>0</v>
      </c>
      <c r="Y16" s="207"/>
      <c r="Z16" s="217" t="n">
        <f aca="false">DATA!J14</f>
        <v>0</v>
      </c>
      <c r="AA16" s="207"/>
      <c r="AB16" s="212" t="str">
        <f aca="false">IF(Z16&gt;0,DATA!BG14,IF(Z16=0," "))</f>
        <v> </v>
      </c>
      <c r="AC16" s="212"/>
      <c r="AD16" s="212" t="str">
        <f aca="false">IF(Z16&gt;0,DATA!BI14,IF(Z16=0," "))</f>
        <v> </v>
      </c>
      <c r="AE16" s="207"/>
      <c r="AF16" s="213" t="str">
        <f aca="false">UPPER(IF(DATA!BO14=TRUE()," ",IF(DATA!BO14=FALSE(),DATA!BS14)))</f>
        <v> </v>
      </c>
      <c r="AG16" s="214" t="str">
        <f aca="false">IF(DATA!BP14=TRUE()," ",IF(DATA!BP14=FALSE(),DATA!BT14))</f>
        <v> </v>
      </c>
    </row>
    <row r="17" customFormat="false" ht="12.75" hidden="false" customHeight="false" outlineLevel="0" collapsed="false">
      <c r="A17" s="240" t="n">
        <f aca="false">DATA!A15</f>
        <v>7</v>
      </c>
      <c r="B17" s="207"/>
      <c r="C17" s="207" t="str">
        <f aca="false">LEFT(DATA!F15,1)</f>
        <v/>
      </c>
      <c r="D17" s="207" t="str">
        <f aca="false">MID(DATA!F15,2,1)</f>
        <v/>
      </c>
      <c r="E17" s="207"/>
      <c r="F17" s="207" t="str">
        <f aca="false">MID(DATA!F15,3,1)</f>
        <v/>
      </c>
      <c r="G17" s="207" t="str">
        <f aca="false">MID(DATA!F15,4,1)</f>
        <v/>
      </c>
      <c r="H17" s="207" t="str">
        <f aca="false">MID(DATA!F15,5,1)</f>
        <v/>
      </c>
      <c r="I17" s="207" t="str">
        <f aca="false">MID(DATA!F15,6,1)</f>
        <v/>
      </c>
      <c r="J17" s="207" t="str">
        <f aca="false">MID(DATA!F15,7,1)</f>
        <v/>
      </c>
      <c r="K17" s="207" t="str">
        <f aca="false">MID(DATA!F15,8,1)</f>
        <v/>
      </c>
      <c r="L17" s="207" t="str">
        <f aca="false">MID(DATA!F15,9,1)</f>
        <v/>
      </c>
      <c r="M17" s="207" t="str">
        <f aca="false">MID(DATA!F15,10,1)</f>
        <v/>
      </c>
      <c r="N17" s="207" t="str">
        <f aca="false">MID(DATA!F15,11,1)</f>
        <v/>
      </c>
      <c r="O17" s="207"/>
      <c r="P17" s="207" t="str">
        <f aca="false">MID(DATA!F15,12,1)</f>
        <v/>
      </c>
      <c r="Q17" s="207" t="str">
        <f aca="false">UPPER(DATA!B15)</f>
        <v/>
      </c>
      <c r="R17" s="207" t="str">
        <f aca="false">UPPER(DATA!C15)</f>
        <v/>
      </c>
      <c r="S17" s="207" t="str">
        <f aca="false">UPPER(DATA!D15)</f>
        <v/>
      </c>
      <c r="T17" s="207" t="str">
        <f aca="false">UPPER(IF(DATA!BK15=TRUE(),"  ",IF(DATA!BK15=FALSE(),DATA!E15)))</f>
        <v>  </v>
      </c>
      <c r="U17" s="207"/>
      <c r="V17" s="208" t="str">
        <f aca="false">IF(DATA!BQ15=TRUE()," ",IF(DATA!BQ15=FALSE(),DATA!G15))</f>
        <v> </v>
      </c>
      <c r="W17" s="208"/>
      <c r="X17" s="217" t="n">
        <f aca="false">DATA!H15</f>
        <v>0</v>
      </c>
      <c r="Y17" s="207"/>
      <c r="Z17" s="217" t="n">
        <f aca="false">DATA!J15</f>
        <v>0</v>
      </c>
      <c r="AA17" s="207"/>
      <c r="AB17" s="212" t="str">
        <f aca="false">IF(Z17&gt;0,DATA!BG15,IF(Z17=0," "))</f>
        <v> </v>
      </c>
      <c r="AC17" s="212"/>
      <c r="AD17" s="212" t="str">
        <f aca="false">IF(Z17&gt;0,DATA!BI15,IF(Z17=0," "))</f>
        <v> </v>
      </c>
      <c r="AE17" s="207"/>
      <c r="AF17" s="213" t="str">
        <f aca="false">UPPER(IF(DATA!BO15=TRUE()," ",IF(DATA!BO15=FALSE(),DATA!BS15)))</f>
        <v> </v>
      </c>
      <c r="AG17" s="214" t="str">
        <f aca="false">IF(DATA!BP15=TRUE()," ",IF(DATA!BP15=FALSE(),DATA!BT15))</f>
        <v> </v>
      </c>
    </row>
    <row r="18" customFormat="false" ht="12.75" hidden="false" customHeight="false" outlineLevel="0" collapsed="false">
      <c r="A18" s="240" t="n">
        <f aca="false">DATA!A16</f>
        <v>8</v>
      </c>
      <c r="B18" s="207"/>
      <c r="C18" s="207" t="str">
        <f aca="false">LEFT(DATA!F16,1)</f>
        <v/>
      </c>
      <c r="D18" s="207" t="str">
        <f aca="false">MID(DATA!F16,2,1)</f>
        <v/>
      </c>
      <c r="E18" s="207"/>
      <c r="F18" s="207" t="str">
        <f aca="false">MID(DATA!F16,3,1)</f>
        <v/>
      </c>
      <c r="G18" s="207" t="str">
        <f aca="false">MID(DATA!F16,4,1)</f>
        <v/>
      </c>
      <c r="H18" s="207" t="str">
        <f aca="false">MID(DATA!F16,5,1)</f>
        <v/>
      </c>
      <c r="I18" s="207" t="str">
        <f aca="false">MID(DATA!F16,6,1)</f>
        <v/>
      </c>
      <c r="J18" s="207" t="str">
        <f aca="false">MID(DATA!F16,7,1)</f>
        <v/>
      </c>
      <c r="K18" s="207" t="str">
        <f aca="false">MID(DATA!F16,8,1)</f>
        <v/>
      </c>
      <c r="L18" s="207" t="str">
        <f aca="false">MID(DATA!F16,9,1)</f>
        <v/>
      </c>
      <c r="M18" s="207" t="str">
        <f aca="false">MID(DATA!F16,10,1)</f>
        <v/>
      </c>
      <c r="N18" s="207" t="str">
        <f aca="false">MID(DATA!F16,11,1)</f>
        <v/>
      </c>
      <c r="O18" s="207"/>
      <c r="P18" s="207" t="str">
        <f aca="false">MID(DATA!F16,12,1)</f>
        <v/>
      </c>
      <c r="Q18" s="207" t="str">
        <f aca="false">UPPER(DATA!B16)</f>
        <v/>
      </c>
      <c r="R18" s="207" t="str">
        <f aca="false">UPPER(DATA!C16)</f>
        <v/>
      </c>
      <c r="S18" s="207" t="str">
        <f aca="false">UPPER(DATA!D16)</f>
        <v/>
      </c>
      <c r="T18" s="207" t="str">
        <f aca="false">UPPER(IF(DATA!BK16=TRUE(),"  ",IF(DATA!BK16=FALSE(),DATA!E16)))</f>
        <v>  </v>
      </c>
      <c r="U18" s="207"/>
      <c r="V18" s="208" t="str">
        <f aca="false">IF(DATA!BQ16=TRUE()," ",IF(DATA!BQ16=FALSE(),DATA!G16))</f>
        <v> </v>
      </c>
      <c r="W18" s="208"/>
      <c r="X18" s="217" t="n">
        <f aca="false">DATA!H16</f>
        <v>0</v>
      </c>
      <c r="Y18" s="207"/>
      <c r="Z18" s="217" t="n">
        <f aca="false">DATA!J16</f>
        <v>0</v>
      </c>
      <c r="AA18" s="207"/>
      <c r="AB18" s="212" t="str">
        <f aca="false">IF(Z18&gt;0,DATA!BG16,IF(Z18=0," "))</f>
        <v> </v>
      </c>
      <c r="AC18" s="212"/>
      <c r="AD18" s="212" t="str">
        <f aca="false">IF(Z18&gt;0,DATA!BI16,IF(Z18=0," "))</f>
        <v> </v>
      </c>
      <c r="AE18" s="207"/>
      <c r="AF18" s="213" t="str">
        <f aca="false">UPPER(IF(DATA!BO16=TRUE()," ",IF(DATA!BO16=FALSE(),DATA!BS16)))</f>
        <v> </v>
      </c>
      <c r="AG18" s="214" t="str">
        <f aca="false">IF(DATA!BP16=TRUE()," ",IF(DATA!BP16=FALSE(),DATA!BT16))</f>
        <v> </v>
      </c>
    </row>
    <row r="19" customFormat="false" ht="12.75" hidden="false" customHeight="false" outlineLevel="0" collapsed="false">
      <c r="A19" s="240" t="n">
        <f aca="false">DATA!A17</f>
        <v>9</v>
      </c>
      <c r="B19" s="207"/>
      <c r="C19" s="207" t="str">
        <f aca="false">LEFT(DATA!F17,1)</f>
        <v/>
      </c>
      <c r="D19" s="207" t="str">
        <f aca="false">MID(DATA!F17,2,1)</f>
        <v/>
      </c>
      <c r="E19" s="207"/>
      <c r="F19" s="207" t="str">
        <f aca="false">MID(DATA!F17,3,1)</f>
        <v/>
      </c>
      <c r="G19" s="207" t="str">
        <f aca="false">MID(DATA!F17,4,1)</f>
        <v/>
      </c>
      <c r="H19" s="207" t="str">
        <f aca="false">MID(DATA!F17,5,1)</f>
        <v/>
      </c>
      <c r="I19" s="207" t="str">
        <f aca="false">MID(DATA!F17,6,1)</f>
        <v/>
      </c>
      <c r="J19" s="207" t="str">
        <f aca="false">MID(DATA!F17,7,1)</f>
        <v/>
      </c>
      <c r="K19" s="207" t="str">
        <f aca="false">MID(DATA!F17,8,1)</f>
        <v/>
      </c>
      <c r="L19" s="207" t="str">
        <f aca="false">MID(DATA!F17,9,1)</f>
        <v/>
      </c>
      <c r="M19" s="207" t="str">
        <f aca="false">MID(DATA!F17,10,1)</f>
        <v/>
      </c>
      <c r="N19" s="207" t="str">
        <f aca="false">MID(DATA!F17,11,1)</f>
        <v/>
      </c>
      <c r="O19" s="207"/>
      <c r="P19" s="207" t="str">
        <f aca="false">MID(DATA!F17,12,1)</f>
        <v/>
      </c>
      <c r="Q19" s="207" t="str">
        <f aca="false">UPPER(DATA!B17)</f>
        <v/>
      </c>
      <c r="R19" s="207" t="str">
        <f aca="false">UPPER(DATA!C17)</f>
        <v/>
      </c>
      <c r="S19" s="207" t="str">
        <f aca="false">UPPER(DATA!D17)</f>
        <v/>
      </c>
      <c r="T19" s="207" t="str">
        <f aca="false">UPPER(IF(DATA!BK17=TRUE(),"  ",IF(DATA!BK17=FALSE(),DATA!E17)))</f>
        <v>  </v>
      </c>
      <c r="U19" s="207"/>
      <c r="V19" s="208" t="str">
        <f aca="false">IF(DATA!BQ17=TRUE()," ",IF(DATA!BQ17=FALSE(),DATA!G17))</f>
        <v> </v>
      </c>
      <c r="W19" s="208"/>
      <c r="X19" s="217" t="n">
        <f aca="false">DATA!H17</f>
        <v>0</v>
      </c>
      <c r="Y19" s="207"/>
      <c r="Z19" s="217" t="n">
        <f aca="false">DATA!J17</f>
        <v>0</v>
      </c>
      <c r="AA19" s="207"/>
      <c r="AB19" s="212" t="str">
        <f aca="false">IF(Z19&gt;0,DATA!BG17,IF(Z19=0," "))</f>
        <v> </v>
      </c>
      <c r="AC19" s="212"/>
      <c r="AD19" s="212" t="str">
        <f aca="false">IF(Z19&gt;0,DATA!BI17,IF(Z19=0," "))</f>
        <v> </v>
      </c>
      <c r="AE19" s="207"/>
      <c r="AF19" s="213" t="str">
        <f aca="false">UPPER(IF(DATA!BO17=TRUE()," ",IF(DATA!BO17=FALSE(),DATA!BS17)))</f>
        <v> </v>
      </c>
      <c r="AG19" s="214" t="str">
        <f aca="false">IF(DATA!BP17=TRUE()," ",IF(DATA!BP17=FALSE(),DATA!BT17))</f>
        <v> </v>
      </c>
    </row>
    <row r="20" customFormat="false" ht="12.75" hidden="false" customHeight="false" outlineLevel="0" collapsed="false">
      <c r="A20" s="240" t="n">
        <f aca="false">DATA!A18</f>
        <v>10</v>
      </c>
      <c r="B20" s="207"/>
      <c r="C20" s="207" t="str">
        <f aca="false">LEFT(DATA!F18,1)</f>
        <v/>
      </c>
      <c r="D20" s="207" t="str">
        <f aca="false">MID(DATA!F18,2,1)</f>
        <v/>
      </c>
      <c r="E20" s="207"/>
      <c r="F20" s="207" t="str">
        <f aca="false">MID(DATA!F18,3,1)</f>
        <v/>
      </c>
      <c r="G20" s="207" t="str">
        <f aca="false">MID(DATA!F18,4,1)</f>
        <v/>
      </c>
      <c r="H20" s="207" t="str">
        <f aca="false">MID(DATA!F18,5,1)</f>
        <v/>
      </c>
      <c r="I20" s="207" t="str">
        <f aca="false">MID(DATA!F18,6,1)</f>
        <v/>
      </c>
      <c r="J20" s="207" t="str">
        <f aca="false">MID(DATA!F18,7,1)</f>
        <v/>
      </c>
      <c r="K20" s="207" t="str">
        <f aca="false">MID(DATA!F18,8,1)</f>
        <v/>
      </c>
      <c r="L20" s="207" t="str">
        <f aca="false">MID(DATA!F18,9,1)</f>
        <v/>
      </c>
      <c r="M20" s="207" t="str">
        <f aca="false">MID(DATA!F18,10,1)</f>
        <v/>
      </c>
      <c r="N20" s="207" t="str">
        <f aca="false">MID(DATA!F18,11,1)</f>
        <v/>
      </c>
      <c r="O20" s="207"/>
      <c r="P20" s="207" t="str">
        <f aca="false">MID(DATA!F18,12,1)</f>
        <v/>
      </c>
      <c r="Q20" s="207" t="str">
        <f aca="false">UPPER(DATA!B18)</f>
        <v/>
      </c>
      <c r="R20" s="207" t="str">
        <f aca="false">UPPER(DATA!C18)</f>
        <v/>
      </c>
      <c r="S20" s="207" t="str">
        <f aca="false">UPPER(DATA!D18)</f>
        <v/>
      </c>
      <c r="T20" s="207" t="str">
        <f aca="false">UPPER(IF(DATA!BK18=TRUE(),"  ",IF(DATA!BK18=FALSE(),DATA!E18)))</f>
        <v>  </v>
      </c>
      <c r="U20" s="207"/>
      <c r="V20" s="208" t="str">
        <f aca="false">IF(DATA!BQ18=TRUE()," ",IF(DATA!BQ18=FALSE(),DATA!G18))</f>
        <v> </v>
      </c>
      <c r="W20" s="208"/>
      <c r="X20" s="217" t="n">
        <f aca="false">DATA!H18</f>
        <v>0</v>
      </c>
      <c r="Y20" s="207"/>
      <c r="Z20" s="217" t="n">
        <f aca="false">DATA!J18</f>
        <v>0</v>
      </c>
      <c r="AA20" s="207"/>
      <c r="AB20" s="212" t="str">
        <f aca="false">IF(Z20&gt;0,DATA!BG18,IF(Z20=0," "))</f>
        <v> </v>
      </c>
      <c r="AC20" s="212"/>
      <c r="AD20" s="212" t="str">
        <f aca="false">IF(Z20&gt;0,DATA!BI18,IF(Z20=0," "))</f>
        <v> </v>
      </c>
      <c r="AE20" s="207"/>
      <c r="AF20" s="213" t="str">
        <f aca="false">UPPER(IF(DATA!BO18=TRUE()," ",IF(DATA!BO18=FALSE(),DATA!BS18)))</f>
        <v> </v>
      </c>
      <c r="AG20" s="214" t="str">
        <f aca="false">IF(DATA!BP18=TRUE()," ",IF(DATA!BP18=FALSE(),DATA!BT18))</f>
        <v> </v>
      </c>
    </row>
    <row r="21" customFormat="false" ht="12.75" hidden="false" customHeight="false" outlineLevel="0" collapsed="false">
      <c r="A21" s="240" t="n">
        <f aca="false">DATA!A19</f>
        <v>11</v>
      </c>
      <c r="B21" s="207"/>
      <c r="C21" s="207" t="str">
        <f aca="false">LEFT(DATA!F19,1)</f>
        <v/>
      </c>
      <c r="D21" s="207" t="str">
        <f aca="false">MID(DATA!F19,2,1)</f>
        <v/>
      </c>
      <c r="E21" s="207"/>
      <c r="F21" s="207" t="str">
        <f aca="false">MID(DATA!F19,3,1)</f>
        <v/>
      </c>
      <c r="G21" s="207" t="str">
        <f aca="false">MID(DATA!F19,4,1)</f>
        <v/>
      </c>
      <c r="H21" s="207" t="str">
        <f aca="false">MID(DATA!F19,5,1)</f>
        <v/>
      </c>
      <c r="I21" s="207" t="str">
        <f aca="false">MID(DATA!F19,6,1)</f>
        <v/>
      </c>
      <c r="J21" s="207" t="str">
        <f aca="false">MID(DATA!F19,7,1)</f>
        <v/>
      </c>
      <c r="K21" s="207" t="str">
        <f aca="false">MID(DATA!F19,8,1)</f>
        <v/>
      </c>
      <c r="L21" s="207" t="str">
        <f aca="false">MID(DATA!F19,9,1)</f>
        <v/>
      </c>
      <c r="M21" s="207" t="str">
        <f aca="false">MID(DATA!F19,10,1)</f>
        <v/>
      </c>
      <c r="N21" s="207" t="str">
        <f aca="false">MID(DATA!F19,11,1)</f>
        <v/>
      </c>
      <c r="O21" s="207"/>
      <c r="P21" s="207" t="str">
        <f aca="false">MID(DATA!F19,12,1)</f>
        <v/>
      </c>
      <c r="Q21" s="207" t="str">
        <f aca="false">UPPER(DATA!B19)</f>
        <v/>
      </c>
      <c r="R21" s="207" t="str">
        <f aca="false">UPPER(DATA!C19)</f>
        <v/>
      </c>
      <c r="S21" s="207" t="str">
        <f aca="false">UPPER(DATA!D19)</f>
        <v/>
      </c>
      <c r="T21" s="207" t="str">
        <f aca="false">UPPER(IF(DATA!BK19=TRUE(),"  ",IF(DATA!BK19=FALSE(),DATA!E19)))</f>
        <v>  </v>
      </c>
      <c r="U21" s="207"/>
      <c r="V21" s="208" t="str">
        <f aca="false">IF(DATA!BQ19=TRUE()," ",IF(DATA!BQ19=FALSE(),DATA!G19))</f>
        <v> </v>
      </c>
      <c r="W21" s="208"/>
      <c r="X21" s="217" t="n">
        <f aca="false">DATA!H19</f>
        <v>0</v>
      </c>
      <c r="Y21" s="207"/>
      <c r="Z21" s="217" t="n">
        <f aca="false">DATA!J19</f>
        <v>0</v>
      </c>
      <c r="AA21" s="207"/>
      <c r="AB21" s="212" t="str">
        <f aca="false">IF(Z21&gt;0,DATA!BG19,IF(Z21=0," "))</f>
        <v> </v>
      </c>
      <c r="AC21" s="212"/>
      <c r="AD21" s="212" t="str">
        <f aca="false">IF(Z21&gt;0,DATA!BI19,IF(Z21=0," "))</f>
        <v> </v>
      </c>
      <c r="AE21" s="207"/>
      <c r="AF21" s="213" t="str">
        <f aca="false">UPPER(IF(DATA!BO19=TRUE()," ",IF(DATA!BO19=FALSE(),DATA!BS19)))</f>
        <v> </v>
      </c>
      <c r="AG21" s="214" t="str">
        <f aca="false">IF(DATA!BP19=TRUE()," ",IF(DATA!BP19=FALSE(),DATA!BT19))</f>
        <v> </v>
      </c>
    </row>
    <row r="22" customFormat="false" ht="12.75" hidden="false" customHeight="false" outlineLevel="0" collapsed="false">
      <c r="A22" s="240" t="n">
        <f aca="false">DATA!A20</f>
        <v>12</v>
      </c>
      <c r="B22" s="207"/>
      <c r="C22" s="207" t="str">
        <f aca="false">LEFT(DATA!F20,1)</f>
        <v/>
      </c>
      <c r="D22" s="207" t="str">
        <f aca="false">MID(DATA!F20,2,1)</f>
        <v/>
      </c>
      <c r="E22" s="207"/>
      <c r="F22" s="207" t="str">
        <f aca="false">MID(DATA!F20,3,1)</f>
        <v/>
      </c>
      <c r="G22" s="207" t="str">
        <f aca="false">MID(DATA!F20,4,1)</f>
        <v/>
      </c>
      <c r="H22" s="207" t="str">
        <f aca="false">MID(DATA!F20,5,1)</f>
        <v/>
      </c>
      <c r="I22" s="207" t="str">
        <f aca="false">MID(DATA!F20,6,1)</f>
        <v/>
      </c>
      <c r="J22" s="207" t="str">
        <f aca="false">MID(DATA!F20,7,1)</f>
        <v/>
      </c>
      <c r="K22" s="207" t="str">
        <f aca="false">MID(DATA!F20,8,1)</f>
        <v/>
      </c>
      <c r="L22" s="207" t="str">
        <f aca="false">MID(DATA!F20,9,1)</f>
        <v/>
      </c>
      <c r="M22" s="207" t="str">
        <f aca="false">MID(DATA!F20,10,1)</f>
        <v/>
      </c>
      <c r="N22" s="207" t="str">
        <f aca="false">MID(DATA!F20,11,1)</f>
        <v/>
      </c>
      <c r="O22" s="207"/>
      <c r="P22" s="207" t="str">
        <f aca="false">MID(DATA!F20,12,1)</f>
        <v/>
      </c>
      <c r="Q22" s="207" t="str">
        <f aca="false">UPPER(DATA!B20)</f>
        <v/>
      </c>
      <c r="R22" s="207" t="str">
        <f aca="false">UPPER(DATA!C20)</f>
        <v/>
      </c>
      <c r="S22" s="207" t="str">
        <f aca="false">UPPER(DATA!D20)</f>
        <v/>
      </c>
      <c r="T22" s="207" t="str">
        <f aca="false">UPPER(IF(DATA!BK20=TRUE(),"  ",IF(DATA!BK20=FALSE(),DATA!E20)))</f>
        <v>  </v>
      </c>
      <c r="U22" s="207"/>
      <c r="V22" s="208" t="str">
        <f aca="false">IF(DATA!BQ20=TRUE()," ",IF(DATA!BQ20=FALSE(),DATA!G20))</f>
        <v> </v>
      </c>
      <c r="W22" s="208"/>
      <c r="X22" s="217" t="n">
        <f aca="false">DATA!H20</f>
        <v>0</v>
      </c>
      <c r="Y22" s="207"/>
      <c r="Z22" s="217" t="n">
        <f aca="false">DATA!J20</f>
        <v>0</v>
      </c>
      <c r="AA22" s="207"/>
      <c r="AB22" s="212" t="str">
        <f aca="false">IF(Z22&gt;0,DATA!BG20,IF(Z22=0," "))</f>
        <v> </v>
      </c>
      <c r="AC22" s="212"/>
      <c r="AD22" s="212" t="str">
        <f aca="false">IF(Z22&gt;0,DATA!BI20,IF(Z22=0," "))</f>
        <v> </v>
      </c>
      <c r="AE22" s="207"/>
      <c r="AF22" s="213" t="str">
        <f aca="false">UPPER(IF(DATA!BO20=TRUE()," ",IF(DATA!BO20=FALSE(),DATA!BS20)))</f>
        <v> </v>
      </c>
      <c r="AG22" s="214" t="str">
        <f aca="false">IF(DATA!BP20=TRUE()," ",IF(DATA!BP20=FALSE(),DATA!BT20))</f>
        <v> </v>
      </c>
    </row>
    <row r="23" customFormat="false" ht="3" hidden="false" customHeight="true" outlineLevel="0" collapsed="false">
      <c r="A23" s="213"/>
      <c r="B23" s="215"/>
      <c r="C23" s="213"/>
      <c r="D23" s="213"/>
      <c r="E23" s="213"/>
      <c r="F23" s="213"/>
      <c r="G23" s="213"/>
      <c r="H23" s="213"/>
      <c r="I23" s="213"/>
      <c r="J23" s="213"/>
      <c r="K23" s="213"/>
      <c r="L23" s="213"/>
      <c r="M23" s="213"/>
      <c r="N23" s="213"/>
      <c r="O23" s="213"/>
      <c r="P23" s="213"/>
      <c r="Q23" s="213"/>
      <c r="R23" s="213"/>
      <c r="S23" s="213"/>
      <c r="T23" s="213"/>
      <c r="U23" s="213"/>
      <c r="V23" s="213"/>
      <c r="W23" s="213"/>
      <c r="X23" s="213"/>
      <c r="Y23" s="213"/>
      <c r="Z23" s="213"/>
      <c r="AA23" s="213"/>
      <c r="AB23" s="213"/>
      <c r="AC23" s="213"/>
      <c r="AD23" s="213"/>
      <c r="AE23" s="213"/>
      <c r="AF23" s="213"/>
      <c r="AG23" s="213"/>
    </row>
    <row r="24" customFormat="false" ht="30" hidden="false" customHeight="true" outlineLevel="0" collapsed="false">
      <c r="A24" s="216"/>
      <c r="B24" s="216"/>
      <c r="C24" s="216"/>
      <c r="D24" s="216"/>
      <c r="E24" s="216"/>
      <c r="F24" s="216"/>
      <c r="G24" s="216"/>
      <c r="H24" s="217"/>
      <c r="I24" s="217"/>
      <c r="J24" s="218" t="s">
        <v>109</v>
      </c>
      <c r="K24" s="218"/>
      <c r="L24" s="218"/>
      <c r="M24" s="218"/>
      <c r="N24" s="218"/>
      <c r="O24" s="218"/>
      <c r="P24" s="218"/>
      <c r="Q24" s="218"/>
      <c r="R24" s="218"/>
      <c r="S24" s="218"/>
      <c r="T24" s="218"/>
      <c r="U24" s="207"/>
      <c r="V24" s="219" t="s">
        <v>110</v>
      </c>
      <c r="W24" s="219"/>
      <c r="X24" s="219"/>
      <c r="Y24" s="219"/>
      <c r="Z24" s="219"/>
      <c r="AA24" s="207"/>
      <c r="AB24" s="220" t="n">
        <f aca="false">SUM(AB11:AC22)</f>
        <v>0</v>
      </c>
      <c r="AC24" s="220"/>
      <c r="AD24" s="221" t="n">
        <f aca="false">SUM(AD11:AD22)</f>
        <v>0</v>
      </c>
      <c r="AE24" s="207"/>
      <c r="AF24" s="207"/>
      <c r="AG24" s="222" t="str">
        <f aca="false">UPPER(DATA!G4)</f>
        <v>REGULUS BERDIN</v>
      </c>
    </row>
    <row r="25" customFormat="false" ht="31.5" hidden="false" customHeight="true" outlineLevel="0" collapsed="false">
      <c r="A25" s="223" t="n">
        <f aca="false">COUNT(DATA!BJ9:BJ25548)</f>
        <v>12</v>
      </c>
      <c r="B25" s="223"/>
      <c r="C25" s="223"/>
      <c r="D25" s="223"/>
      <c r="E25" s="223"/>
      <c r="F25" s="223"/>
      <c r="G25" s="223"/>
      <c r="H25" s="224" t="s">
        <v>94</v>
      </c>
      <c r="I25" s="224"/>
      <c r="J25" s="224"/>
      <c r="K25" s="224"/>
      <c r="L25" s="224"/>
      <c r="M25" s="224"/>
      <c r="N25" s="224"/>
      <c r="O25" s="224"/>
      <c r="P25" s="224"/>
      <c r="Q25" s="225" t="s">
        <v>111</v>
      </c>
      <c r="R25" s="225"/>
      <c r="S25" s="226" t="s">
        <v>112</v>
      </c>
      <c r="T25" s="225" t="s">
        <v>113</v>
      </c>
      <c r="U25" s="207"/>
      <c r="V25" s="219"/>
      <c r="W25" s="219"/>
      <c r="X25" s="219"/>
      <c r="Y25" s="219"/>
      <c r="Z25" s="219"/>
      <c r="AA25" s="207"/>
      <c r="AB25" s="220"/>
      <c r="AC25" s="220"/>
      <c r="AD25" s="221"/>
      <c r="AE25" s="207"/>
      <c r="AF25" s="227" t="str">
        <f aca="false">UPPER(DATA!G5)</f>
        <v>PROGRAMMER</v>
      </c>
      <c r="AG25" s="227"/>
    </row>
    <row r="26" customFormat="false" ht="33.75" hidden="false" customHeight="true" outlineLevel="0" collapsed="false">
      <c r="A26" s="228" t="s">
        <v>114</v>
      </c>
      <c r="B26" s="228"/>
      <c r="C26" s="228"/>
      <c r="D26" s="228"/>
      <c r="E26" s="228"/>
      <c r="F26" s="228"/>
      <c r="G26" s="228"/>
      <c r="H26" s="225" t="str">
        <f aca="false">DATA!BG4</f>
        <v>DECEMBER</v>
      </c>
      <c r="I26" s="225"/>
      <c r="J26" s="225"/>
      <c r="K26" s="225"/>
      <c r="L26" s="225"/>
      <c r="M26" s="225"/>
      <c r="N26" s="225"/>
      <c r="O26" s="225"/>
      <c r="P26" s="225"/>
      <c r="Q26" s="221" t="n">
        <f aca="false">DATA!BG2</f>
        <v>0</v>
      </c>
      <c r="R26" s="221"/>
      <c r="S26" s="229" t="n">
        <f aca="false">DATA!BG1</f>
        <v>0</v>
      </c>
      <c r="T26" s="225" t="str">
        <f aca="false">IF(DATA!BG3&gt;0,DATA!BG3,IF(DATA!BG3=0," "))</f>
        <v> </v>
      </c>
      <c r="U26" s="207"/>
      <c r="V26" s="231" t="s">
        <v>115</v>
      </c>
      <c r="W26" s="231"/>
      <c r="X26" s="231"/>
      <c r="Y26" s="231"/>
      <c r="Z26" s="231"/>
      <c r="AA26" s="207"/>
      <c r="AB26" s="221" t="n">
        <f aca="false">SUM(AB24:AD24)</f>
        <v>0</v>
      </c>
      <c r="AC26" s="221"/>
      <c r="AD26" s="221"/>
      <c r="AE26" s="207"/>
      <c r="AF26" s="232" t="n">
        <f aca="false">DATA!E7</f>
        <v>43414.5904380231</v>
      </c>
      <c r="AG26" s="232"/>
    </row>
    <row r="27" customFormat="false" ht="3" hidden="false" customHeight="true" outlineLevel="0" collapsed="false">
      <c r="A27" s="233"/>
      <c r="B27" s="233"/>
      <c r="C27" s="233"/>
      <c r="D27" s="233"/>
      <c r="E27" s="233"/>
      <c r="F27" s="233"/>
      <c r="G27" s="233"/>
      <c r="H27" s="233"/>
      <c r="I27" s="233"/>
      <c r="J27" s="233"/>
      <c r="K27" s="233"/>
      <c r="L27" s="233"/>
      <c r="M27" s="233"/>
      <c r="N27" s="233"/>
      <c r="O27" s="233"/>
      <c r="P27" s="233"/>
      <c r="Q27" s="233"/>
      <c r="R27" s="233"/>
      <c r="S27" s="233"/>
      <c r="T27" s="233"/>
      <c r="U27" s="233"/>
      <c r="V27" s="213"/>
      <c r="W27" s="213"/>
      <c r="X27" s="213"/>
      <c r="Y27" s="233"/>
      <c r="Z27" s="233"/>
      <c r="AA27" s="233"/>
      <c r="AB27" s="213"/>
      <c r="AC27" s="213"/>
      <c r="AD27" s="233"/>
      <c r="AE27" s="233"/>
      <c r="AF27" s="233"/>
      <c r="AG27" s="233"/>
    </row>
    <row r="28" customFormat="false" ht="12.75" hidden="false" customHeight="false" outlineLevel="0" collapsed="false">
      <c r="A28" s="234" t="s">
        <v>116</v>
      </c>
      <c r="B28" s="234"/>
      <c r="C28" s="234"/>
      <c r="D28" s="234"/>
      <c r="E28" s="234"/>
      <c r="F28" s="234"/>
      <c r="G28" s="234"/>
      <c r="H28" s="234"/>
      <c r="I28" s="234"/>
      <c r="J28" s="234"/>
      <c r="K28" s="234"/>
      <c r="L28" s="234"/>
      <c r="M28" s="234"/>
      <c r="N28" s="234"/>
      <c r="O28" s="234"/>
      <c r="P28" s="234"/>
      <c r="Q28" s="234"/>
      <c r="R28" s="234"/>
      <c r="S28" s="234"/>
      <c r="T28" s="234"/>
      <c r="U28" s="234"/>
      <c r="V28" s="234"/>
      <c r="W28" s="234"/>
      <c r="X28" s="234"/>
      <c r="Y28" s="234"/>
      <c r="Z28" s="234"/>
      <c r="AA28" s="234"/>
      <c r="AB28" s="234"/>
      <c r="AC28" s="234"/>
      <c r="AD28" s="234"/>
      <c r="AE28" s="234"/>
      <c r="AF28" s="234"/>
      <c r="AG28" s="234"/>
    </row>
    <row r="29" customFormat="false" ht="28.5" hidden="false" customHeight="true" outlineLevel="0" collapsed="false">
      <c r="A29" s="235"/>
      <c r="B29" s="235"/>
      <c r="C29" s="235"/>
      <c r="D29" s="235"/>
      <c r="E29" s="235"/>
      <c r="F29" s="235"/>
      <c r="G29" s="235"/>
      <c r="H29" s="235"/>
      <c r="I29" s="235"/>
      <c r="J29" s="235"/>
      <c r="K29" s="235"/>
      <c r="L29" s="235"/>
      <c r="M29" s="235"/>
      <c r="N29" s="235"/>
      <c r="O29" s="235"/>
      <c r="P29" s="235"/>
      <c r="Q29" s="236" t="str">
        <f aca="false">UPPER(DATA!B5)</f>
        <v/>
      </c>
      <c r="R29" s="236"/>
      <c r="S29" s="237"/>
      <c r="T29" s="236" t="str">
        <f aca="false">UPPER(DATA!B6)</f>
        <v/>
      </c>
      <c r="U29" s="236"/>
      <c r="V29" s="236"/>
      <c r="W29" s="237"/>
      <c r="X29" s="236"/>
      <c r="Y29" s="236"/>
      <c r="Z29" s="236"/>
      <c r="AA29" s="236"/>
      <c r="AB29" s="236"/>
      <c r="AC29" s="238"/>
      <c r="AD29" s="238"/>
      <c r="AE29" s="238"/>
      <c r="AF29" s="238"/>
      <c r="AG29" s="238"/>
    </row>
    <row r="30" customFormat="false" ht="12.75" hidden="false" customHeight="true" outlineLevel="0" collapsed="false">
      <c r="A30" s="235"/>
      <c r="B30" s="235"/>
      <c r="C30" s="235"/>
      <c r="D30" s="235"/>
      <c r="E30" s="235"/>
      <c r="F30" s="235"/>
      <c r="G30" s="235"/>
      <c r="H30" s="235"/>
      <c r="I30" s="235"/>
      <c r="J30" s="235"/>
      <c r="K30" s="235"/>
      <c r="L30" s="235"/>
      <c r="M30" s="235"/>
      <c r="N30" s="235"/>
      <c r="O30" s="235"/>
      <c r="P30" s="235"/>
      <c r="Q30" s="239" t="s">
        <v>117</v>
      </c>
      <c r="R30" s="239"/>
      <c r="S30" s="237"/>
      <c r="T30" s="239" t="s">
        <v>118</v>
      </c>
      <c r="U30" s="239"/>
      <c r="V30" s="239"/>
      <c r="W30" s="237"/>
      <c r="X30" s="239" t="s">
        <v>119</v>
      </c>
      <c r="Y30" s="239"/>
      <c r="Z30" s="239"/>
      <c r="AA30" s="239"/>
      <c r="AB30" s="239"/>
      <c r="AC30" s="238"/>
      <c r="AD30" s="238"/>
      <c r="AE30" s="238"/>
      <c r="AF30" s="238"/>
      <c r="AG30" s="238"/>
    </row>
  </sheetData>
  <sheetProtection sheet="true" password="b816" selectLockedCells="true" selectUnlockedCells="true"/>
  <mergeCells count="85">
    <mergeCell ref="A1:D1"/>
    <mergeCell ref="E1:T1"/>
    <mergeCell ref="U1:AG1"/>
    <mergeCell ref="A2:P2"/>
    <mergeCell ref="Q2:T2"/>
    <mergeCell ref="U2:AG3"/>
    <mergeCell ref="A3:P3"/>
    <mergeCell ref="Q3:T3"/>
    <mergeCell ref="A4:P5"/>
    <mergeCell ref="Q4:T5"/>
    <mergeCell ref="V4:V5"/>
    <mergeCell ref="W4:X5"/>
    <mergeCell ref="Z4:Z5"/>
    <mergeCell ref="AA4:AE5"/>
    <mergeCell ref="AF4:AF5"/>
    <mergeCell ref="AG4:AG5"/>
    <mergeCell ref="A6:P7"/>
    <mergeCell ref="Q6:T7"/>
    <mergeCell ref="V6:X8"/>
    <mergeCell ref="Z6:AD8"/>
    <mergeCell ref="AF6:AG8"/>
    <mergeCell ref="A8:K8"/>
    <mergeCell ref="L8:R8"/>
    <mergeCell ref="B9:P10"/>
    <mergeCell ref="Q9:T9"/>
    <mergeCell ref="W9:X9"/>
    <mergeCell ref="AC9:AD9"/>
    <mergeCell ref="V10:W10"/>
    <mergeCell ref="AB10:AC10"/>
    <mergeCell ref="AF10:AG10"/>
    <mergeCell ref="V11:W11"/>
    <mergeCell ref="AB11:AC11"/>
    <mergeCell ref="V12:W12"/>
    <mergeCell ref="AB12:AC12"/>
    <mergeCell ref="V13:W13"/>
    <mergeCell ref="AB13:AC13"/>
    <mergeCell ref="V14:W14"/>
    <mergeCell ref="AB14:AC14"/>
    <mergeCell ref="V15:W15"/>
    <mergeCell ref="AB15:AC15"/>
    <mergeCell ref="V16:W16"/>
    <mergeCell ref="AB16:AC16"/>
    <mergeCell ref="V17:W17"/>
    <mergeCell ref="AB17:AC17"/>
    <mergeCell ref="V18:W18"/>
    <mergeCell ref="AB18:AC18"/>
    <mergeCell ref="V19:W19"/>
    <mergeCell ref="AB19:AC19"/>
    <mergeCell ref="V20:W20"/>
    <mergeCell ref="AB20:AC20"/>
    <mergeCell ref="V21:W21"/>
    <mergeCell ref="AB21:AC21"/>
    <mergeCell ref="V22:W22"/>
    <mergeCell ref="AB22:AC22"/>
    <mergeCell ref="V23:W23"/>
    <mergeCell ref="AB23:AC23"/>
    <mergeCell ref="A24:G24"/>
    <mergeCell ref="H24:I24"/>
    <mergeCell ref="J24:T24"/>
    <mergeCell ref="V24:Z25"/>
    <mergeCell ref="AB24:AC25"/>
    <mergeCell ref="AD24:AD25"/>
    <mergeCell ref="A25:G25"/>
    <mergeCell ref="H25:P25"/>
    <mergeCell ref="Q25:R25"/>
    <mergeCell ref="AF25:AG25"/>
    <mergeCell ref="A26:G26"/>
    <mergeCell ref="H26:P26"/>
    <mergeCell ref="Q26:R26"/>
    <mergeCell ref="V26:Z26"/>
    <mergeCell ref="AB26:AD26"/>
    <mergeCell ref="AF26:AG26"/>
    <mergeCell ref="V27:X27"/>
    <mergeCell ref="AB27:AC27"/>
    <mergeCell ref="A28:AG28"/>
    <mergeCell ref="A29:P30"/>
    <mergeCell ref="Q29:R29"/>
    <mergeCell ref="S29:S30"/>
    <mergeCell ref="T29:V29"/>
    <mergeCell ref="W29:W30"/>
    <mergeCell ref="X29:AB29"/>
    <mergeCell ref="AC29:AG30"/>
    <mergeCell ref="Q30:R30"/>
    <mergeCell ref="T30:V30"/>
    <mergeCell ref="X30:AB30"/>
  </mergeCells>
  <printOptions headings="false" gridLines="false" gridLinesSet="true" horizontalCentered="false" verticalCentered="false"/>
  <pageMargins left="0.7" right="0.7" top="0.75" bottom="0.75" header="0.3" footer="0.3"/>
  <pageSetup paperSize="5" scale="8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>&amp;R&amp;8This form maybe reproduced and is NOT FOR SALE</oddHeader>
    <oddFooter>&amp;L&amp;"Arial,Italic"&amp;6marc punzalan&amp;C&amp;"Arial,Bold"&amp;8PLEASE READ INSTRUCTIONS (FOR EACH NUMBERED BOX) AT THE BACK BEFORE ACCOMPLISHING THIS FORM&amp;R&amp;"Arial,Bold"&amp;8 | 17 |  PAGE  &amp;P OF &amp;N PAGES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LibreOffice/6.0.6.2$Linux_X86_64 LibreOffice_project/00m0$Build-2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2001-05-24T23:33:06Z</dcterms:created>
  <dc:creator>MARC N. PUNZALAN</dc:creator>
  <dc:description>COMMENTS AND SUGGESTIONS 
IM: philhealth_ncr_central@hotmail.com
EMAIL: contri.proqc@philhealth.gov.ph
OR CONTACT 637-9999 LOC 1410</dc:description>
  <dc:language>en-PH</dc:language>
  <cp:lastModifiedBy/>
  <cp:lastPrinted>2012-03-05T14:32:52Z</cp:lastPrinted>
  <dcterms:modified xsi:type="dcterms:W3CDTF">2018-11-10T14:10:14Z</dcterms:modified>
  <cp:revision>2</cp:revision>
  <dc:subject>RF1</dc:subject>
  <dc:title>RF1 MONTHLY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wner">
    <vt:lpwstr>Marc N. Punzalan_x0000__x0000__x0000_</vt:lpwstr>
  </property>
</Properties>
</file>