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xmlns:r="http://schemas.openxmlformats.org/officeDocument/2006/relationships" name="DATA" sheetId="1" state="visible" r:id="rId1"/>
    <sheet xmlns:r="http://schemas.openxmlformats.org/officeDocument/2006/relationships" name="TXT" sheetId="2" state="visible" r:id="rId2"/>
    <sheet xmlns:r="http://schemas.openxmlformats.org/officeDocument/2006/relationships" name="TXTa" sheetId="3" state="visible" r:id="rId3"/>
    <sheet xmlns:r="http://schemas.openxmlformats.org/officeDocument/2006/relationships" name="RF1s" sheetId="4" state="visible" r:id="rId4"/>
    <sheet xmlns:r="http://schemas.openxmlformats.org/officeDocument/2006/relationships" name="RF1sa" sheetId="5" state="visible" r:id="rId5"/>
  </sheets>
  <definedNames>
    <definedName function="0" hidden="0" name="_Fill" vbProcedure="0">#REF!</definedName>
    <definedName function="0" hidden="0" name="_xlfn_BAHTTEXT" vbProcedure="0">none</definedName>
    <definedName function="0" hidden="0" localSheetId="0" name="Excel_BuiltIn__FilterDatabase" vbProcedure="0">DATA!$B$8:$I$18</definedName>
    <definedName function="0" hidden="0" localSheetId="2" name="_Fill" vbProcedure="0">#REF!</definedName>
    <definedName function="0" hidden="0" localSheetId="4" name="_Fill" vbProcedure="0">#REF!</definedName>
  </definedNames>
  <calcPr calcId="124519" fullCalcOnLoad="1" iterate="0" iterateCount="100" iterateDelta="0.001" refMode="A1"/>
</workbook>
</file>

<file path=xl/sharedStrings.xml><?xml version="1.0" encoding="utf-8"?>
<sst xmlns="http://schemas.openxmlformats.org/spreadsheetml/2006/main" uniqueCount="121">
  <si>
    <t xml:space="preserve">EMP NAME </t>
  </si>
  <si>
    <t>Euro-CB Phils. Inc.</t>
  </si>
  <si>
    <t>SSS NUMBER</t>
  </si>
  <si>
    <t>ME-5 # / OR #</t>
  </si>
  <si>
    <t>QUARTER</t>
  </si>
  <si>
    <t>GSALLOTED</t>
  </si>
  <si>
    <t>MONTH</t>
  </si>
  <si>
    <t>*100</t>
  </si>
  <si>
    <t>TXT $</t>
  </si>
  <si>
    <t>REG/ADD</t>
  </si>
  <si>
    <t>R</t>
  </si>
  <si>
    <t>A</t>
  </si>
  <si>
    <t>M</t>
  </si>
  <si>
    <t>F</t>
  </si>
  <si>
    <t>TOTAL PS</t>
  </si>
  <si>
    <t>LINKS</t>
  </si>
  <si>
    <t>ADDRESS</t>
  </si>
  <si>
    <t>TIN</t>
  </si>
  <si>
    <t>TIN-112-4444</t>
  </si>
  <si>
    <t>AMOUNT PAID</t>
  </si>
  <si>
    <t>EMP TYPE</t>
  </si>
  <si>
    <t>NE</t>
  </si>
  <si>
    <t>PRINT OUT RF1</t>
  </si>
  <si>
    <t>PEN</t>
  </si>
  <si>
    <t>EMPLOYER TYPE</t>
  </si>
  <si>
    <t>PRIVATE</t>
  </si>
  <si>
    <t>ALLOTED GS</t>
  </si>
  <si>
    <t>DATE PAID</t>
  </si>
  <si>
    <t>TYPE OF REPORT</t>
  </si>
  <si>
    <t>COUNT</t>
  </si>
  <si>
    <t>NH</t>
  </si>
  <si>
    <t>SAVE TXT</t>
  </si>
  <si>
    <t>TEL #</t>
  </si>
  <si>
    <t>YEAR</t>
  </si>
  <si>
    <t>PREPARED BY</t>
  </si>
  <si>
    <t>Regulus Berdin</t>
  </si>
  <si>
    <t>APPLICABLE MONTH</t>
  </si>
  <si>
    <t>OVER/UNDER</t>
  </si>
  <si>
    <t>GOVERNMENT</t>
  </si>
  <si>
    <t>TOTAL ARREARS</t>
  </si>
  <si>
    <t>SP</t>
  </si>
  <si>
    <t>PRINT OUT RF1a</t>
  </si>
  <si>
    <t>INCHARGE</t>
  </si>
  <si>
    <t>DESIGNATION</t>
  </si>
  <si>
    <t>Programmer</t>
  </si>
  <si>
    <t>TOTAL RF-1</t>
  </si>
  <si>
    <t>HOUSEHOLD</t>
  </si>
  <si>
    <t>SAVE TXTa</t>
  </si>
  <si>
    <t>POSITION</t>
  </si>
  <si>
    <t>EMAIL</t>
  </si>
  <si>
    <t>DATE PREPARED</t>
  </si>
  <si>
    <t>PHILHEALTH NO</t>
  </si>
  <si>
    <t>DATE OF BIRTH</t>
  </si>
  <si>
    <t>SEX</t>
  </si>
  <si>
    <t>SALARY</t>
  </si>
  <si>
    <t>SB</t>
  </si>
  <si>
    <t>PS</t>
  </si>
  <si>
    <t>ALLOTED</t>
  </si>
  <si>
    <t>REMARKS</t>
  </si>
  <si>
    <t>DATE</t>
  </si>
  <si>
    <t># OF EE'S</t>
  </si>
  <si>
    <t>LAST NAME</t>
  </si>
  <si>
    <t>SUFFIX</t>
  </si>
  <si>
    <t>FIRST NAME</t>
  </si>
  <si>
    <t>MIDDLE NAME</t>
  </si>
  <si>
    <t>1-6</t>
  </si>
  <si>
    <t>7-11</t>
  </si>
  <si>
    <t>12-17</t>
  </si>
  <si>
    <t>1-8</t>
  </si>
  <si>
    <t>9-12</t>
  </si>
  <si>
    <t>9-16</t>
  </si>
  <si>
    <t>17</t>
  </si>
  <si>
    <t>18-22</t>
  </si>
  <si>
    <t>17-22</t>
  </si>
  <si>
    <t>18-23</t>
  </si>
  <si>
    <t>24-27</t>
  </si>
  <si>
    <t>17-24</t>
  </si>
  <si>
    <t>25-27</t>
  </si>
  <si>
    <t>24-29</t>
  </si>
  <si>
    <t>25-29</t>
  </si>
  <si>
    <t>24-28</t>
  </si>
  <si>
    <t>25-28</t>
  </si>
  <si>
    <t>EMPLOYEE INFO</t>
  </si>
  <si>
    <t xml:space="preserve">REMARKS </t>
  </si>
  <si>
    <t>BDATE</t>
  </si>
  <si>
    <t>REMITTANCE REPORT</t>
  </si>
  <si>
    <t>MEMBERS</t>
  </si>
  <si>
    <t>M5-SUMMARY</t>
  </si>
  <si>
    <t>RF-1</t>
  </si>
  <si>
    <t>EMPLOYER'S REMITTANCE REPORT</t>
  </si>
  <si>
    <t>THIS PORTION TO BE FILLED UP BY PHILHEALTH</t>
  </si>
  <si>
    <t>PHILHEALTH NO.</t>
  </si>
  <si>
    <t>EMPLOYER TIN</t>
  </si>
  <si>
    <t>COMPLETE EMPLOYER NAME</t>
  </si>
  <si>
    <t>REPORT TYPE</t>
  </si>
  <si>
    <t>APPLICABLE PERIOD</t>
  </si>
  <si>
    <t>COMPLETE MAILING ADDRESS</t>
  </si>
  <si>
    <t>TELEPHONE NO.</t>
  </si>
  <si>
    <t>EMAIL ADDRESS</t>
  </si>
  <si>
    <t>PHILHEALTH IDENTIFICATION NUMBER (PIN)</t>
  </si>
  <si>
    <t>EMPLOYEE/S INFORMATION</t>
  </si>
  <si>
    <t>Fill-out this portion only if declared employee/s has not yet been issued his/her PIN</t>
  </si>
  <si>
    <t>NHIP PREMIUM CONTRIBUTION</t>
  </si>
  <si>
    <t>EMPLOYEE STATUS</t>
  </si>
  <si>
    <t>NAME SUFFIX</t>
  </si>
  <si>
    <t>DATE OF BIRTH (mm-dd-yyyy)</t>
  </si>
  <si>
    <t>SEX (M/F)</t>
  </si>
  <si>
    <t>MONTHLY SALARY BRACKET (MSB)</t>
  </si>
  <si>
    <t>ES</t>
  </si>
  <si>
    <t>S-Separated, NE-No Earnings, NH-Newly Hired / Effectivity Date</t>
  </si>
  <si>
    <t>ACKNOWLEDGEMENT RECEIPT (PAR/POR/TRANSACTION REFERENCE NO.)</t>
  </si>
  <si>
    <t>GRAND TOTAL (PS+ES)</t>
  </si>
  <si>
    <t>REMITTED AMOUNT</t>
  </si>
  <si>
    <t>ACKNOWLEDGEMENT RECEIPT</t>
  </si>
  <si>
    <t>TRANSACTION DATE</t>
  </si>
  <si>
    <t>Indicate Total Number of employees per page</t>
  </si>
  <si>
    <t>(To be accomplished on every page)</t>
  </si>
  <si>
    <t>UNDER THE PENALTY OF THE LAW, I HEREBY ATTEST THAT THE ABOVE INFORMATIONS PROVIDED HEREIN ARE TRUE AND CORRECT.</t>
  </si>
  <si>
    <t>Signature over printed name</t>
  </si>
  <si>
    <t>Official Designation</t>
  </si>
  <si>
    <t>Date</t>
  </si>
</sst>
</file>

<file path=xl/styles.xml><?xml version="1.0" encoding="utf-8"?>
<styleSheet xmlns="http://schemas.openxmlformats.org/spreadsheetml/2006/main">
  <numFmts count="16">
    <numFmt formatCode="DD\-MMM\-YY;@" numFmtId="164"/>
    <numFmt formatCode="00000000" numFmtId="165"/>
    <numFmt formatCode="MMDDYYYY" numFmtId="166"/>
    <numFmt formatCode="000000000000" numFmtId="167"/>
    <numFmt formatCode="#,##0.00;\-#,##0.00" numFmtId="168"/>
    <numFmt formatCode="MM/DD/YYYY" numFmtId="169"/>
    <numFmt formatCode="M/D/YYYY;@" numFmtId="170"/>
    <numFmt formatCode="HH:MM\ AM/PM" numFmtId="171"/>
    <numFmt formatCode="#,##0.00;[RED]\-#,##0.00" numFmtId="172"/>
    <numFmt formatCode="M/D/YY\ H:MM\ AM/PM;@" numFmtId="173"/>
    <numFmt formatCode="MM/DD/YY\ HH:MM\ AM/PM" numFmtId="174"/>
    <numFmt formatCode="&quot;NE&quot;;&quot;NH&quot;;&quot;SP&quot;" numFmtId="175"/>
    <numFmt formatCode="000000" numFmtId="176"/>
    <numFmt formatCode="\100000000" numFmtId="177"/>
    <numFmt formatCode="&quot;GRAND TOTAL&quot;0000000000" numFmtId="178"/>
    <numFmt formatCode="MMMM\ D&quot;, &quot;YYYY;@" numFmtId="179"/>
  </numFmts>
  <fonts count="3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urier New"/>
      <family val="3"/>
      <color rgb="FF900000"/>
      <sz val="1"/>
    </font>
    <font>
      <name val="Courier New"/>
      <family val="3"/>
      <i val="1"/>
      <color rgb="FF900000"/>
      <sz val="1"/>
    </font>
    <font>
      <name val="Arial"/>
      <family val="2"/>
      <sz val="8"/>
    </font>
    <font>
      <name val="Arial"/>
      <family val="0"/>
      <b val="1"/>
      <i val="1"/>
      <sz val="16"/>
    </font>
    <font>
      <name val="Arial"/>
      <family val="2"/>
      <sz val="10"/>
    </font>
    <font>
      <name val="Arial"/>
      <family val="2"/>
      <color rgb="FFDD0806"/>
      <sz val="10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6"/>
    </font>
    <font>
      <name val="Arial"/>
      <family val="2"/>
      <b val="1"/>
      <color rgb="FFDD0806"/>
      <sz val="10"/>
    </font>
    <font>
      <name val="Arial"/>
      <family val="2"/>
      <color rgb="FF0000D4"/>
      <sz val="10"/>
      <u val="single"/>
    </font>
    <font>
      <name val="Arial"/>
      <family val="2"/>
      <b val="1"/>
      <sz val="4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  <font>
      <name val="Courier New"/>
      <family val="3"/>
      <sz val="8"/>
    </font>
    <font>
      <name val="Arial"/>
      <family val="2"/>
      <b val="1"/>
      <sz val="21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sz val="5"/>
    </font>
    <font>
      <name val="Arial"/>
      <family val="2"/>
      <sz val="5"/>
      <u val="single"/>
    </font>
    <font>
      <name val="Arial"/>
      <family val="2"/>
      <sz val="6"/>
    </font>
    <font>
      <name val="Arial"/>
      <family val="2"/>
      <sz val="8"/>
      <u val="single"/>
    </font>
    <font>
      <name val="Arial"/>
      <family val="2"/>
      <b val="1"/>
      <sz val="12"/>
    </font>
    <font>
      <name val="Arial"/>
      <family val="2"/>
      <b val="1"/>
      <sz val="5"/>
    </font>
    <font>
      <name val="Arial"/>
      <family val="2"/>
      <color rgb="FF000000"/>
      <sz val="5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5"/>
    </font>
    <font>
      <name val="Calibri"/>
      <family val="2"/>
      <color rgb="FF000000"/>
      <sz val="10"/>
    </font>
    <font>
      <name val="Calibri"/>
      <family val="2"/>
      <color rgb="FF000000"/>
      <sz val="8"/>
    </font>
    <font>
      <name val="Calibri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39">
    <border>
      <left/>
      <right/>
      <top/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/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 style="thin">
        <color rgb="FF4C4C4C"/>
      </bottom>
      <diagonal/>
    </border>
    <border>
      <left/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/>
      <bottom/>
      <diagonal/>
    </border>
    <border>
      <left style="medium">
        <color rgb="FF4C4C4C"/>
      </left>
      <right style="thin">
        <color rgb="FF4C4C4C"/>
      </right>
      <top style="medium">
        <color rgb="FF4C4C4C"/>
      </top>
      <bottom/>
      <diagonal/>
    </border>
    <border>
      <left style="thin">
        <color rgb="FF4C4C4C"/>
      </left>
      <right style="medium">
        <color rgb="FF4C4C4C"/>
      </right>
      <top style="medium">
        <color rgb="FF4C4C4C"/>
      </top>
      <bottom/>
      <diagonal/>
    </border>
    <border>
      <left style="medium">
        <color rgb="FF4C4C4C"/>
      </left>
      <right style="hair">
        <color rgb="FF4C4C4C"/>
      </right>
      <top style="hair">
        <color rgb="FF4C4C4C"/>
      </top>
      <bottom style="medium">
        <color rgb="FF4C4C4C"/>
      </bottom>
      <diagonal/>
    </border>
    <border>
      <left style="medium">
        <color rgb="FF4C4C4C"/>
      </left>
      <right/>
      <top style="medium">
        <color rgb="FF4C4C4C"/>
      </top>
      <bottom/>
      <diagonal/>
    </border>
    <border>
      <left/>
      <right style="medium">
        <color rgb="FF4C4C4C"/>
      </right>
      <top style="medium">
        <color rgb="FF4C4C4C"/>
      </top>
      <bottom/>
      <diagonal/>
    </border>
    <border>
      <left style="medium">
        <color rgb="FF4C4C4C"/>
      </left>
      <right style="medium">
        <color rgb="FF4C4C4C"/>
      </right>
      <top style="medium">
        <color rgb="FF4C4C4C"/>
      </top>
      <bottom style="medium">
        <color rgb="FF4C4C4C"/>
      </bottom>
      <diagonal/>
    </border>
    <border>
      <left style="medium">
        <color rgb="FF4C4C4C"/>
      </left>
      <right/>
      <top/>
      <bottom style="medium">
        <color rgb="FF4C4C4C"/>
      </bottom>
      <diagonal/>
    </border>
    <border>
      <left/>
      <right style="medium">
        <color rgb="FF4C4C4C"/>
      </right>
      <top/>
      <bottom style="medium">
        <color rgb="FF4C4C4C"/>
      </bottom>
      <diagonal/>
    </border>
    <border>
      <left/>
      <right/>
      <top style="medium">
        <color rgb="FF4C4C4C"/>
      </top>
      <bottom/>
      <diagonal/>
    </border>
    <border>
      <left style="medium">
        <color rgb="FF4C4C4C"/>
      </left>
      <right/>
      <top/>
      <bottom/>
      <diagonal/>
    </border>
    <border>
      <left/>
      <right style="medium">
        <color rgb="FF4C4C4C"/>
      </right>
      <top/>
      <bottom/>
      <diagonal/>
    </border>
    <border>
      <left/>
      <right/>
      <top/>
      <bottom style="medium">
        <color rgb="FF4C4C4C"/>
      </bottom>
      <diagonal/>
    </border>
    <border>
      <left style="medium">
        <color rgb="FF4C4C4C"/>
      </left>
      <right style="medium">
        <color rgb="FF4C4C4C"/>
      </right>
      <top/>
      <bottom style="medium">
        <color rgb="FF4C4C4C"/>
      </bottom>
      <diagonal/>
    </border>
    <border>
      <left/>
      <right style="medium">
        <color rgb="FF4C4C4C"/>
      </right>
      <top style="medium">
        <color rgb="FF4C4C4C"/>
      </top>
      <bottom style="medium">
        <color rgb="FF4C4C4C"/>
      </bottom>
      <diagonal/>
    </border>
    <border>
      <left style="medium">
        <color rgb="FF4C4C4C"/>
      </left>
      <right style="medium">
        <color rgb="FF4C4C4C"/>
      </right>
      <top style="medium">
        <color rgb="FF4C4C4C"/>
      </top>
      <bottom style="thin">
        <color rgb="FF4C4C4C"/>
      </bottom>
      <diagonal/>
    </border>
    <border>
      <left/>
      <right/>
      <top/>
      <bottom style="thin">
        <color rgb="FF4C4C4C"/>
      </bottom>
      <diagonal/>
    </border>
    <border>
      <left style="medium">
        <color rgb="FF4C4C4C"/>
      </left>
      <right style="thin">
        <color rgb="FF4C4C4C"/>
      </right>
      <top/>
      <bottom style="thin">
        <color rgb="FF4C4C4C"/>
      </bottom>
      <diagonal/>
    </border>
    <border>
      <left style="thin">
        <color rgb="FF4C4C4C"/>
      </left>
      <right style="medium">
        <color rgb="FF4C4C4C"/>
      </right>
      <top/>
      <bottom style="thin">
        <color rgb="FF4C4C4C"/>
      </bottom>
      <diagonal/>
    </border>
    <border>
      <left style="medium">
        <color rgb="FF4C4C4C"/>
      </left>
      <right style="medium">
        <color rgb="FF4C4C4C"/>
      </right>
      <top/>
      <bottom/>
      <diagonal/>
    </border>
    <border>
      <left style="medium">
        <color rgb="FF4C4C4C"/>
      </left>
      <right style="thin">
        <color rgb="FF4C4C4C"/>
      </right>
      <top style="medium">
        <color rgb="FF4C4C4C"/>
      </top>
      <bottom style="thin">
        <color rgb="FF4C4C4C"/>
      </bottom>
      <diagonal/>
    </border>
    <border>
      <left style="thin">
        <color rgb="FF4C4C4C"/>
      </left>
      <right style="medium">
        <color rgb="FF4C4C4C"/>
      </right>
      <top style="medium">
        <color rgb="FF4C4C4C"/>
      </top>
      <bottom style="thin">
        <color rgb="FF4C4C4C"/>
      </bottom>
      <diagonal/>
    </border>
    <border>
      <left style="medium">
        <color rgb="FF4C4C4C"/>
      </left>
      <right style="thin">
        <color rgb="FF4C4C4C"/>
      </right>
      <top style="thin">
        <color rgb="FF4C4C4C"/>
      </top>
      <bottom style="medium">
        <color rgb="FF4C4C4C"/>
      </bottom>
      <diagonal/>
    </border>
    <border>
      <left/>
      <right style="thin">
        <color rgb="FF4C4C4C"/>
      </right>
      <top style="thin">
        <color rgb="FF4C4C4C"/>
      </top>
      <bottom style="medium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medium">
        <color rgb="FF4C4C4C"/>
      </bottom>
      <diagonal/>
    </border>
    <border>
      <left style="thin">
        <color rgb="FF4C4C4C"/>
      </left>
      <right style="medium">
        <color rgb="FF4C4C4C"/>
      </right>
      <top style="thin">
        <color rgb="FF4C4C4C"/>
      </top>
      <bottom style="medium">
        <color rgb="FF4C4C4C"/>
      </bottom>
      <diagonal/>
    </border>
    <border>
      <left/>
      <right/>
      <top style="thin">
        <color rgb="FF4C4C4C"/>
      </top>
      <bottom style="thin">
        <color rgb="FF4C4C4C"/>
      </bottom>
      <diagonal/>
    </border>
    <border>
      <left style="medium">
        <color rgb="FF4C4C4C"/>
      </left>
      <right style="medium">
        <color rgb="FF4C4C4C"/>
      </right>
      <top style="thin">
        <color rgb="FF4C4C4C"/>
      </top>
      <bottom style="medium">
        <color rgb="FF4C4C4C"/>
      </bottom>
      <diagonal/>
    </border>
    <border>
      <left style="medium">
        <color rgb="FF4C4C4C"/>
      </left>
      <right style="thin">
        <color rgb="FF4C4C4C"/>
      </right>
      <top style="thin">
        <color rgb="FF4C4C4C"/>
      </top>
      <bottom/>
      <diagonal/>
    </border>
    <border>
      <left style="thin">
        <color rgb="FF4C4C4C"/>
      </left>
      <right style="thin">
        <color rgb="FF4C4C4C"/>
      </right>
      <top style="medium">
        <color rgb="FF4C4C4C"/>
      </top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/>
      <diagonal/>
    </border>
    <border>
      <left/>
      <right/>
      <top style="thin">
        <color rgb="FF4C4C4C"/>
      </top>
      <bottom/>
      <diagonal/>
    </border>
    <border>
      <left style="medium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medium">
        <color rgb="FF4C4C4C"/>
      </top>
      <bottom style="thin">
        <color rgb="FF4C4C4C"/>
      </bottom>
      <diagonal/>
    </border>
  </borders>
  <cellStyleXfs count="18">
    <xf applyAlignment="1" borderId="0" fillId="0" fontId="3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3" numFmtId="0"/>
  </cellStyleXfs>
  <cellXfs count="455">
    <xf applyAlignment="1" borderId="0" fillId="0" fontId="0" numFmtId="0" pivotButton="0" quotePrefix="0" xfId="0">
      <alignment horizontal="general" vertical="bottom"/>
    </xf>
    <xf applyAlignment="1" borderId="0" fillId="0" fontId="8" numFmtId="0" pivotButton="0" quotePrefix="0" xfId="0">
      <alignment horizontal="center" vertical="bottom"/>
    </xf>
    <xf applyAlignment="1" applyProtection="1" borderId="0" fillId="0" fontId="8" numFmtId="0" pivotButton="0" quotePrefix="0" xfId="0">
      <alignment horizontal="general" shrinkToFit="1" vertical="bottom"/>
      <protection hidden="0" locked="0"/>
    </xf>
    <xf applyAlignment="1" applyProtection="1" borderId="0" fillId="0" fontId="8" numFmtId="0" pivotButton="0" quotePrefix="0" xfId="0">
      <alignment horizontal="general" vertical="bottom"/>
      <protection hidden="0" locked="0"/>
    </xf>
    <xf applyAlignment="1" applyProtection="1" borderId="0" fillId="4" fontId="8" numFmtId="0" pivotButton="0" quotePrefix="0" xfId="0">
      <alignment horizontal="general" vertical="bottom"/>
      <protection hidden="0" locked="0"/>
    </xf>
    <xf applyAlignment="1" applyProtection="1" borderId="0" fillId="0" fontId="8" numFmtId="0" pivotButton="0" quotePrefix="0" xfId="0">
      <alignment horizontal="general" vertical="bottom"/>
      <protection hidden="0" locked="0"/>
    </xf>
    <xf applyAlignment="1" borderId="0" fillId="0" fontId="8" numFmtId="0" pivotButton="0" quotePrefix="0" xfId="0">
      <alignment horizontal="general" vertical="bottom"/>
    </xf>
    <xf applyAlignment="1" borderId="0" fillId="0" fontId="8" numFmtId="0" pivotButton="0" quotePrefix="0" xfId="0">
      <alignment horizontal="center" vertical="bottom"/>
    </xf>
    <xf applyAlignment="1" borderId="0" fillId="0" fontId="8" numFmtId="0" pivotButton="0" quotePrefix="0" xfId="0">
      <alignment horizontal="general" vertical="bottom"/>
    </xf>
    <xf applyAlignment="1" borderId="0" fillId="4" fontId="8" numFmtId="0" pivotButton="0" quotePrefix="0" xfId="0">
      <alignment horizontal="center" vertical="bottom"/>
    </xf>
    <xf applyAlignment="1" borderId="0" fillId="4" fontId="8" numFmtId="0" pivotButton="0" quotePrefix="0" xfId="0">
      <alignment horizontal="general" vertical="bottom"/>
    </xf>
    <xf applyAlignment="1" borderId="0" fillId="0" fontId="8" numFmtId="0" pivotButton="0" quotePrefix="0" xfId="0">
      <alignment horizontal="center" vertical="bottom"/>
    </xf>
    <xf applyAlignment="1" borderId="0" fillId="0" fontId="9" numFmtId="0" pivotButton="0" quotePrefix="0" xfId="0">
      <alignment horizontal="general" vertical="bottom"/>
    </xf>
    <xf applyAlignment="1" borderId="1" fillId="0" fontId="10" numFmtId="0" pivotButton="0" quotePrefix="0" xfId="0">
      <alignment horizontal="left" vertical="bottom"/>
    </xf>
    <xf applyAlignment="1" applyProtection="1" borderId="2" fillId="0" fontId="8" numFmtId="0" pivotButton="0" quotePrefix="0" xfId="0">
      <alignment horizontal="left" shrinkToFit="1" vertical="bottom"/>
      <protection hidden="0" locked="0"/>
    </xf>
    <xf applyAlignment="1" borderId="3" fillId="2" fontId="11" numFmtId="0" pivotButton="0" quotePrefix="0" xfId="0">
      <alignment horizontal="center" shrinkToFit="1" vertical="bottom"/>
    </xf>
    <xf applyAlignment="1" borderId="1" fillId="0" fontId="11" numFmtId="0" pivotButton="0" quotePrefix="0" xfId="0">
      <alignment horizontal="right" shrinkToFit="1" vertical="bottom"/>
    </xf>
    <xf applyAlignment="1" applyProtection="1" borderId="1" fillId="0" fontId="11" numFmtId="0" pivotButton="0" quotePrefix="0" xfId="0">
      <alignment horizontal="left" shrinkToFit="1" vertical="bottom"/>
      <protection hidden="0" locked="0"/>
    </xf>
    <xf applyAlignment="1" borderId="1" fillId="0" fontId="11" numFmtId="0" pivotButton="0" quotePrefix="0" xfId="0">
      <alignment horizontal="right" vertical="center" wrapText="1"/>
    </xf>
    <xf applyAlignment="1" borderId="1" fillId="0" fontId="11" numFmtId="0" pivotButton="0" quotePrefix="0" xfId="0">
      <alignment horizontal="center" vertical="center" wrapText="1"/>
    </xf>
    <xf applyAlignment="1" borderId="1" fillId="0" fontId="10" numFmtId="0" pivotButton="0" quotePrefix="0" xfId="0">
      <alignment horizontal="center" vertical="center" wrapText="1"/>
    </xf>
    <xf applyAlignment="1" borderId="1" fillId="0" fontId="11" numFmtId="0" pivotButton="0" quotePrefix="0" xfId="0">
      <alignment horizontal="center" vertical="bottom"/>
    </xf>
    <xf applyAlignment="1" borderId="1" fillId="0" fontId="11" numFmtId="0" pivotButton="0" quotePrefix="0" xfId="0">
      <alignment horizontal="center" vertical="bottom"/>
    </xf>
    <xf applyAlignment="1" borderId="1" fillId="0" fontId="11" numFmtId="0" pivotButton="0" quotePrefix="0" xfId="0">
      <alignment horizontal="general" vertical="bottom"/>
    </xf>
    <xf applyAlignment="1" borderId="1" fillId="0" fontId="11" numFmtId="0" pivotButton="0" quotePrefix="0" xfId="0">
      <alignment horizontal="general" vertical="bottom"/>
    </xf>
    <xf applyAlignment="1" borderId="1" fillId="0" fontId="12" numFmtId="0" pivotButton="0" quotePrefix="0" xfId="0">
      <alignment horizontal="center" vertical="bottom"/>
    </xf>
    <xf applyAlignment="1" borderId="1" fillId="0" fontId="8" numFmtId="0" pivotButton="0" quotePrefix="0" xfId="0">
      <alignment horizontal="general" vertical="bottom"/>
    </xf>
    <xf applyAlignment="1" borderId="1" fillId="0" fontId="8" numFmtId="0" pivotButton="0" quotePrefix="0" xfId="0">
      <alignment horizontal="center" vertical="bottom"/>
    </xf>
    <xf applyAlignment="1" borderId="1" fillId="0" fontId="13" numFmtId="0" pivotButton="0" quotePrefix="0" xfId="0">
      <alignment horizontal="center" vertical="bottom"/>
    </xf>
    <xf applyAlignment="1" applyProtection="1" borderId="1" fillId="4" fontId="8" numFmtId="0" pivotButton="0" quotePrefix="0" xfId="0">
      <alignment horizontal="center" vertical="bottom"/>
      <protection hidden="0" locked="0"/>
    </xf>
    <xf applyAlignment="1" borderId="1" fillId="0" fontId="11" numFmtId="4" pivotButton="0" quotePrefix="0" xfId="0">
      <alignment horizontal="general" shrinkToFit="1" vertical="bottom"/>
    </xf>
    <xf applyAlignment="1" borderId="1" fillId="0" fontId="8" numFmtId="0" pivotButton="0" quotePrefix="0" xfId="0">
      <alignment horizontal="right" vertical="bottom"/>
    </xf>
    <xf applyAlignment="1" borderId="1" fillId="0" fontId="8" numFmtId="2" pivotButton="0" quotePrefix="0" xfId="0">
      <alignment horizontal="center" shrinkToFit="1" vertical="bottom"/>
    </xf>
    <xf applyAlignment="1" borderId="0" fillId="0" fontId="11" numFmtId="0" pivotButton="0" quotePrefix="0" xfId="0">
      <alignment horizontal="center" vertical="bottom"/>
    </xf>
    <xf applyAlignment="1" borderId="0" fillId="0" fontId="8" numFmtId="0" pivotButton="0" quotePrefix="0" xfId="0">
      <alignment horizontal="general" vertical="bottom"/>
    </xf>
    <xf applyAlignment="1" borderId="0" fillId="0" fontId="11" numFmtId="0" pivotButton="0" quotePrefix="0" xfId="0">
      <alignment horizontal="general" vertical="bottom"/>
    </xf>
    <xf applyAlignment="1" borderId="0" fillId="0" fontId="8" numFmtId="0" pivotButton="0" quotePrefix="0" xfId="0">
      <alignment horizontal="general" vertical="bottom"/>
    </xf>
    <xf applyAlignment="1" borderId="0" fillId="0" fontId="11" numFmtId="0" pivotButton="0" quotePrefix="0" xfId="0">
      <alignment horizontal="general" vertical="bottom"/>
    </xf>
    <xf applyAlignment="1" borderId="0" fillId="0" fontId="11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applyAlignment="1" borderId="0" fillId="0" fontId="14" numFmtId="0" pivotButton="0" quotePrefix="0" xfId="0">
      <alignment horizontal="general" vertical="bottom"/>
    </xf>
    <xf applyAlignment="1" applyProtection="1" borderId="1" fillId="0" fontId="8" numFmtId="0" pivotButton="0" quotePrefix="0" xfId="0">
      <alignment horizontal="left" shrinkToFit="1" vertical="bottom"/>
      <protection hidden="0" locked="0"/>
    </xf>
    <xf applyAlignment="1" borderId="3" fillId="2" fontId="14" numFmtId="0" pivotButton="0" quotePrefix="0" xfId="0">
      <alignment horizontal="center" shrinkToFit="1" vertical="bottom"/>
    </xf>
    <xf applyAlignment="1" applyProtection="1" borderId="1" fillId="0" fontId="10" numFmtId="164" pivotButton="0" quotePrefix="0" xfId="0">
      <alignment horizontal="left" vertical="center"/>
      <protection hidden="0" locked="0"/>
    </xf>
    <xf applyAlignment="1" borderId="1" fillId="0" fontId="11" numFmtId="0" pivotButton="0" quotePrefix="0" xfId="0">
      <alignment horizontal="right" vertical="bottom"/>
    </xf>
    <xf applyAlignment="1" borderId="1" fillId="0" fontId="8" numFmtId="0" pivotButton="0" quotePrefix="0" xfId="0">
      <alignment horizontal="general" vertical="bottom"/>
    </xf>
    <xf applyAlignment="1" borderId="0" fillId="0" fontId="8" numFmtId="4" pivotButton="0" quotePrefix="0" xfId="0">
      <alignment horizontal="general" vertical="bottom"/>
    </xf>
    <xf applyAlignment="1" borderId="1" fillId="0" fontId="8" numFmtId="165" pivotButton="0" quotePrefix="0" xfId="0">
      <alignment horizontal="center" vertical="bottom"/>
    </xf>
    <xf applyAlignment="1" borderId="1" fillId="0" fontId="8" numFmtId="165" pivotButton="0" quotePrefix="0" xfId="0">
      <alignment horizontal="center" vertical="bottom"/>
    </xf>
    <xf applyAlignment="1" borderId="1" fillId="0" fontId="8" numFmtId="0" pivotButton="0" quotePrefix="0" xfId="0">
      <alignment horizontal="center" vertical="bottom"/>
    </xf>
    <xf applyAlignment="1" borderId="1" fillId="0" fontId="8" numFmtId="0" pivotButton="0" quotePrefix="0" xfId="0">
      <alignment horizontal="general" vertical="bottom"/>
    </xf>
    <xf applyAlignment="1" borderId="1" fillId="0" fontId="8" numFmtId="166" pivotButton="0" quotePrefix="0" xfId="0">
      <alignment horizontal="left" vertical="bottom"/>
    </xf>
    <xf applyAlignment="1" borderId="1" fillId="0" fontId="8" numFmtId="4" pivotButton="0" quotePrefix="0" xfId="0">
      <alignment horizontal="center" vertical="bottom"/>
    </xf>
    <xf applyAlignment="1" applyProtection="1" borderId="1" fillId="4" fontId="8" numFmtId="4" pivotButton="0" quotePrefix="0" xfId="0">
      <alignment horizontal="center" vertical="bottom"/>
      <protection hidden="0" locked="0"/>
    </xf>
    <xf applyAlignment="1" applyProtection="1" borderId="0" fillId="0" fontId="15" numFmtId="0" pivotButton="0" quotePrefix="0" xfId="20">
      <alignment horizontal="center" vertical="bottom"/>
      <protection hidden="0" locked="0"/>
    </xf>
    <xf applyAlignment="1" borderId="0" fillId="0" fontId="8" numFmtId="0" pivotButton="0" quotePrefix="0" xfId="0">
      <alignment horizontal="general" vertical="bottom"/>
    </xf>
    <xf applyAlignment="1" borderId="0" fillId="0" fontId="8" numFmtId="0" pivotButton="0" quotePrefix="0" xfId="0">
      <alignment horizontal="general" vertical="bottom"/>
    </xf>
    <xf applyAlignment="1" borderId="0" fillId="0" fontId="9" numFmtId="0" pivotButton="0" quotePrefix="0" xfId="0">
      <alignment horizontal="general" vertical="bottom"/>
    </xf>
    <xf applyAlignment="1" applyProtection="1" borderId="1" fillId="0" fontId="8" numFmtId="167" pivotButton="0" quotePrefix="0" xfId="0">
      <alignment horizontal="left" shrinkToFit="1" vertical="bottom"/>
      <protection hidden="0" locked="0"/>
    </xf>
    <xf applyAlignment="1" applyProtection="1" borderId="3" fillId="0" fontId="11" numFmtId="0" pivotButton="0" quotePrefix="0" xfId="0">
      <alignment horizontal="center" vertical="bottom"/>
      <protection hidden="0" locked="0"/>
    </xf>
    <xf applyAlignment="1" applyProtection="1" borderId="1" fillId="0" fontId="11" numFmtId="168" pivotButton="0" quotePrefix="0" xfId="0">
      <alignment horizontal="left" shrinkToFit="1" vertical="bottom"/>
      <protection hidden="0" locked="0"/>
    </xf>
    <xf applyAlignment="1" borderId="1" fillId="0" fontId="16" numFmtId="0" pivotButton="0" quotePrefix="0" xfId="0">
      <alignment horizontal="center" vertical="bottom"/>
    </xf>
    <xf applyAlignment="1" borderId="1" fillId="0" fontId="8" numFmtId="4" pivotButton="0" quotePrefix="0" xfId="0">
      <alignment horizontal="general" vertical="bottom"/>
    </xf>
    <xf applyAlignment="1" borderId="1" fillId="0" fontId="8" numFmtId="169" pivotButton="0" quotePrefix="0" xfId="0">
      <alignment horizontal="center" vertical="bottom"/>
    </xf>
    <xf applyAlignment="1" applyProtection="1" borderId="1" fillId="4" fontId="6" numFmtId="170" pivotButton="0" quotePrefix="0" xfId="0">
      <alignment horizontal="center" vertical="bottom"/>
      <protection hidden="0" locked="0"/>
    </xf>
    <xf applyAlignment="1" borderId="1" fillId="5" fontId="11" numFmtId="4" pivotButton="0" quotePrefix="0" xfId="0">
      <alignment horizontal="general" shrinkToFit="1" vertical="bottom"/>
    </xf>
    <xf applyAlignment="1" borderId="1" fillId="5" fontId="11" numFmtId="0" pivotButton="0" quotePrefix="0" xfId="0">
      <alignment horizontal="general" vertical="bottom"/>
    </xf>
    <xf applyAlignment="1" borderId="1" fillId="5" fontId="8" numFmtId="0" pivotButton="0" quotePrefix="0" xfId="0">
      <alignment horizontal="general" vertical="bottom"/>
    </xf>
    <xf applyAlignment="1" borderId="1" fillId="5" fontId="8" numFmtId="0" pivotButton="0" quotePrefix="0" xfId="0">
      <alignment horizontal="center" vertical="bottom"/>
    </xf>
    <xf applyAlignment="1" borderId="1" fillId="5" fontId="8" numFmtId="2" pivotButton="0" quotePrefix="0" xfId="0">
      <alignment horizontal="center" shrinkToFit="1" vertical="bottom"/>
    </xf>
    <xf applyAlignment="1" borderId="0" fillId="0" fontId="8" numFmtId="0" pivotButton="0" quotePrefix="0" xfId="0">
      <alignment horizontal="center" vertical="bottom"/>
    </xf>
    <xf applyAlignment="1" applyProtection="1" borderId="1" fillId="0" fontId="8" numFmtId="0" pivotButton="0" quotePrefix="0" xfId="0">
      <alignment horizontal="left" shrinkToFit="1" vertical="bottom"/>
      <protection hidden="0" locked="0"/>
    </xf>
    <xf applyAlignment="1" applyProtection="1" borderId="3" fillId="4" fontId="11" numFmtId="0" pivotButton="0" quotePrefix="0" xfId="0">
      <alignment horizontal="center" shrinkToFit="1" vertical="bottom"/>
      <protection hidden="0" locked="0"/>
    </xf>
    <xf applyAlignment="1" applyProtection="1" borderId="1" fillId="0" fontId="10" numFmtId="171" pivotButton="0" quotePrefix="0" xfId="0">
      <alignment horizontal="left" vertical="center"/>
      <protection hidden="0" locked="0"/>
    </xf>
    <xf applyAlignment="1" borderId="1" fillId="0" fontId="8" numFmtId="0" pivotButton="0" quotePrefix="0" xfId="0">
      <alignment horizontal="center" vertical="bottom"/>
    </xf>
    <xf applyAlignment="1" borderId="0" fillId="0" fontId="6" numFmtId="0" pivotButton="0" quotePrefix="0" xfId="0">
      <alignment horizontal="center" vertical="bottom"/>
    </xf>
    <xf applyAlignment="1" borderId="1" fillId="6" fontId="11" numFmtId="0" pivotButton="0" quotePrefix="0" xfId="0">
      <alignment horizontal="center" vertical="center"/>
    </xf>
    <xf applyAlignment="1" borderId="1" fillId="5" fontId="8" numFmtId="4" pivotButton="0" quotePrefix="0" xfId="0">
      <alignment horizontal="center" vertical="bottom"/>
    </xf>
    <xf applyAlignment="1" borderId="1" fillId="5" fontId="14" numFmtId="4" pivotButton="0" quotePrefix="0" xfId="0">
      <alignment horizontal="center" shrinkToFit="1" vertical="bottom"/>
    </xf>
    <xf applyAlignment="1" borderId="0" fillId="0" fontId="8" numFmtId="0" pivotButton="0" quotePrefix="0" xfId="0">
      <alignment horizontal="general" vertical="bottom"/>
    </xf>
    <xf applyAlignment="1" borderId="0" fillId="0" fontId="8" numFmtId="0" pivotButton="0" quotePrefix="0" xfId="0">
      <alignment horizontal="general" vertical="bottom"/>
    </xf>
    <xf applyAlignment="1" borderId="0" fillId="0" fontId="8" numFmtId="0" pivotButton="0" quotePrefix="0" xfId="0">
      <alignment horizontal="center" vertical="bottom"/>
    </xf>
    <xf applyAlignment="1" borderId="0" fillId="0" fontId="9" numFmtId="0" pivotButton="0" quotePrefix="0" xfId="0">
      <alignment horizontal="general" vertical="bottom"/>
    </xf>
    <xf applyAlignment="1" borderId="1" fillId="0" fontId="11" numFmtId="0" pivotButton="0" quotePrefix="0" xfId="0">
      <alignment horizontal="right" shrinkToFit="1" vertical="center"/>
    </xf>
    <xf applyAlignment="1" borderId="1" fillId="0" fontId="8" numFmtId="0" pivotButton="0" quotePrefix="0" xfId="0">
      <alignment horizontal="general" vertical="bottom"/>
    </xf>
    <xf applyAlignment="1" borderId="1" fillId="0" fontId="11" numFmtId="0" pivotButton="0" quotePrefix="0" xfId="0">
      <alignment horizontal="center" vertical="bottom"/>
    </xf>
    <xf applyAlignment="1" borderId="1" fillId="6" fontId="11" numFmtId="172" pivotButton="0" quotePrefix="0" xfId="0">
      <alignment horizontal="center" vertical="bottom"/>
    </xf>
    <xf applyAlignment="1" borderId="1" fillId="0" fontId="11" numFmtId="172" pivotButton="0" quotePrefix="0" xfId="0">
      <alignment horizontal="general" shrinkToFit="1" vertical="bottom"/>
    </xf>
    <xf applyAlignment="1" borderId="1" fillId="0" fontId="11" numFmtId="4" pivotButton="0" quotePrefix="0" xfId="0">
      <alignment horizontal="center" shrinkToFit="1" vertical="bottom"/>
    </xf>
    <xf applyAlignment="1" applyProtection="1" borderId="1" fillId="4" fontId="11" numFmtId="0" pivotButton="0" quotePrefix="0" xfId="0">
      <alignment horizontal="center" shrinkToFit="1" vertical="bottom"/>
      <protection hidden="0" locked="0"/>
    </xf>
    <xf applyAlignment="1" borderId="1" fillId="0" fontId="8" numFmtId="168" pivotButton="0" quotePrefix="0" xfId="0">
      <alignment horizontal="center" vertical="bottom"/>
    </xf>
    <xf applyAlignment="1" borderId="1" fillId="0" fontId="15" numFmtId="168" pivotButton="0" quotePrefix="0" xfId="20">
      <alignment horizontal="center" shrinkToFit="1" vertical="center"/>
    </xf>
    <xf applyAlignment="1" borderId="1" fillId="0" fontId="11" numFmtId="172" pivotButton="0" quotePrefix="0" xfId="0">
      <alignment horizontal="center" vertical="bottom"/>
    </xf>
    <xf applyAlignment="1" borderId="1" fillId="5" fontId="11" numFmtId="172" pivotButton="0" quotePrefix="0" xfId="0">
      <alignment horizontal="general" shrinkToFit="1" vertical="bottom"/>
    </xf>
    <xf applyAlignment="1" borderId="1" fillId="5" fontId="11" numFmtId="0" pivotButton="0" quotePrefix="0" xfId="0">
      <alignment horizontal="general" vertical="center"/>
    </xf>
    <xf applyAlignment="1" borderId="1" fillId="5" fontId="11" numFmtId="0" pivotButton="0" quotePrefix="0" xfId="0">
      <alignment horizontal="general" vertical="center"/>
    </xf>
    <xf applyAlignment="1" borderId="1" fillId="5" fontId="11" numFmtId="4" pivotButton="0" quotePrefix="0" xfId="0">
      <alignment horizontal="center" shrinkToFit="1" vertical="bottom"/>
    </xf>
    <xf applyAlignment="1" borderId="0" fillId="0" fontId="8" numFmtId="173" pivotButton="0" quotePrefix="0" xfId="0">
      <alignment horizontal="general" vertical="bottom"/>
    </xf>
    <xf applyAlignment="1" borderId="0" fillId="0" fontId="9" numFmtId="0" pivotButton="0" quotePrefix="0" xfId="0">
      <alignment horizontal="general" vertical="bottom"/>
    </xf>
    <xf applyAlignment="1" applyProtection="1" borderId="1" fillId="0" fontId="15" numFmtId="0" pivotButton="0" quotePrefix="0" xfId="20">
      <alignment horizontal="left" shrinkToFit="1" vertical="bottom"/>
      <protection hidden="0" locked="0"/>
    </xf>
    <xf applyAlignment="1" borderId="1" fillId="4" fontId="11" numFmtId="174" pivotButton="0" quotePrefix="0" xfId="0">
      <alignment horizontal="center" shrinkToFit="1" vertical="bottom"/>
    </xf>
    <xf applyAlignment="1" borderId="1" fillId="0" fontId="11" numFmtId="49" pivotButton="0" quotePrefix="0" xfId="0">
      <alignment horizontal="center" vertical="center" wrapText="1"/>
    </xf>
    <xf applyAlignment="1" borderId="3" fillId="0" fontId="11" numFmtId="49" pivotButton="0" quotePrefix="0" xfId="0">
      <alignment horizontal="center" vertical="center" wrapText="1"/>
    </xf>
    <xf applyAlignment="1" borderId="1" fillId="0" fontId="11" numFmtId="0" pivotButton="0" quotePrefix="0" xfId="0">
      <alignment horizontal="center" vertical="center"/>
    </xf>
    <xf applyAlignment="1" borderId="1" fillId="0" fontId="10" numFmtId="0" pivotButton="0" quotePrefix="0" xfId="0">
      <alignment horizontal="center" vertical="center"/>
    </xf>
    <xf applyAlignment="1" borderId="1" fillId="0" fontId="11" numFmtId="49" pivotButton="0" quotePrefix="0" xfId="0">
      <alignment horizontal="center" vertical="center"/>
    </xf>
    <xf applyAlignment="1" borderId="1" fillId="0" fontId="11" numFmtId="0" pivotButton="0" quotePrefix="0" xfId="0">
      <alignment horizontal="center" vertical="center"/>
    </xf>
    <xf applyAlignment="1" borderId="2" fillId="5" fontId="8" numFmtId="0" pivotButton="0" quotePrefix="0" xfId="0">
      <alignment horizontal="general" vertical="bottom"/>
    </xf>
    <xf applyAlignment="1" borderId="2" fillId="5" fontId="11" numFmtId="0" pivotButton="0" quotePrefix="0" xfId="0">
      <alignment horizontal="general" vertical="center"/>
    </xf>
    <xf applyAlignment="1" borderId="2" fillId="5" fontId="11" numFmtId="0" pivotButton="0" quotePrefix="0" xfId="0">
      <alignment horizontal="general" vertical="center"/>
    </xf>
    <xf applyAlignment="1" borderId="3" fillId="6" fontId="10" numFmtId="49" pivotButton="0" quotePrefix="0" xfId="0">
      <alignment horizontal="center" vertical="center"/>
    </xf>
    <xf applyAlignment="1" borderId="4" fillId="6" fontId="11" numFmtId="49" pivotButton="0" quotePrefix="0" xfId="0">
      <alignment horizontal="center" vertical="center"/>
    </xf>
    <xf applyAlignment="1" borderId="1" fillId="0" fontId="11" numFmtId="0" pivotButton="0" quotePrefix="0" xfId="0">
      <alignment horizontal="center" shrinkToFit="1" vertical="bottom"/>
    </xf>
    <xf applyAlignment="1" borderId="2" fillId="0" fontId="11" numFmtId="0" pivotButton="0" quotePrefix="0" xfId="0">
      <alignment horizontal="center" vertical="center"/>
    </xf>
    <xf applyAlignment="1" borderId="1" fillId="0" fontId="10" numFmtId="168" pivotButton="0" quotePrefix="0" xfId="0">
      <alignment horizontal="center" vertical="center"/>
    </xf>
    <xf applyAlignment="1" borderId="5" fillId="0" fontId="11" numFmtId="49" pivotButton="0" quotePrefix="0" xfId="0">
      <alignment horizontal="center" vertical="center"/>
    </xf>
    <xf applyAlignment="1" borderId="1" fillId="0" fontId="11" numFmtId="0" pivotButton="0" quotePrefix="0" xfId="0">
      <alignment horizontal="center" vertical="center"/>
    </xf>
    <xf applyAlignment="1" borderId="2" fillId="0" fontId="11" numFmtId="0" pivotButton="0" quotePrefix="0" xfId="0">
      <alignment horizontal="center" vertical="center"/>
    </xf>
    <xf applyAlignment="1" applyProtection="1" borderId="1" fillId="0" fontId="8" numFmtId="0" pivotButton="0" quotePrefix="0" xfId="0">
      <alignment horizontal="general" shrinkToFit="1" vertical="top"/>
      <protection hidden="0" locked="0"/>
    </xf>
    <xf applyAlignment="1" applyProtection="1" borderId="1" fillId="0" fontId="8" numFmtId="49" pivotButton="0" quotePrefix="0" xfId="0">
      <alignment horizontal="right" vertical="top" wrapText="1"/>
      <protection hidden="0" locked="0"/>
    </xf>
    <xf applyAlignment="1" applyProtection="1" borderId="1" fillId="0" fontId="8" numFmtId="169" pivotButton="0" quotePrefix="0" xfId="0">
      <alignment horizontal="center" vertical="center" wrapText="1"/>
      <protection hidden="0" locked="0"/>
    </xf>
    <xf applyAlignment="1" applyProtection="1" borderId="1" fillId="0" fontId="8" numFmtId="49" pivotButton="0" quotePrefix="0" xfId="0">
      <alignment horizontal="center" vertical="center" wrapText="1"/>
      <protection hidden="0" locked="0"/>
    </xf>
    <xf applyAlignment="1" applyProtection="1" borderId="1" fillId="4" fontId="8" numFmtId="4" pivotButton="0" quotePrefix="0" xfId="0">
      <alignment horizontal="right" shrinkToFit="1" vertical="bottom"/>
      <protection hidden="0" locked="0"/>
    </xf>
    <xf applyAlignment="1" borderId="1" fillId="0" fontId="8" numFmtId="1" pivotButton="0" quotePrefix="0" xfId="0">
      <alignment horizontal="center" vertical="bottom"/>
    </xf>
    <xf applyAlignment="1" borderId="1" fillId="0" fontId="8" numFmtId="168" pivotButton="0" quotePrefix="0" xfId="0">
      <alignment horizontal="center" vertical="bottom"/>
    </xf>
    <xf applyAlignment="1" borderId="1" fillId="0" fontId="8" numFmtId="2" pivotButton="0" quotePrefix="0" xfId="0">
      <alignment horizontal="right" vertical="bottom"/>
    </xf>
    <xf applyAlignment="1" borderId="3" fillId="0" fontId="8" numFmtId="2" pivotButton="0" quotePrefix="0" xfId="0">
      <alignment horizontal="right" vertical="bottom"/>
    </xf>
    <xf applyAlignment="1" borderId="1" fillId="0" fontId="8" numFmtId="0" pivotButton="0" quotePrefix="0" xfId="0">
      <alignment horizontal="center" vertical="bottom"/>
    </xf>
    <xf applyAlignment="1" borderId="1" fillId="0" fontId="8" numFmtId="0" pivotButton="0" quotePrefix="0" xfId="0">
      <alignment horizontal="general" vertical="bottom"/>
    </xf>
    <xf applyAlignment="1" borderId="4" fillId="0" fontId="8" numFmtId="0" pivotButton="0" quotePrefix="0" xfId="0">
      <alignment horizontal="general" vertical="bottom"/>
    </xf>
    <xf applyAlignment="1" borderId="1" fillId="0" fontId="8" numFmtId="0" pivotButton="0" quotePrefix="0" xfId="0">
      <alignment horizontal="general" vertical="bottom"/>
    </xf>
    <xf applyAlignment="1" applyProtection="1" borderId="1" fillId="4" fontId="8" numFmtId="175" pivotButton="0" quotePrefix="0" xfId="0">
      <alignment horizontal="center" vertical="bottom"/>
      <protection hidden="0" locked="0"/>
    </xf>
    <xf applyAlignment="1" applyProtection="1" borderId="1" fillId="4" fontId="8" numFmtId="170" pivotButton="0" quotePrefix="0" xfId="0">
      <alignment horizontal="center" vertical="bottom"/>
      <protection hidden="0" locked="0"/>
    </xf>
    <xf applyAlignment="1" borderId="0" fillId="0" fontId="19" numFmtId="0" pivotButton="0" quotePrefix="0" xfId="0">
      <alignment horizontal="left" vertical="bottom"/>
    </xf>
    <xf applyAlignment="1" borderId="0" fillId="0" fontId="19" numFmtId="165" pivotButton="0" quotePrefix="0" xfId="0">
      <alignment horizontal="left" vertical="bottom"/>
    </xf>
    <xf applyAlignment="1" borderId="0" fillId="0" fontId="19" numFmtId="176" pivotButton="0" quotePrefix="0" xfId="0">
      <alignment horizontal="left" vertical="bottom"/>
    </xf>
    <xf applyAlignment="1" borderId="0" fillId="0" fontId="19" numFmtId="0" pivotButton="0" quotePrefix="0" xfId="0">
      <alignment horizontal="left" vertical="bottom"/>
    </xf>
    <xf applyAlignment="1" borderId="0" fillId="0" fontId="19" numFmtId="0" pivotButton="0" quotePrefix="0" xfId="0">
      <alignment horizontal="left" vertical="bottom"/>
    </xf>
    <xf applyAlignment="1" borderId="0" fillId="0" fontId="19" numFmtId="0" pivotButton="0" quotePrefix="0" xfId="0">
      <alignment horizontal="left" vertical="bottom"/>
    </xf>
    <xf applyAlignment="1" borderId="0" fillId="0" fontId="19" numFmtId="167" pivotButton="0" quotePrefix="0" xfId="0">
      <alignment horizontal="left" vertical="bottom"/>
    </xf>
    <xf applyAlignment="1" borderId="0" fillId="0" fontId="19" numFmtId="0" pivotButton="0" quotePrefix="0" xfId="0">
      <alignment horizontal="left" vertical="bottom"/>
    </xf>
    <xf applyAlignment="1" borderId="0" fillId="0" fontId="19" numFmtId="0" pivotButton="0" quotePrefix="0" xfId="0">
      <alignment horizontal="right" vertical="bottom"/>
    </xf>
    <xf applyAlignment="1" borderId="0" fillId="0" fontId="19" numFmtId="177" pivotButton="0" quotePrefix="0" xfId="0">
      <alignment horizontal="left" vertical="bottom"/>
    </xf>
    <xf applyAlignment="1" borderId="0" fillId="0" fontId="19" numFmtId="166" pivotButton="0" quotePrefix="0" xfId="0">
      <alignment horizontal="left" vertical="bottom"/>
    </xf>
    <xf applyAlignment="1" borderId="0" fillId="0" fontId="19" numFmtId="178" pivotButton="0" quotePrefix="0" xfId="0">
      <alignment horizontal="left" vertical="bottom"/>
    </xf>
    <xf applyAlignment="1" borderId="6" fillId="0" fontId="20" numFmtId="0" pivotButton="0" quotePrefix="0" xfId="0">
      <alignment horizontal="center" vertical="center"/>
    </xf>
    <xf applyAlignment="1" borderId="7" fillId="0" fontId="11" numFmtId="0" pivotButton="0" quotePrefix="0" xfId="0">
      <alignment horizontal="left" indent="15" vertical="center"/>
    </xf>
    <xf applyAlignment="1" borderId="8" fillId="0" fontId="11" numFmtId="0" pivotButton="0" quotePrefix="0" xfId="0">
      <alignment horizontal="center" vertical="center"/>
    </xf>
    <xf applyAlignment="1" borderId="9" fillId="0" fontId="11" numFmtId="0" pivotButton="0" quotePrefix="0" xfId="0">
      <alignment horizontal="right" vertical="center"/>
    </xf>
    <xf applyAlignment="1" borderId="10" fillId="0" fontId="21" numFmtId="167" pivotButton="0" quotePrefix="0" xfId="0">
      <alignment horizontal="left" vertical="center"/>
    </xf>
    <xf applyAlignment="1" borderId="11" fillId="0" fontId="0" numFmtId="0" pivotButton="0" quotePrefix="0" xfId="0">
      <alignment horizontal="center" vertical="bottom"/>
    </xf>
    <xf applyAlignment="1" borderId="12" fillId="0" fontId="11" numFmtId="0" pivotButton="0" quotePrefix="0" xfId="0">
      <alignment horizontal="right" vertical="center"/>
    </xf>
    <xf applyAlignment="1" borderId="13" fillId="0" fontId="21" numFmtId="0" pivotButton="0" quotePrefix="0" xfId="0">
      <alignment horizontal="left" vertical="center"/>
    </xf>
    <xf applyAlignment="1" borderId="9" fillId="0" fontId="6" numFmtId="0" pivotButton="0" quotePrefix="0" xfId="0">
      <alignment horizontal="right" vertical="center"/>
    </xf>
    <xf applyAlignment="1" borderId="10" fillId="0" fontId="21" numFmtId="0" pivotButton="0" quotePrefix="0" xfId="0">
      <alignment horizontal="left" vertical="center"/>
    </xf>
    <xf applyAlignment="1" borderId="9" fillId="0" fontId="0" numFmtId="0" pivotButton="0" quotePrefix="0" xfId="0">
      <alignment horizontal="general" vertical="bottom"/>
    </xf>
    <xf applyAlignment="1" borderId="14" fillId="0" fontId="0" numFmtId="0" pivotButton="0" quotePrefix="0" xfId="0">
      <alignment horizontal="center" vertical="bottom"/>
    </xf>
    <xf applyAlignment="1" borderId="14" fillId="0" fontId="10" numFmtId="0" pivotButton="0" quotePrefix="0" xfId="0">
      <alignment horizontal="center" vertical="center"/>
    </xf>
    <xf applyAlignment="1" borderId="10" fillId="0" fontId="0" numFmtId="0" pivotButton="0" quotePrefix="0" xfId="0">
      <alignment horizontal="general" vertical="bottom"/>
    </xf>
    <xf applyAlignment="1" borderId="9" fillId="0" fontId="0" numFmtId="0" pivotButton="0" quotePrefix="0" xfId="0">
      <alignment horizontal="center" vertical="bottom"/>
    </xf>
    <xf applyAlignment="1" borderId="10" fillId="0" fontId="10" numFmtId="0" pivotButton="0" quotePrefix="0" xfId="0">
      <alignment horizontal="left" vertical="center"/>
    </xf>
    <xf applyAlignment="1" borderId="10" fillId="0" fontId="10" numFmtId="0" pivotButton="0" quotePrefix="0" xfId="0">
      <alignment horizontal="center" vertical="bottom" wrapText="1"/>
    </xf>
    <xf applyAlignment="1" borderId="15" fillId="0" fontId="0" numFmtId="0" pivotButton="0" quotePrefix="0" xfId="0">
      <alignment horizontal="general" vertical="bottom"/>
    </xf>
    <xf applyAlignment="1" borderId="16" fillId="0" fontId="0" numFmtId="0" pivotButton="0" quotePrefix="0" xfId="0">
      <alignment horizontal="general" vertical="bottom"/>
    </xf>
    <xf applyAlignment="1" borderId="15" fillId="0" fontId="6" numFmtId="0" pivotButton="0" quotePrefix="0" xfId="0">
      <alignment horizontal="right" vertical="center"/>
    </xf>
    <xf applyAlignment="1" borderId="16" fillId="0" fontId="21" numFmtId="0" pivotButton="0" quotePrefix="0" xfId="0">
      <alignment horizontal="general" vertical="center"/>
    </xf>
    <xf applyAlignment="1" borderId="17" fillId="0" fontId="0" numFmtId="0" pivotButton="0" quotePrefix="0" xfId="0">
      <alignment horizontal="center" vertical="bottom"/>
    </xf>
    <xf applyAlignment="1" borderId="12" fillId="0" fontId="0" numFmtId="0" pivotButton="0" quotePrefix="0" xfId="0">
      <alignment horizontal="center" vertical="bottom"/>
    </xf>
    <xf applyAlignment="1" borderId="18" fillId="0" fontId="22" numFmtId="0" pivotButton="0" quotePrefix="0" xfId="0">
      <alignment horizontal="center" vertical="center"/>
    </xf>
    <xf applyAlignment="1" borderId="12" fillId="0" fontId="6" numFmtId="0" pivotButton="0" quotePrefix="0" xfId="0">
      <alignment horizontal="right" vertical="center"/>
    </xf>
    <xf applyAlignment="1" borderId="17" fillId="0" fontId="21" numFmtId="0" pivotButton="0" quotePrefix="0" xfId="0">
      <alignment horizontal="left" vertical="bottom"/>
    </xf>
    <xf applyAlignment="1" borderId="17" fillId="0" fontId="6" numFmtId="0" pivotButton="0" quotePrefix="0" xfId="0">
      <alignment horizontal="right" vertical="center"/>
    </xf>
    <xf applyAlignment="1" borderId="13" fillId="0" fontId="21" numFmtId="0" pivotButton="0" quotePrefix="0" xfId="0">
      <alignment horizontal="general" shrinkToFit="1" vertical="center"/>
    </xf>
    <xf applyAlignment="1" borderId="12" fillId="0" fontId="0" numFmtId="0" pivotButton="0" quotePrefix="0" xfId="0">
      <alignment horizontal="general" vertical="bottom"/>
    </xf>
    <xf applyAlignment="1" borderId="13" fillId="0" fontId="0" numFmtId="0" pivotButton="0" quotePrefix="0" xfId="0">
      <alignment horizontal="general" vertical="bottom"/>
    </xf>
    <xf applyAlignment="1" borderId="9" fillId="0" fontId="11" numFmtId="0" pivotButton="0" quotePrefix="0" xfId="0">
      <alignment horizontal="general" vertical="center" wrapText="1"/>
    </xf>
    <xf applyAlignment="1" borderId="19" fillId="0" fontId="23" numFmtId="0" pivotButton="0" quotePrefix="0" xfId="0">
      <alignment horizontal="center" vertical="center" wrapText="1"/>
    </xf>
    <xf applyAlignment="1" borderId="20" fillId="0" fontId="11" numFmtId="0" pivotButton="0" quotePrefix="0" xfId="0">
      <alignment horizontal="center" vertical="center"/>
    </xf>
    <xf applyAlignment="1" borderId="21" fillId="0" fontId="0" numFmtId="0" pivotButton="0" quotePrefix="0" xfId="0">
      <alignment horizontal="general" vertical="bottom"/>
    </xf>
    <xf applyAlignment="1" borderId="22" fillId="0" fontId="0" numFmtId="0" pivotButton="0" quotePrefix="0" xfId="0">
      <alignment horizontal="general" vertical="bottom"/>
    </xf>
    <xf applyAlignment="1" borderId="23" fillId="0" fontId="24" numFmtId="0" pivotButton="0" quotePrefix="0" xfId="0">
      <alignment horizontal="center" vertical="center" wrapText="1"/>
    </xf>
    <xf applyAlignment="1" borderId="24" fillId="0" fontId="0" numFmtId="0" pivotButton="0" quotePrefix="0" xfId="0">
      <alignment horizontal="general" vertical="bottom"/>
    </xf>
    <xf applyAlignment="1" borderId="23" fillId="0" fontId="10" numFmtId="0" pivotButton="0" quotePrefix="0" xfId="0">
      <alignment horizontal="center" vertical="center" wrapText="1"/>
    </xf>
    <xf applyAlignment="1" borderId="25" fillId="0" fontId="0" numFmtId="0" pivotButton="0" quotePrefix="0" xfId="0">
      <alignment horizontal="general" vertical="bottom"/>
    </xf>
    <xf applyAlignment="1" borderId="26" fillId="0" fontId="13" numFmtId="0" pivotButton="0" quotePrefix="0" xfId="0">
      <alignment horizontal="center" vertical="center"/>
    </xf>
    <xf applyAlignment="1" borderId="12" fillId="0" fontId="11" numFmtId="0" pivotButton="0" quotePrefix="0" xfId="0">
      <alignment horizontal="general" vertical="center" wrapText="1"/>
    </xf>
    <xf applyAlignment="1" borderId="27" fillId="0" fontId="11" numFmtId="0" pivotButton="0" quotePrefix="0" xfId="0">
      <alignment horizontal="center" vertical="center"/>
    </xf>
    <xf applyAlignment="1" borderId="28" fillId="0" fontId="13" numFmtId="0" pivotButton="0" quotePrefix="0" xfId="0">
      <alignment horizontal="center" vertical="center" wrapText="1"/>
    </xf>
    <xf applyAlignment="1" borderId="29" fillId="0" fontId="11" numFmtId="0" pivotButton="0" quotePrefix="0" xfId="0">
      <alignment horizontal="center" vertical="center"/>
    </xf>
    <xf applyAlignment="1" borderId="30" fillId="0" fontId="11" numFmtId="0" pivotButton="0" quotePrefix="0" xfId="0">
      <alignment horizontal="center" vertical="center"/>
    </xf>
    <xf applyAlignment="1" borderId="31" fillId="0" fontId="13" numFmtId="0" pivotButton="0" quotePrefix="0" xfId="0">
      <alignment horizontal="general" vertical="center" wrapText="1"/>
    </xf>
    <xf applyAlignment="1" borderId="27" fillId="0" fontId="13" numFmtId="0" pivotButton="0" quotePrefix="0" xfId="0">
      <alignment horizontal="center" vertical="center" wrapText="1"/>
    </xf>
    <xf applyAlignment="1" borderId="30" fillId="0" fontId="10" numFmtId="0" pivotButton="0" quotePrefix="0" xfId="0">
      <alignment horizontal="center" vertical="center" wrapText="1"/>
    </xf>
    <xf applyAlignment="1" borderId="31" fillId="0" fontId="0" numFmtId="0" pivotButton="0" quotePrefix="0" xfId="0">
      <alignment horizontal="general" vertical="bottom"/>
    </xf>
    <xf applyAlignment="1" borderId="18" fillId="0" fontId="16" numFmtId="0" pivotButton="0" quotePrefix="0" xfId="0">
      <alignment horizontal="center" vertical="center" wrapText="1"/>
    </xf>
    <xf applyAlignment="1" borderId="32" fillId="0" fontId="26" numFmtId="0" pivotButton="0" quotePrefix="0" xfId="0">
      <alignment horizontal="center" vertical="center" wrapText="1"/>
    </xf>
    <xf applyAlignment="1" borderId="33" fillId="0" fontId="26" numFmtId="0" pivotButton="0" quotePrefix="0" xfId="0">
      <alignment horizontal="left" vertical="bottom"/>
    </xf>
    <xf applyAlignment="1" borderId="5" fillId="0" fontId="0" numFmtId="0" pivotButton="0" quotePrefix="0" xfId="0">
      <alignment horizontal="general" vertical="bottom"/>
    </xf>
    <xf applyAlignment="1" borderId="34" fillId="0" fontId="0" numFmtId="169" pivotButton="0" quotePrefix="0" xfId="0">
      <alignment horizontal="center" vertical="bottom"/>
    </xf>
    <xf applyAlignment="1" borderId="5" fillId="0" fontId="0" numFmtId="49" pivotButton="0" quotePrefix="0" xfId="0">
      <alignment horizontal="center" vertical="bottom"/>
    </xf>
    <xf applyAlignment="1" borderId="5" fillId="0" fontId="0" numFmtId="1" pivotButton="0" quotePrefix="0" xfId="0">
      <alignment horizontal="center" vertical="bottom"/>
    </xf>
    <xf applyAlignment="1" borderId="35" fillId="0" fontId="0" numFmtId="0" pivotButton="0" quotePrefix="0" xfId="0">
      <alignment horizontal="general" vertical="bottom"/>
    </xf>
    <xf applyAlignment="1" borderId="34" fillId="0" fontId="8" numFmtId="4" pivotButton="0" quotePrefix="0" xfId="0">
      <alignment horizontal="center" vertical="bottom"/>
    </xf>
    <xf applyAlignment="1" borderId="5" fillId="0" fontId="0" numFmtId="4" pivotButton="0" quotePrefix="0" xfId="0">
      <alignment horizontal="center" vertical="bottom"/>
    </xf>
    <xf applyAlignment="1" borderId="5" fillId="0" fontId="0" numFmtId="0" pivotButton="0" quotePrefix="0" xfId="0">
      <alignment horizontal="center" vertical="center"/>
    </xf>
    <xf applyAlignment="1" borderId="34" fillId="0" fontId="0" numFmtId="169" pivotButton="0" quotePrefix="0" xfId="0">
      <alignment horizontal="center" vertical="center"/>
    </xf>
    <xf applyAlignment="1" borderId="1" fillId="0" fontId="26" numFmtId="0" pivotButton="0" quotePrefix="0" xfId="0">
      <alignment horizontal="left" vertical="bottom"/>
    </xf>
    <xf applyAlignment="1" borderId="1" fillId="0" fontId="0" numFmtId="0" pivotButton="0" quotePrefix="0" xfId="0">
      <alignment horizontal="general" vertical="bottom"/>
    </xf>
    <xf applyAlignment="1" borderId="1" fillId="0" fontId="0" numFmtId="169" pivotButton="0" quotePrefix="0" xfId="0">
      <alignment horizontal="center" vertical="bottom"/>
    </xf>
    <xf applyAlignment="1" borderId="1" fillId="0" fontId="0" numFmtId="49" pivotButton="0" quotePrefix="0" xfId="0">
      <alignment horizontal="center" vertical="bottom"/>
    </xf>
    <xf applyAlignment="1" borderId="1" fillId="0" fontId="0" numFmtId="1" pivotButton="0" quotePrefix="0" xfId="0">
      <alignment horizontal="center" vertical="bottom"/>
    </xf>
    <xf applyAlignment="1" borderId="1" fillId="0" fontId="8" numFmtId="4" pivotButton="0" quotePrefix="0" xfId="0">
      <alignment horizontal="center" vertical="bottom"/>
    </xf>
    <xf applyAlignment="1" borderId="1" fillId="0" fontId="0" numFmtId="4" pivotButton="0" quotePrefix="0" xfId="0">
      <alignment horizontal="center" vertical="bottom"/>
    </xf>
    <xf applyAlignment="1" borderId="1" fillId="0" fontId="0" numFmtId="0" pivotButton="0" quotePrefix="0" xfId="0">
      <alignment horizontal="center" vertical="center"/>
    </xf>
    <xf applyAlignment="1" borderId="1" fillId="0" fontId="0" numFmtId="169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35" fillId="0" fontId="0" numFmtId="0" pivotButton="0" quotePrefix="0" xfId="0">
      <alignment horizontal="center" vertical="bottom"/>
    </xf>
    <xf applyAlignment="1" borderId="1" fillId="0" fontId="0" numFmtId="0" pivotButton="0" quotePrefix="0" xfId="0">
      <alignment horizontal="center" vertical="bottom"/>
    </xf>
    <xf applyAlignment="1" borderId="1" fillId="0" fontId="10" numFmtId="0" pivotButton="0" quotePrefix="0" xfId="0">
      <alignment horizontal="center" vertical="center"/>
    </xf>
    <xf applyAlignment="1" borderId="1" fillId="0" fontId="10" numFmtId="0" pivotButton="0" quotePrefix="0" xfId="0">
      <alignment horizontal="left" indent="3" vertical="center"/>
    </xf>
    <xf applyAlignment="1" borderId="3" fillId="0" fontId="11" numFmtId="4" pivotButton="0" quotePrefix="0" xfId="0">
      <alignment horizontal="center" vertical="center"/>
    </xf>
    <xf applyAlignment="1" borderId="1" fillId="0" fontId="11" numFmtId="4" pivotButton="0" quotePrefix="0" xfId="0">
      <alignment horizontal="center" vertical="center"/>
    </xf>
    <xf applyAlignment="1" borderId="1" fillId="0" fontId="27" numFmtId="0" pivotButton="0" quotePrefix="0" xfId="0">
      <alignment horizontal="general" shrinkToFit="1" vertical="center"/>
    </xf>
    <xf applyAlignment="1" borderId="5" fillId="0" fontId="28" numFmtId="0" pivotButton="0" quotePrefix="0" xfId="0">
      <alignment horizontal="center" vertical="center"/>
    </xf>
    <xf applyAlignment="1" borderId="3" fillId="0" fontId="29" numFmtId="0" pivotButton="0" quotePrefix="0" xfId="0">
      <alignment horizontal="center" vertical="center"/>
    </xf>
    <xf applyAlignment="1" borderId="1" fillId="0" fontId="11" numFmtId="0" pivotButton="0" quotePrefix="0" xfId="0">
      <alignment horizontal="center" vertical="center"/>
    </xf>
    <xf applyAlignment="1" borderId="31" fillId="0" fontId="10" numFmtId="0" pivotButton="0" quotePrefix="0" xfId="0">
      <alignment horizontal="center" vertical="center"/>
    </xf>
    <xf applyAlignment="1" borderId="1" fillId="0" fontId="27" numFmtId="0" pivotButton="0" quotePrefix="0" xfId="0">
      <alignment horizontal="center" shrinkToFit="1" vertical="center"/>
    </xf>
    <xf applyAlignment="1" borderId="2" fillId="0" fontId="24" numFmtId="0" pivotButton="0" quotePrefix="0" xfId="0">
      <alignment horizontal="center" vertical="center" wrapText="1"/>
    </xf>
    <xf applyAlignment="1" borderId="31" fillId="0" fontId="11" numFmtId="0" pivotButton="0" quotePrefix="0" xfId="0">
      <alignment horizontal="center" vertical="center"/>
    </xf>
    <xf applyAlignment="1" borderId="1" fillId="0" fontId="11" numFmtId="179" pivotButton="0" quotePrefix="0" xfId="0">
      <alignment horizontal="center" vertical="center"/>
    </xf>
    <xf applyAlignment="1" borderId="2" fillId="0" fontId="26" numFmtId="0" pivotButton="0" quotePrefix="0" xfId="0">
      <alignment horizontal="left" vertical="center"/>
    </xf>
    <xf applyAlignment="1" borderId="1" fillId="0" fontId="21" numFmtId="174" pivotButton="0" quotePrefix="0" xfId="0">
      <alignment horizontal="center" vertical="center"/>
    </xf>
    <xf applyAlignment="1" borderId="35" fillId="0" fontId="0" numFmtId="0" pivotButton="0" quotePrefix="0" xfId="0">
      <alignment horizontal="center" vertical="center"/>
    </xf>
    <xf applyAlignment="1" borderId="35" fillId="0" fontId="8" numFmtId="0" pivotButton="0" quotePrefix="0" xfId="0">
      <alignment horizontal="center" vertical="center"/>
    </xf>
    <xf applyAlignment="1" borderId="3" fillId="0" fontId="8" numFmtId="0" pivotButton="0" quotePrefix="0" xfId="0">
      <alignment horizontal="center" vertical="center"/>
    </xf>
    <xf applyAlignment="1" borderId="36" fillId="0" fontId="8" numFmtId="0" pivotButton="0" quotePrefix="0" xfId="0">
      <alignment horizontal="center" vertical="bottom"/>
    </xf>
    <xf applyAlignment="1" borderId="31" fillId="0" fontId="8" numFmtId="0" pivotButton="0" quotePrefix="0" xfId="0">
      <alignment horizontal="center" vertical="center"/>
    </xf>
    <xf applyAlignment="1" borderId="4" fillId="0" fontId="8" numFmtId="0" pivotButton="0" quotePrefix="0" xfId="0">
      <alignment horizontal="center" vertical="center"/>
    </xf>
    <xf applyAlignment="1" borderId="21" fillId="0" fontId="6" numFmtId="0" pivotButton="0" quotePrefix="0" xfId="0">
      <alignment horizontal="center" vertical="center"/>
    </xf>
    <xf applyAlignment="1" borderId="37" fillId="0" fontId="26" numFmtId="0" pivotButton="0" quotePrefix="0" xfId="0">
      <alignment horizontal="left" vertical="bottom"/>
    </xf>
    <xf applyAlignment="1" borderId="2" fillId="0" fontId="0" numFmtId="0" pivotButton="0" quotePrefix="0" xfId="0">
      <alignment horizontal="general" vertical="bottom"/>
    </xf>
    <xf applyAlignment="1" borderId="38" fillId="0" fontId="0" numFmtId="169" pivotButton="0" quotePrefix="0" xfId="0">
      <alignment horizontal="center" vertical="bottom"/>
    </xf>
    <xf applyAlignment="1" borderId="2" fillId="0" fontId="0" numFmtId="49" pivotButton="0" quotePrefix="0" xfId="0">
      <alignment horizontal="center" vertical="bottom"/>
    </xf>
    <xf applyAlignment="1" borderId="2" fillId="0" fontId="0" numFmtId="1" pivotButton="0" quotePrefix="0" xfId="0">
      <alignment horizontal="center" vertical="bottom"/>
    </xf>
    <xf applyAlignment="1" borderId="38" fillId="0" fontId="0" numFmtId="4" pivotButton="0" quotePrefix="0" xfId="0">
      <alignment horizontal="center" vertical="bottom"/>
    </xf>
    <xf applyAlignment="1" borderId="2" fillId="0" fontId="0" numFmtId="4" pivotButton="0" quotePrefix="0" xfId="0">
      <alignment horizontal="center" vertical="bottom"/>
    </xf>
    <xf applyAlignment="1" borderId="2" fillId="0" fontId="0" numFmtId="0" pivotButton="0" quotePrefix="0" xfId="0">
      <alignment horizontal="center" vertical="center"/>
    </xf>
    <xf applyAlignment="1" borderId="38" fillId="0" fontId="0" numFmtId="169" pivotButton="0" quotePrefix="0" xfId="0">
      <alignment horizontal="center" vertical="center"/>
    </xf>
    <xf applyAlignment="1" borderId="0" fillId="0" fontId="8" numFmtId="0" pivotButton="0" quotePrefix="0" xfId="0">
      <alignment horizontal="center" vertical="bottom"/>
    </xf>
    <xf applyAlignment="1" applyProtection="1" borderId="0" fillId="0" fontId="8" numFmtId="0" pivotButton="0" quotePrefix="0" xfId="0">
      <alignment horizontal="general" shrinkToFit="1" vertical="bottom"/>
      <protection hidden="0" locked="0"/>
    </xf>
    <xf applyAlignment="1" applyProtection="1" borderId="0" fillId="0" fontId="8" numFmtId="0" pivotButton="0" quotePrefix="0" xfId="0">
      <alignment horizontal="general" vertical="bottom"/>
      <protection hidden="0" locked="0"/>
    </xf>
    <xf applyAlignment="1" applyProtection="1" borderId="0" fillId="4" fontId="8" numFmtId="0" pivotButton="0" quotePrefix="0" xfId="0">
      <alignment horizontal="general" vertical="bottom"/>
      <protection hidden="0" locked="0"/>
    </xf>
    <xf applyAlignment="1" borderId="0" fillId="0" fontId="8" numFmtId="0" pivotButton="0" quotePrefix="0" xfId="0">
      <alignment horizontal="general" vertical="bottom"/>
    </xf>
    <xf applyAlignment="1" borderId="0" fillId="4" fontId="8" numFmtId="0" pivotButton="0" quotePrefix="0" xfId="0">
      <alignment horizontal="center" vertical="bottom"/>
    </xf>
    <xf applyAlignment="1" borderId="0" fillId="4" fontId="8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applyAlignment="1" borderId="0" fillId="0" fontId="9" numFmtId="0" pivotButton="0" quotePrefix="0" xfId="0">
      <alignment horizontal="general" vertical="bottom"/>
    </xf>
    <xf applyAlignment="1" borderId="1" fillId="0" fontId="10" numFmtId="0" pivotButton="0" quotePrefix="0" xfId="0">
      <alignment horizontal="left" vertical="bottom"/>
    </xf>
    <xf applyAlignment="1" applyProtection="1" borderId="2" fillId="0" fontId="8" numFmtId="0" pivotButton="0" quotePrefix="0" xfId="0">
      <alignment horizontal="left" shrinkToFit="1" vertical="bottom"/>
      <protection hidden="0" locked="0"/>
    </xf>
    <xf applyAlignment="1" borderId="3" fillId="2" fontId="11" numFmtId="0" pivotButton="0" quotePrefix="0" xfId="0">
      <alignment horizontal="center" shrinkToFit="1" vertical="bottom"/>
    </xf>
    <xf applyAlignment="1" borderId="1" fillId="0" fontId="11" numFmtId="0" pivotButton="0" quotePrefix="0" xfId="0">
      <alignment horizontal="right" shrinkToFit="1" vertical="bottom"/>
    </xf>
    <xf applyAlignment="1" applyProtection="1" borderId="1" fillId="0" fontId="11" numFmtId="0" pivotButton="0" quotePrefix="0" xfId="0">
      <alignment horizontal="left" shrinkToFit="1" vertical="bottom"/>
      <protection hidden="0" locked="0"/>
    </xf>
    <xf applyAlignment="1" borderId="1" fillId="0" fontId="11" numFmtId="0" pivotButton="0" quotePrefix="0" xfId="0">
      <alignment horizontal="right" vertical="center" wrapText="1"/>
    </xf>
    <xf applyAlignment="1" borderId="1" fillId="0" fontId="11" numFmtId="0" pivotButton="0" quotePrefix="0" xfId="0">
      <alignment horizontal="center" vertical="center" wrapText="1"/>
    </xf>
    <xf applyAlignment="1" borderId="1" fillId="0" fontId="10" numFmtId="0" pivotButton="0" quotePrefix="0" xfId="0">
      <alignment horizontal="center" vertical="center" wrapText="1"/>
    </xf>
    <xf applyAlignment="1" borderId="1" fillId="0" fontId="11" numFmtId="0" pivotButton="0" quotePrefix="0" xfId="0">
      <alignment horizontal="center" vertical="bottom"/>
    </xf>
    <xf applyAlignment="1" borderId="1" fillId="0" fontId="11" numFmtId="0" pivotButton="0" quotePrefix="0" xfId="0">
      <alignment horizontal="general" vertical="bottom"/>
    </xf>
    <xf applyAlignment="1" borderId="1" fillId="0" fontId="12" numFmtId="0" pivotButton="0" quotePrefix="0" xfId="0">
      <alignment horizontal="center" vertical="bottom"/>
    </xf>
    <xf applyAlignment="1" borderId="1" fillId="0" fontId="8" numFmtId="0" pivotButton="0" quotePrefix="0" xfId="0">
      <alignment horizontal="general" vertical="bottom"/>
    </xf>
    <xf applyAlignment="1" borderId="1" fillId="0" fontId="8" numFmtId="0" pivotButton="0" quotePrefix="0" xfId="0">
      <alignment horizontal="center" vertical="bottom"/>
    </xf>
    <xf applyAlignment="1" borderId="1" fillId="0" fontId="13" numFmtId="0" pivotButton="0" quotePrefix="0" xfId="0">
      <alignment horizontal="center" vertical="bottom"/>
    </xf>
    <xf applyAlignment="1" applyProtection="1" borderId="1" fillId="4" fontId="8" numFmtId="0" pivotButton="0" quotePrefix="0" xfId="0">
      <alignment horizontal="center" vertical="bottom"/>
      <protection hidden="0" locked="0"/>
    </xf>
    <xf applyAlignment="1" borderId="1" fillId="0" fontId="11" numFmtId="4" pivotButton="0" quotePrefix="0" xfId="0">
      <alignment horizontal="general" shrinkToFit="1" vertical="bottom"/>
    </xf>
    <xf applyAlignment="1" borderId="1" fillId="0" fontId="8" numFmtId="0" pivotButton="0" quotePrefix="0" xfId="0">
      <alignment horizontal="right" vertical="bottom"/>
    </xf>
    <xf applyAlignment="1" borderId="1" fillId="0" fontId="8" numFmtId="2" pivotButton="0" quotePrefix="0" xfId="0">
      <alignment horizontal="center" shrinkToFit="1" vertical="bottom"/>
    </xf>
    <xf applyAlignment="1" borderId="0" fillId="0" fontId="11" numFmtId="0" pivotButton="0" quotePrefix="0" xfId="0">
      <alignment horizontal="center" vertical="bottom"/>
    </xf>
    <xf applyAlignment="1" borderId="0" fillId="0" fontId="11" numFmtId="0" pivotButton="0" quotePrefix="0" xfId="0">
      <alignment horizontal="general" vertical="bottom"/>
    </xf>
    <xf applyAlignment="1" borderId="0" fillId="0" fontId="14" numFmtId="0" pivotButton="0" quotePrefix="0" xfId="0">
      <alignment horizontal="general" vertical="bottom"/>
    </xf>
    <xf applyAlignment="1" applyProtection="1" borderId="1" fillId="0" fontId="8" numFmtId="0" pivotButton="0" quotePrefix="0" xfId="0">
      <alignment horizontal="left" shrinkToFit="1" vertical="bottom"/>
      <protection hidden="0" locked="0"/>
    </xf>
    <xf applyAlignment="1" borderId="3" fillId="2" fontId="14" numFmtId="0" pivotButton="0" quotePrefix="0" xfId="0">
      <alignment horizontal="center" shrinkToFit="1" vertical="bottom"/>
    </xf>
    <xf applyAlignment="1" applyProtection="1" borderId="1" fillId="0" fontId="10" numFmtId="164" pivotButton="0" quotePrefix="0" xfId="0">
      <alignment horizontal="left" vertical="center"/>
      <protection hidden="0" locked="0"/>
    </xf>
    <xf applyAlignment="1" borderId="1" fillId="0" fontId="11" numFmtId="0" pivotButton="0" quotePrefix="0" xfId="0">
      <alignment horizontal="right" vertical="bottom"/>
    </xf>
    <xf applyAlignment="1" borderId="0" fillId="0" fontId="8" numFmtId="4" pivotButton="0" quotePrefix="0" xfId="0">
      <alignment horizontal="general" vertical="bottom"/>
    </xf>
    <xf applyAlignment="1" borderId="1" fillId="0" fontId="8" numFmtId="165" pivotButton="0" quotePrefix="0" xfId="0">
      <alignment horizontal="center" vertical="bottom"/>
    </xf>
    <xf applyAlignment="1" borderId="1" fillId="0" fontId="8" numFmtId="166" pivotButton="0" quotePrefix="0" xfId="0">
      <alignment horizontal="left" vertical="bottom"/>
    </xf>
    <xf applyAlignment="1" borderId="1" fillId="0" fontId="8" numFmtId="4" pivotButton="0" quotePrefix="0" xfId="0">
      <alignment horizontal="center" vertical="bottom"/>
    </xf>
    <xf applyAlignment="1" applyProtection="1" borderId="1" fillId="4" fontId="8" numFmtId="4" pivotButton="0" quotePrefix="0" xfId="0">
      <alignment horizontal="center" vertical="bottom"/>
      <protection hidden="0" locked="0"/>
    </xf>
    <xf applyAlignment="1" applyProtection="1" borderId="0" fillId="0" fontId="15" numFmtId="0" pivotButton="0" quotePrefix="0" xfId="20">
      <alignment horizontal="center" vertical="bottom"/>
      <protection hidden="0" locked="0"/>
    </xf>
    <xf applyAlignment="1" applyProtection="1" borderId="1" fillId="0" fontId="8" numFmtId="167" pivotButton="0" quotePrefix="0" xfId="0">
      <alignment horizontal="left" shrinkToFit="1" vertical="bottom"/>
      <protection hidden="0" locked="0"/>
    </xf>
    <xf applyAlignment="1" applyProtection="1" borderId="3" fillId="0" fontId="11" numFmtId="0" pivotButton="0" quotePrefix="0" xfId="0">
      <alignment horizontal="center" vertical="bottom"/>
      <protection hidden="0" locked="0"/>
    </xf>
    <xf applyAlignment="1" applyProtection="1" borderId="1" fillId="0" fontId="11" numFmtId="168" pivotButton="0" quotePrefix="0" xfId="0">
      <alignment horizontal="left" shrinkToFit="1" vertical="bottom"/>
      <protection hidden="0" locked="0"/>
    </xf>
    <xf applyAlignment="1" borderId="1" fillId="0" fontId="16" numFmtId="0" pivotButton="0" quotePrefix="0" xfId="0">
      <alignment horizontal="center" vertical="bottom"/>
    </xf>
    <xf applyAlignment="1" borderId="1" fillId="0" fontId="8" numFmtId="4" pivotButton="0" quotePrefix="0" xfId="0">
      <alignment horizontal="general" vertical="bottom"/>
    </xf>
    <xf applyAlignment="1" borderId="1" fillId="0" fontId="8" numFmtId="169" pivotButton="0" quotePrefix="0" xfId="0">
      <alignment horizontal="center" vertical="bottom"/>
    </xf>
    <xf applyAlignment="1" applyProtection="1" borderId="1" fillId="4" fontId="6" numFmtId="170" pivotButton="0" quotePrefix="0" xfId="0">
      <alignment horizontal="center" vertical="bottom"/>
      <protection hidden="0" locked="0"/>
    </xf>
    <xf applyAlignment="1" borderId="1" fillId="5" fontId="11" numFmtId="4" pivotButton="0" quotePrefix="0" xfId="0">
      <alignment horizontal="general" shrinkToFit="1" vertical="bottom"/>
    </xf>
    <xf applyAlignment="1" borderId="1" fillId="5" fontId="11" numFmtId="0" pivotButton="0" quotePrefix="0" xfId="0">
      <alignment horizontal="general" vertical="bottom"/>
    </xf>
    <xf applyAlignment="1" borderId="1" fillId="5" fontId="8" numFmtId="0" pivotButton="0" quotePrefix="0" xfId="0">
      <alignment horizontal="general" vertical="bottom"/>
    </xf>
    <xf applyAlignment="1" borderId="1" fillId="5" fontId="8" numFmtId="0" pivotButton="0" quotePrefix="0" xfId="0">
      <alignment horizontal="center" vertical="bottom"/>
    </xf>
    <xf applyAlignment="1" borderId="1" fillId="5" fontId="8" numFmtId="2" pivotButton="0" quotePrefix="0" xfId="0">
      <alignment horizontal="center" shrinkToFit="1" vertical="bottom"/>
    </xf>
    <xf applyAlignment="1" applyProtection="1" borderId="3" fillId="4" fontId="11" numFmtId="0" pivotButton="0" quotePrefix="0" xfId="0">
      <alignment horizontal="center" shrinkToFit="1" vertical="bottom"/>
      <protection hidden="0" locked="0"/>
    </xf>
    <xf applyAlignment="1" applyProtection="1" borderId="1" fillId="0" fontId="10" numFmtId="171" pivotButton="0" quotePrefix="0" xfId="0">
      <alignment horizontal="left" vertical="center"/>
      <protection hidden="0" locked="0"/>
    </xf>
    <xf applyAlignment="1" borderId="0" fillId="0" fontId="6" numFmtId="0" pivotButton="0" quotePrefix="0" xfId="0">
      <alignment horizontal="center" vertical="bottom"/>
    </xf>
    <xf applyAlignment="1" borderId="1" fillId="6" fontId="11" numFmtId="0" pivotButton="0" quotePrefix="0" xfId="0">
      <alignment horizontal="center" vertical="center"/>
    </xf>
    <xf applyAlignment="1" borderId="1" fillId="5" fontId="8" numFmtId="4" pivotButton="0" quotePrefix="0" xfId="0">
      <alignment horizontal="center" vertical="bottom"/>
    </xf>
    <xf applyAlignment="1" borderId="1" fillId="5" fontId="14" numFmtId="4" pivotButton="0" quotePrefix="0" xfId="0">
      <alignment horizontal="center" shrinkToFit="1" vertical="bottom"/>
    </xf>
    <xf applyAlignment="1" borderId="1" fillId="0" fontId="11" numFmtId="0" pivotButton="0" quotePrefix="0" xfId="0">
      <alignment horizontal="right" shrinkToFit="1" vertical="center"/>
    </xf>
    <xf applyAlignment="1" borderId="1" fillId="6" fontId="11" numFmtId="172" pivotButton="0" quotePrefix="0" xfId="0">
      <alignment horizontal="center" vertical="bottom"/>
    </xf>
    <xf applyAlignment="1" borderId="1" fillId="0" fontId="11" numFmtId="172" pivotButton="0" quotePrefix="0" xfId="0">
      <alignment horizontal="general" shrinkToFit="1" vertical="bottom"/>
    </xf>
    <xf applyAlignment="1" borderId="1" fillId="0" fontId="11" numFmtId="4" pivotButton="0" quotePrefix="0" xfId="0">
      <alignment horizontal="center" shrinkToFit="1" vertical="bottom"/>
    </xf>
    <xf applyAlignment="1" applyProtection="1" borderId="1" fillId="4" fontId="11" numFmtId="0" pivotButton="0" quotePrefix="0" xfId="0">
      <alignment horizontal="center" shrinkToFit="1" vertical="bottom"/>
      <protection hidden="0" locked="0"/>
    </xf>
    <xf applyAlignment="1" borderId="1" fillId="0" fontId="8" numFmtId="168" pivotButton="0" quotePrefix="0" xfId="0">
      <alignment horizontal="center" vertical="bottom"/>
    </xf>
    <xf applyAlignment="1" borderId="1" fillId="0" fontId="15" numFmtId="168" pivotButton="0" quotePrefix="0" xfId="20">
      <alignment horizontal="center" shrinkToFit="1" vertical="center"/>
    </xf>
    <xf applyAlignment="1" borderId="1" fillId="0" fontId="11" numFmtId="172" pivotButton="0" quotePrefix="0" xfId="0">
      <alignment horizontal="center" vertical="bottom"/>
    </xf>
    <xf applyAlignment="1" borderId="1" fillId="5" fontId="11" numFmtId="172" pivotButton="0" quotePrefix="0" xfId="0">
      <alignment horizontal="general" shrinkToFit="1" vertical="bottom"/>
    </xf>
    <xf applyAlignment="1" borderId="1" fillId="5" fontId="11" numFmtId="0" pivotButton="0" quotePrefix="0" xfId="0">
      <alignment horizontal="general" vertical="center"/>
    </xf>
    <xf applyAlignment="1" borderId="1" fillId="5" fontId="11" numFmtId="4" pivotButton="0" quotePrefix="0" xfId="0">
      <alignment horizontal="center" shrinkToFit="1" vertical="bottom"/>
    </xf>
    <xf applyAlignment="1" borderId="0" fillId="0" fontId="8" numFmtId="173" pivotButton="0" quotePrefix="0" xfId="0">
      <alignment horizontal="general" vertical="bottom"/>
    </xf>
    <xf applyAlignment="1" applyProtection="1" borderId="1" fillId="0" fontId="15" numFmtId="0" pivotButton="0" quotePrefix="0" xfId="20">
      <alignment horizontal="left" shrinkToFit="1" vertical="bottom"/>
      <protection hidden="0" locked="0"/>
    </xf>
    <xf applyAlignment="1" borderId="1" fillId="4" fontId="11" numFmtId="174" pivotButton="0" quotePrefix="0" xfId="0">
      <alignment horizontal="center" shrinkToFit="1" vertical="bottom"/>
    </xf>
    <xf applyAlignment="1" borderId="1" fillId="0" fontId="11" numFmtId="49" pivotButton="0" quotePrefix="0" xfId="0">
      <alignment horizontal="center" vertical="center" wrapText="1"/>
    </xf>
    <xf applyAlignment="1" borderId="3" fillId="0" fontId="11" numFmtId="49" pivotButton="0" quotePrefix="0" xfId="0">
      <alignment horizontal="center" vertical="center" wrapText="1"/>
    </xf>
    <xf applyAlignment="1" borderId="1" fillId="0" fontId="11" numFmtId="0" pivotButton="0" quotePrefix="0" xfId="0">
      <alignment horizontal="center" vertical="center"/>
    </xf>
    <xf applyAlignment="1" borderId="1" fillId="0" fontId="10" numFmtId="0" pivotButton="0" quotePrefix="0" xfId="0">
      <alignment horizontal="center" vertical="center"/>
    </xf>
    <xf applyAlignment="1" borderId="1" fillId="0" fontId="11" numFmtId="49" pivotButton="0" quotePrefix="0" xfId="0">
      <alignment horizontal="center" vertical="center"/>
    </xf>
    <xf applyAlignment="1" borderId="2" fillId="5" fontId="8" numFmtId="0" pivotButton="0" quotePrefix="0" xfId="0">
      <alignment horizontal="general" vertical="bottom"/>
    </xf>
    <xf applyAlignment="1" borderId="2" fillId="5" fontId="11" numFmtId="0" pivotButton="0" quotePrefix="0" xfId="0">
      <alignment horizontal="general" vertical="center"/>
    </xf>
    <xf applyAlignment="1" borderId="3" fillId="6" fontId="10" numFmtId="49" pivotButton="0" quotePrefix="0" xfId="0">
      <alignment horizontal="center" vertical="center"/>
    </xf>
    <xf applyAlignment="1" borderId="4" fillId="6" fontId="11" numFmtId="49" pivotButton="0" quotePrefix="0" xfId="0">
      <alignment horizontal="center" vertical="center"/>
    </xf>
    <xf applyAlignment="1" borderId="1" fillId="0" fontId="11" numFmtId="0" pivotButton="0" quotePrefix="0" xfId="0">
      <alignment horizontal="center" shrinkToFit="1" vertical="bottom"/>
    </xf>
    <xf applyAlignment="1" borderId="2" fillId="0" fontId="11" numFmtId="0" pivotButton="0" quotePrefix="0" xfId="0">
      <alignment horizontal="center" vertical="center"/>
    </xf>
    <xf applyAlignment="1" borderId="1" fillId="0" fontId="10" numFmtId="168" pivotButton="0" quotePrefix="0" xfId="0">
      <alignment horizontal="center" vertical="center"/>
    </xf>
    <xf applyAlignment="1" borderId="5" fillId="0" fontId="11" numFmtId="49" pivotButton="0" quotePrefix="0" xfId="0">
      <alignment horizontal="center" vertical="center"/>
    </xf>
    <xf borderId="0" fillId="0" fontId="0" numFmtId="0" pivotButton="0" quotePrefix="0" xfId="0"/>
    <xf applyAlignment="1" applyProtection="1" borderId="1" fillId="0" fontId="8" numFmtId="0" pivotButton="0" quotePrefix="0" xfId="0">
      <alignment horizontal="general" shrinkToFit="1" vertical="top"/>
      <protection hidden="0" locked="0"/>
    </xf>
    <xf applyAlignment="1" applyProtection="1" borderId="1" fillId="0" fontId="8" numFmtId="49" pivotButton="0" quotePrefix="0" xfId="0">
      <alignment horizontal="right" vertical="top" wrapText="1"/>
      <protection hidden="0" locked="0"/>
    </xf>
    <xf applyAlignment="1" applyProtection="1" borderId="1" fillId="0" fontId="8" numFmtId="169" pivotButton="0" quotePrefix="0" xfId="0">
      <alignment horizontal="center" vertical="center" wrapText="1"/>
      <protection hidden="0" locked="0"/>
    </xf>
    <xf applyAlignment="1" applyProtection="1" borderId="1" fillId="0" fontId="8" numFmtId="49" pivotButton="0" quotePrefix="0" xfId="0">
      <alignment horizontal="center" vertical="center" wrapText="1"/>
      <protection hidden="0" locked="0"/>
    </xf>
    <xf applyAlignment="1" applyProtection="1" borderId="1" fillId="4" fontId="8" numFmtId="4" pivotButton="0" quotePrefix="0" xfId="0">
      <alignment horizontal="right" shrinkToFit="1" vertical="bottom"/>
      <protection hidden="0" locked="0"/>
    </xf>
    <xf applyAlignment="1" borderId="1" fillId="0" fontId="8" numFmtId="1" pivotButton="0" quotePrefix="0" xfId="0">
      <alignment horizontal="center" vertical="bottom"/>
    </xf>
    <xf applyAlignment="1" borderId="1" fillId="0" fontId="8" numFmtId="2" pivotButton="0" quotePrefix="0" xfId="0">
      <alignment horizontal="right" vertical="bottom"/>
    </xf>
    <xf applyAlignment="1" borderId="3" fillId="0" fontId="8" numFmtId="2" pivotButton="0" quotePrefix="0" xfId="0">
      <alignment horizontal="right" vertical="bottom"/>
    </xf>
    <xf applyAlignment="1" borderId="4" fillId="0" fontId="8" numFmtId="0" pivotButton="0" quotePrefix="0" xfId="0">
      <alignment horizontal="general" vertical="bottom"/>
    </xf>
    <xf applyAlignment="1" applyProtection="1" borderId="1" fillId="4" fontId="8" numFmtId="175" pivotButton="0" quotePrefix="0" xfId="0">
      <alignment horizontal="center" vertical="bottom"/>
      <protection hidden="0" locked="0"/>
    </xf>
    <xf applyAlignment="1" applyProtection="1" borderId="1" fillId="4" fontId="8" numFmtId="170" pivotButton="0" quotePrefix="0" xfId="0">
      <alignment horizontal="center" vertical="bottom"/>
      <protection hidden="0" locked="0"/>
    </xf>
    <xf applyAlignment="1" borderId="0" fillId="0" fontId="19" numFmtId="0" pivotButton="0" quotePrefix="0" xfId="0">
      <alignment horizontal="left" vertical="bottom"/>
    </xf>
    <xf applyAlignment="1" borderId="0" fillId="0" fontId="19" numFmtId="165" pivotButton="0" quotePrefix="0" xfId="0">
      <alignment horizontal="left" vertical="bottom"/>
    </xf>
    <xf applyAlignment="1" borderId="0" fillId="0" fontId="19" numFmtId="176" pivotButton="0" quotePrefix="0" xfId="0">
      <alignment horizontal="left" vertical="bottom"/>
    </xf>
    <xf applyAlignment="1" borderId="0" fillId="0" fontId="19" numFmtId="167" pivotButton="0" quotePrefix="0" xfId="0">
      <alignment horizontal="left" vertical="bottom"/>
    </xf>
    <xf applyAlignment="1" borderId="0" fillId="0" fontId="19" numFmtId="0" pivotButton="0" quotePrefix="0" xfId="0">
      <alignment horizontal="right" vertical="bottom"/>
    </xf>
    <xf applyAlignment="1" borderId="0" fillId="0" fontId="19" numFmtId="177" pivotButton="0" quotePrefix="0" xfId="0">
      <alignment horizontal="left" vertical="bottom"/>
    </xf>
    <xf applyAlignment="1" borderId="0" fillId="0" fontId="19" numFmtId="166" pivotButton="0" quotePrefix="0" xfId="0">
      <alignment horizontal="left" vertical="bottom"/>
    </xf>
    <xf applyAlignment="1" borderId="0" fillId="0" fontId="19" numFmtId="178" pivotButton="0" quotePrefix="0" xfId="0">
      <alignment horizontal="left" vertical="bottom"/>
    </xf>
    <xf applyAlignment="1" borderId="6" fillId="0" fontId="20" numFmtId="0" pivotButton="0" quotePrefix="0" xfId="0">
      <alignment horizontal="center" vertical="center"/>
    </xf>
    <xf applyAlignment="1" borderId="7" fillId="0" fontId="11" numFmtId="0" pivotButton="0" quotePrefix="0" xfId="0">
      <alignment horizontal="left" indent="15" vertical="center"/>
    </xf>
    <xf applyAlignment="1" borderId="8" fillId="0" fontId="11" numFmtId="0" pivotButton="0" quotePrefix="0" xfId="0">
      <alignment horizontal="center" vertical="center"/>
    </xf>
    <xf applyAlignment="1" borderId="9" fillId="0" fontId="11" numFmtId="0" pivotButton="0" quotePrefix="0" xfId="0">
      <alignment horizontal="right" vertical="center"/>
    </xf>
    <xf applyAlignment="1" borderId="10" fillId="0" fontId="21" numFmtId="167" pivotButton="0" quotePrefix="0" xfId="0">
      <alignment horizontal="left" vertical="center"/>
    </xf>
    <xf applyAlignment="1" borderId="11" fillId="0" fontId="0" numFmtId="0" pivotButton="0" quotePrefix="0" xfId="0">
      <alignment horizontal="center" vertical="bottom"/>
    </xf>
    <xf applyAlignment="1" borderId="12" fillId="0" fontId="11" numFmtId="0" pivotButton="0" quotePrefix="0" xfId="0">
      <alignment horizontal="right" vertical="center"/>
    </xf>
    <xf applyAlignment="1" borderId="13" fillId="0" fontId="21" numFmtId="0" pivotButton="0" quotePrefix="0" xfId="0">
      <alignment horizontal="left" vertical="center"/>
    </xf>
    <xf applyAlignment="1" borderId="9" fillId="0" fontId="6" numFmtId="0" pivotButton="0" quotePrefix="0" xfId="0">
      <alignment horizontal="right" vertical="center"/>
    </xf>
    <xf applyAlignment="1" borderId="10" fillId="0" fontId="21" numFmtId="0" pivotButton="0" quotePrefix="0" xfId="0">
      <alignment horizontal="left" vertical="center"/>
    </xf>
    <xf applyAlignment="1" borderId="9" fillId="0" fontId="0" numFmtId="0" pivotButton="0" quotePrefix="0" xfId="0">
      <alignment horizontal="general" vertical="bottom"/>
    </xf>
    <xf applyAlignment="1" borderId="14" fillId="0" fontId="0" numFmtId="0" pivotButton="0" quotePrefix="0" xfId="0">
      <alignment horizontal="center" vertical="bottom"/>
    </xf>
    <xf applyAlignment="1" borderId="14" fillId="0" fontId="10" numFmtId="0" pivotButton="0" quotePrefix="0" xfId="0">
      <alignment horizontal="center" vertical="center"/>
    </xf>
    <xf applyAlignment="1" borderId="10" fillId="0" fontId="0" numFmtId="0" pivotButton="0" quotePrefix="0" xfId="0">
      <alignment horizontal="general" vertical="bottom"/>
    </xf>
    <xf applyAlignment="1" borderId="9" fillId="0" fontId="0" numFmtId="0" pivotButton="0" quotePrefix="0" xfId="0">
      <alignment horizontal="center" vertical="bottom"/>
    </xf>
    <xf applyAlignment="1" borderId="10" fillId="0" fontId="10" numFmtId="0" pivotButton="0" quotePrefix="0" xfId="0">
      <alignment horizontal="left" vertical="center"/>
    </xf>
    <xf applyAlignment="1" borderId="10" fillId="0" fontId="10" numFmtId="0" pivotButton="0" quotePrefix="0" xfId="0">
      <alignment horizontal="center" vertical="bottom" wrapText="1"/>
    </xf>
    <xf applyAlignment="1" borderId="15" fillId="0" fontId="0" numFmtId="0" pivotButton="0" quotePrefix="0" xfId="0">
      <alignment horizontal="general" vertical="bottom"/>
    </xf>
    <xf applyAlignment="1" borderId="16" fillId="0" fontId="0" numFmtId="0" pivotButton="0" quotePrefix="0" xfId="0">
      <alignment horizontal="general" vertical="bottom"/>
    </xf>
    <xf applyAlignment="1" borderId="15" fillId="0" fontId="6" numFmtId="0" pivotButton="0" quotePrefix="0" xfId="0">
      <alignment horizontal="right" vertical="center"/>
    </xf>
    <xf applyAlignment="1" borderId="16" fillId="0" fontId="21" numFmtId="0" pivotButton="0" quotePrefix="0" xfId="0">
      <alignment horizontal="general" vertical="center"/>
    </xf>
    <xf applyAlignment="1" borderId="17" fillId="0" fontId="0" numFmtId="0" pivotButton="0" quotePrefix="0" xfId="0">
      <alignment horizontal="center" vertical="bottom"/>
    </xf>
    <xf applyAlignment="1" borderId="12" fillId="0" fontId="0" numFmtId="0" pivotButton="0" quotePrefix="0" xfId="0">
      <alignment horizontal="center" vertical="bottom"/>
    </xf>
    <xf applyAlignment="1" borderId="18" fillId="0" fontId="22" numFmtId="0" pivotButton="0" quotePrefix="0" xfId="0">
      <alignment horizontal="center" vertical="center"/>
    </xf>
    <xf applyAlignment="1" borderId="12" fillId="0" fontId="6" numFmtId="0" pivotButton="0" quotePrefix="0" xfId="0">
      <alignment horizontal="right" vertical="center"/>
    </xf>
    <xf applyAlignment="1" borderId="17" fillId="0" fontId="21" numFmtId="0" pivotButton="0" quotePrefix="0" xfId="0">
      <alignment horizontal="left" vertical="bottom"/>
    </xf>
    <xf applyAlignment="1" borderId="17" fillId="0" fontId="6" numFmtId="0" pivotButton="0" quotePrefix="0" xfId="0">
      <alignment horizontal="right" vertical="center"/>
    </xf>
    <xf applyAlignment="1" borderId="13" fillId="0" fontId="21" numFmtId="0" pivotButton="0" quotePrefix="0" xfId="0">
      <alignment horizontal="general" shrinkToFit="1" vertical="center"/>
    </xf>
    <xf applyAlignment="1" borderId="12" fillId="0" fontId="0" numFmtId="0" pivotButton="0" quotePrefix="0" xfId="0">
      <alignment horizontal="general" vertical="bottom"/>
    </xf>
    <xf applyAlignment="1" borderId="13" fillId="0" fontId="0" numFmtId="0" pivotButton="0" quotePrefix="0" xfId="0">
      <alignment horizontal="general" vertical="bottom"/>
    </xf>
    <xf applyAlignment="1" borderId="9" fillId="0" fontId="11" numFmtId="0" pivotButton="0" quotePrefix="0" xfId="0">
      <alignment horizontal="general" vertical="center" wrapText="1"/>
    </xf>
    <xf applyAlignment="1" borderId="19" fillId="0" fontId="23" numFmtId="0" pivotButton="0" quotePrefix="0" xfId="0">
      <alignment horizontal="center" vertical="center" wrapText="1"/>
    </xf>
    <xf applyAlignment="1" borderId="20" fillId="0" fontId="11" numFmtId="0" pivotButton="0" quotePrefix="0" xfId="0">
      <alignment horizontal="center" vertical="center"/>
    </xf>
    <xf applyAlignment="1" borderId="21" fillId="0" fontId="0" numFmtId="0" pivotButton="0" quotePrefix="0" xfId="0">
      <alignment horizontal="general" vertical="bottom"/>
    </xf>
    <xf applyAlignment="1" borderId="22" fillId="0" fontId="0" numFmtId="0" pivotButton="0" quotePrefix="0" xfId="0">
      <alignment horizontal="general" vertical="bottom"/>
    </xf>
    <xf applyAlignment="1" borderId="23" fillId="0" fontId="24" numFmtId="0" pivotButton="0" quotePrefix="0" xfId="0">
      <alignment horizontal="center" vertical="center" wrapText="1"/>
    </xf>
    <xf applyAlignment="1" borderId="24" fillId="0" fontId="0" numFmtId="0" pivotButton="0" quotePrefix="0" xfId="0">
      <alignment horizontal="general" vertical="bottom"/>
    </xf>
    <xf applyAlignment="1" borderId="23" fillId="0" fontId="10" numFmtId="0" pivotButton="0" quotePrefix="0" xfId="0">
      <alignment horizontal="center" vertical="center" wrapText="1"/>
    </xf>
    <xf applyAlignment="1" borderId="25" fillId="0" fontId="0" numFmtId="0" pivotButton="0" quotePrefix="0" xfId="0">
      <alignment horizontal="general" vertical="bottom"/>
    </xf>
    <xf applyAlignment="1" borderId="26" fillId="0" fontId="13" numFmtId="0" pivotButton="0" quotePrefix="0" xfId="0">
      <alignment horizontal="center" vertical="center"/>
    </xf>
    <xf applyAlignment="1" borderId="12" fillId="0" fontId="11" numFmtId="0" pivotButton="0" quotePrefix="0" xfId="0">
      <alignment horizontal="general" vertical="center" wrapText="1"/>
    </xf>
    <xf applyAlignment="1" borderId="27" fillId="0" fontId="11" numFmtId="0" pivotButton="0" quotePrefix="0" xfId="0">
      <alignment horizontal="center" vertical="center"/>
    </xf>
    <xf applyAlignment="1" borderId="28" fillId="0" fontId="13" numFmtId="0" pivotButton="0" quotePrefix="0" xfId="0">
      <alignment horizontal="center" vertical="center" wrapText="1"/>
    </xf>
    <xf applyAlignment="1" borderId="29" fillId="0" fontId="11" numFmtId="0" pivotButton="0" quotePrefix="0" xfId="0">
      <alignment horizontal="center" vertical="center"/>
    </xf>
    <xf applyAlignment="1" borderId="30" fillId="0" fontId="11" numFmtId="0" pivotButton="0" quotePrefix="0" xfId="0">
      <alignment horizontal="center" vertical="center"/>
    </xf>
    <xf applyAlignment="1" borderId="31" fillId="0" fontId="13" numFmtId="0" pivotButton="0" quotePrefix="0" xfId="0">
      <alignment horizontal="general" vertical="center" wrapText="1"/>
    </xf>
    <xf applyAlignment="1" borderId="27" fillId="0" fontId="13" numFmtId="0" pivotButton="0" quotePrefix="0" xfId="0">
      <alignment horizontal="center" vertical="center" wrapText="1"/>
    </xf>
    <xf applyAlignment="1" borderId="30" fillId="0" fontId="10" numFmtId="0" pivotButton="0" quotePrefix="0" xfId="0">
      <alignment horizontal="center" vertical="center" wrapText="1"/>
    </xf>
    <xf applyAlignment="1" borderId="31" fillId="0" fontId="0" numFmtId="0" pivotButton="0" quotePrefix="0" xfId="0">
      <alignment horizontal="general" vertical="bottom"/>
    </xf>
    <xf applyAlignment="1" borderId="18" fillId="0" fontId="16" numFmtId="0" pivotButton="0" quotePrefix="0" xfId="0">
      <alignment horizontal="center" vertical="center" wrapText="1"/>
    </xf>
    <xf applyAlignment="1" borderId="32" fillId="0" fontId="26" numFmtId="0" pivotButton="0" quotePrefix="0" xfId="0">
      <alignment horizontal="center" vertical="center" wrapText="1"/>
    </xf>
    <xf applyAlignment="1" borderId="33" fillId="0" fontId="26" numFmtId="0" pivotButton="0" quotePrefix="0" xfId="0">
      <alignment horizontal="left" vertical="bottom"/>
    </xf>
    <xf applyAlignment="1" borderId="5" fillId="0" fontId="0" numFmtId="0" pivotButton="0" quotePrefix="0" xfId="0">
      <alignment horizontal="general" vertical="bottom"/>
    </xf>
    <xf applyAlignment="1" borderId="34" fillId="0" fontId="0" numFmtId="169" pivotButton="0" quotePrefix="0" xfId="0">
      <alignment horizontal="center" vertical="bottom"/>
    </xf>
    <xf applyAlignment="1" borderId="5" fillId="0" fontId="0" numFmtId="49" pivotButton="0" quotePrefix="0" xfId="0">
      <alignment horizontal="center" vertical="bottom"/>
    </xf>
    <xf applyAlignment="1" borderId="5" fillId="0" fontId="0" numFmtId="1" pivotButton="0" quotePrefix="0" xfId="0">
      <alignment horizontal="center" vertical="bottom"/>
    </xf>
    <xf applyAlignment="1" borderId="35" fillId="0" fontId="0" numFmtId="0" pivotButton="0" quotePrefix="0" xfId="0">
      <alignment horizontal="general" vertical="bottom"/>
    </xf>
    <xf applyAlignment="1" borderId="34" fillId="0" fontId="8" numFmtId="4" pivotButton="0" quotePrefix="0" xfId="0">
      <alignment horizontal="center" vertical="bottom"/>
    </xf>
    <xf applyAlignment="1" borderId="5" fillId="0" fontId="0" numFmtId="4" pivotButton="0" quotePrefix="0" xfId="0">
      <alignment horizontal="center" vertical="bottom"/>
    </xf>
    <xf applyAlignment="1" borderId="5" fillId="0" fontId="0" numFmtId="0" pivotButton="0" quotePrefix="0" xfId="0">
      <alignment horizontal="center" vertical="center"/>
    </xf>
    <xf applyAlignment="1" borderId="34" fillId="0" fontId="0" numFmtId="169" pivotButton="0" quotePrefix="0" xfId="0">
      <alignment horizontal="center" vertical="center"/>
    </xf>
    <xf applyAlignment="1" borderId="1" fillId="0" fontId="26" numFmtId="0" pivotButton="0" quotePrefix="0" xfId="0">
      <alignment horizontal="left" vertical="bottom"/>
    </xf>
    <xf applyAlignment="1" borderId="1" fillId="0" fontId="0" numFmtId="0" pivotButton="0" quotePrefix="0" xfId="0">
      <alignment horizontal="general" vertical="bottom"/>
    </xf>
    <xf applyAlignment="1" borderId="1" fillId="0" fontId="0" numFmtId="169" pivotButton="0" quotePrefix="0" xfId="0">
      <alignment horizontal="center" vertical="bottom"/>
    </xf>
    <xf applyAlignment="1" borderId="1" fillId="0" fontId="0" numFmtId="49" pivotButton="0" quotePrefix="0" xfId="0">
      <alignment horizontal="center" vertical="bottom"/>
    </xf>
    <xf applyAlignment="1" borderId="1" fillId="0" fontId="0" numFmtId="1" pivotButton="0" quotePrefix="0" xfId="0">
      <alignment horizontal="center" vertical="bottom"/>
    </xf>
    <xf applyAlignment="1" borderId="1" fillId="0" fontId="0" numFmtId="4" pivotButton="0" quotePrefix="0" xfId="0">
      <alignment horizontal="center" vertical="bottom"/>
    </xf>
    <xf applyAlignment="1" borderId="1" fillId="0" fontId="0" numFmtId="0" pivotButton="0" quotePrefix="0" xfId="0">
      <alignment horizontal="center" vertical="center"/>
    </xf>
    <xf applyAlignment="1" borderId="1" fillId="0" fontId="0" numFmtId="169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35" fillId="0" fontId="0" numFmtId="0" pivotButton="0" quotePrefix="0" xfId="0">
      <alignment horizontal="center" vertical="bottom"/>
    </xf>
    <xf applyAlignment="1" borderId="1" fillId="0" fontId="0" numFmtId="0" pivotButton="0" quotePrefix="0" xfId="0">
      <alignment horizontal="center" vertical="bottom"/>
    </xf>
    <xf applyAlignment="1" borderId="1" fillId="0" fontId="10" numFmtId="0" pivotButton="0" quotePrefix="0" xfId="0">
      <alignment horizontal="left" indent="3" vertical="center"/>
    </xf>
    <xf applyAlignment="1" borderId="3" fillId="0" fontId="11" numFmtId="4" pivotButton="0" quotePrefix="0" xfId="0">
      <alignment horizontal="center" vertical="center"/>
    </xf>
    <xf applyAlignment="1" borderId="1" fillId="0" fontId="11" numFmtId="4" pivotButton="0" quotePrefix="0" xfId="0">
      <alignment horizontal="center" vertical="center"/>
    </xf>
    <xf applyAlignment="1" borderId="1" fillId="0" fontId="27" numFmtId="0" pivotButton="0" quotePrefix="0" xfId="0">
      <alignment horizontal="general" shrinkToFit="1" vertical="center"/>
    </xf>
    <xf applyAlignment="1" borderId="5" fillId="0" fontId="28" numFmtId="0" pivotButton="0" quotePrefix="0" xfId="0">
      <alignment horizontal="center" vertical="center"/>
    </xf>
    <xf applyAlignment="1" borderId="3" fillId="0" fontId="29" numFmtId="0" pivotButton="0" quotePrefix="0" xfId="0">
      <alignment horizontal="center" vertical="center"/>
    </xf>
    <xf applyAlignment="1" borderId="31" fillId="0" fontId="10" numFmtId="0" pivotButton="0" quotePrefix="0" xfId="0">
      <alignment horizontal="center" vertical="center"/>
    </xf>
    <xf applyAlignment="1" borderId="1" fillId="0" fontId="27" numFmtId="0" pivotButton="0" quotePrefix="0" xfId="0">
      <alignment horizontal="center" shrinkToFit="1" vertical="center"/>
    </xf>
    <xf applyAlignment="1" borderId="2" fillId="0" fontId="24" numFmtId="0" pivotButton="0" quotePrefix="0" xfId="0">
      <alignment horizontal="center" vertical="center" wrapText="1"/>
    </xf>
    <xf applyAlignment="1" borderId="31" fillId="0" fontId="11" numFmtId="0" pivotButton="0" quotePrefix="0" xfId="0">
      <alignment horizontal="center" vertical="center"/>
    </xf>
    <xf applyAlignment="1" borderId="1" fillId="0" fontId="11" numFmtId="179" pivotButton="0" quotePrefix="0" xfId="0">
      <alignment horizontal="center" vertical="center"/>
    </xf>
    <xf applyAlignment="1" borderId="2" fillId="0" fontId="26" numFmtId="0" pivotButton="0" quotePrefix="0" xfId="0">
      <alignment horizontal="left" vertical="center"/>
    </xf>
    <xf applyAlignment="1" borderId="1" fillId="0" fontId="21" numFmtId="174" pivotButton="0" quotePrefix="0" xfId="0">
      <alignment horizontal="center" vertical="center"/>
    </xf>
    <xf applyAlignment="1" borderId="35" fillId="0" fontId="0" numFmtId="0" pivotButton="0" quotePrefix="0" xfId="0">
      <alignment horizontal="center" vertical="center"/>
    </xf>
    <xf applyAlignment="1" borderId="35" fillId="0" fontId="8" numFmtId="0" pivotButton="0" quotePrefix="0" xfId="0">
      <alignment horizontal="center" vertical="center"/>
    </xf>
    <xf applyAlignment="1" borderId="3" fillId="0" fontId="8" numFmtId="0" pivotButton="0" quotePrefix="0" xfId="0">
      <alignment horizontal="center" vertical="center"/>
    </xf>
    <xf applyAlignment="1" borderId="36" fillId="0" fontId="8" numFmtId="0" pivotButton="0" quotePrefix="0" xfId="0">
      <alignment horizontal="center" vertical="bottom"/>
    </xf>
    <xf applyAlignment="1" borderId="31" fillId="0" fontId="8" numFmtId="0" pivotButton="0" quotePrefix="0" xfId="0">
      <alignment horizontal="center" vertical="center"/>
    </xf>
    <xf applyAlignment="1" borderId="4" fillId="0" fontId="8" numFmtId="0" pivotButton="0" quotePrefix="0" xfId="0">
      <alignment horizontal="center" vertical="center"/>
    </xf>
    <xf applyAlignment="1" borderId="21" fillId="0" fontId="6" numFmtId="0" pivotButton="0" quotePrefix="0" xfId="0">
      <alignment horizontal="center" vertical="center"/>
    </xf>
    <xf applyAlignment="1" borderId="37" fillId="0" fontId="26" numFmtId="0" pivotButton="0" quotePrefix="0" xfId="0">
      <alignment horizontal="left" vertical="bottom"/>
    </xf>
    <xf applyAlignment="1" borderId="2" fillId="0" fontId="0" numFmtId="0" pivotButton="0" quotePrefix="0" xfId="0">
      <alignment horizontal="general" vertical="bottom"/>
    </xf>
    <xf applyAlignment="1" borderId="38" fillId="0" fontId="0" numFmtId="169" pivotButton="0" quotePrefix="0" xfId="0">
      <alignment horizontal="center" vertical="bottom"/>
    </xf>
    <xf applyAlignment="1" borderId="2" fillId="0" fontId="0" numFmtId="49" pivotButton="0" quotePrefix="0" xfId="0">
      <alignment horizontal="center" vertical="bottom"/>
    </xf>
    <xf applyAlignment="1" borderId="2" fillId="0" fontId="0" numFmtId="1" pivotButton="0" quotePrefix="0" xfId="0">
      <alignment horizontal="center" vertical="bottom"/>
    </xf>
    <xf applyAlignment="1" borderId="38" fillId="0" fontId="0" numFmtId="4" pivotButton="0" quotePrefix="0" xfId="0">
      <alignment horizontal="center" vertical="bottom"/>
    </xf>
    <xf applyAlignment="1" borderId="2" fillId="0" fontId="0" numFmtId="4" pivotButton="0" quotePrefix="0" xfId="0">
      <alignment horizontal="center" vertical="bottom"/>
    </xf>
    <xf applyAlignment="1" borderId="2" fillId="0" fontId="0" numFmtId="0" pivotButton="0" quotePrefix="0" xfId="0">
      <alignment horizontal="center" vertical="center"/>
    </xf>
    <xf applyAlignment="1" borderId="38" fillId="0" fontId="0" numFmtId="169" pivotButton="0" quotePrefix="0" xfId="0">
      <alignment horizontal="center" vertical="center"/>
    </xf>
  </cellXfs>
  <cellStyles count="18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  <cellStyle builtinId="8" name="*unknown*" xfId="6"/>
    <cellStyle builtinId="53" name="F2" xfId="7"/>
    <cellStyle builtinId="53" name="F3" xfId="8"/>
    <cellStyle builtinId="53" name="F4" xfId="9"/>
    <cellStyle builtinId="53" name="F5" xfId="10"/>
    <cellStyle builtinId="53" name="F6" xfId="11"/>
    <cellStyle builtinId="53" name="F7" xfId="12"/>
    <cellStyle builtinId="53" name="F8" xfId="13"/>
    <cellStyle builtinId="53" name="Grey" xfId="14"/>
    <cellStyle builtinId="53" name="Input [yellow]" xfId="15"/>
    <cellStyle builtinId="53" name="Normal - Style1" xfId="16"/>
    <cellStyle builtinId="53" name="Percent [2]" xfId="17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 </author>
  </authors>
  <commentList>
    <comment authorId="0" ref="C8" shapeId="0">
      <text>
        <t>SUFFIX
JR
SR
III
IV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T20"/>
  <sheetViews>
    <sheetView colorId="64" defaultGridColor="1" rightToLeft="0" showFormulas="0" showGridLines="1" showOutlineSymbols="1" showRowColHeaders="1" showZeros="1" tabSelected="1" topLeftCell="A1" view="normal" workbookViewId="0" zoomScale="100" zoomScaleNormal="100" zoomScalePageLayoutView="100">
      <selection activeCell="B1" activeCellId="0" pane="topLeft" sqref="B1"/>
    </sheetView>
  </sheetViews>
  <sheetFormatPr baseColWidth="8" defaultRowHeight="12.75" outlineLevelCol="0" outlineLevelRow="0" zeroHeight="0"/>
  <cols>
    <col customWidth="1" max="1" min="1" style="249" width="9.4"/>
    <col customWidth="1" max="2" min="2" style="250" width="28.67"/>
    <col customWidth="1" max="3" min="3" style="250" width="8.69"/>
    <col customWidth="1" max="4" min="4" style="250" width="28.67"/>
    <col customWidth="1" max="5" min="5" style="250" width="28.38"/>
    <col customWidth="1" max="6" min="6" style="251" width="16.68"/>
    <col customWidth="1" max="7" min="7" style="251" width="12.69"/>
    <col customWidth="1" max="8" min="8" style="251" width="7.98"/>
    <col customWidth="1" max="9" min="9" style="252" width="17.68"/>
    <col customWidth="1" max="10" min="10" style="251" width="3.7"/>
    <col customWidth="1" hidden="1" max="13" min="11" style="251" width="10.69"/>
    <col customWidth="1" hidden="1" max="14" min="14" style="251" width="5.7"/>
    <col customWidth="1" hidden="1" max="17" min="15" style="253" width="5.7"/>
    <col customWidth="1" hidden="1" max="32" min="18" style="253" width="9.130000000000001"/>
    <col customWidth="1" hidden="1" max="35" min="33" style="249" width="9.130000000000001"/>
    <col customWidth="1" hidden="1" max="58" min="36" style="253" width="9.130000000000001"/>
    <col customWidth="1" max="60" min="59" style="253" width="10.69"/>
    <col customWidth="1" max="61" min="61" style="253" width="20.68"/>
    <col customWidth="1" hidden="1" max="66" min="62" style="253" width="9.130000000000001"/>
    <col customWidth="1" hidden="1" max="70" min="67" style="253" width="9.130000000000001"/>
    <col customWidth="1" max="71" min="71" style="254" width="9.130000000000001"/>
    <col customWidth="1" max="72" min="72" style="255" width="10.69"/>
    <col customWidth="1" max="73" min="73" style="253" width="16.26"/>
    <col customWidth="1" max="111" min="74" style="253" width="9.130000000000001"/>
    <col customWidth="1" max="117" min="112" style="253" width="6.69"/>
    <col customWidth="1" max="121" min="118" style="249" width="8.69"/>
    <col customWidth="1" max="128" min="122" style="253" width="9.130000000000001"/>
    <col customWidth="1" max="136" min="129" style="256" width="8.84"/>
    <col customWidth="1" max="137" min="137" style="257" width="2.84"/>
    <col customWidth="1" max="257" min="138" style="253" width="9.130000000000001"/>
    <col customWidth="1" max="1025" min="258" style="256" width="9.130000000000001"/>
  </cols>
  <sheetData>
    <row customFormat="1" customHeight="1" ht="12" r="1" s="253" spans="1:150">
      <c r="A1" s="258" t="s">
        <v>0</v>
      </c>
      <c r="B1" s="259" t="s">
        <v>1</v>
      </c>
      <c r="E1" s="260">
        <f>CONCATENATE("EMPLOYEE COUNT  ",(COUNT(BJ9:BJ25548)))</f>
        <v/>
      </c>
      <c r="F1" s="261" t="s">
        <v>2</v>
      </c>
      <c r="G1" s="262" t="n"/>
      <c r="I1" s="263" t="s">
        <v>3</v>
      </c>
      <c r="K1" s="264" t="s">
        <v>4</v>
      </c>
      <c r="M1" s="265" t="s">
        <v>5</v>
      </c>
      <c r="N1" s="266" t="s">
        <v>6</v>
      </c>
      <c r="P1" s="266" t="s">
        <v>7</v>
      </c>
      <c r="R1" s="266" t="s">
        <v>8</v>
      </c>
      <c r="T1" s="267" t="s">
        <v>9</v>
      </c>
      <c r="U1" s="267" t="s">
        <v>10</v>
      </c>
      <c r="V1" s="267" t="s">
        <v>11</v>
      </c>
      <c r="W1" s="268" t="s">
        <v>12</v>
      </c>
      <c r="X1" s="268" t="s">
        <v>13</v>
      </c>
      <c r="Y1" s="269" t="n"/>
      <c r="Z1" s="269" t="n"/>
      <c r="AA1" s="269" t="n"/>
      <c r="AB1" s="269" t="n"/>
      <c r="AC1" s="269" t="n"/>
      <c r="AD1" s="269" t="n"/>
      <c r="AE1" s="269" t="n"/>
      <c r="AF1" s="269" t="n"/>
      <c r="AG1" s="269" t="n"/>
      <c r="AH1" s="269" t="n"/>
      <c r="AI1" s="270" t="n"/>
      <c r="AJ1" s="270" t="n"/>
      <c r="AK1" s="270" t="n"/>
      <c r="AL1" s="271" t="n"/>
      <c r="AM1" s="271" t="n"/>
      <c r="AN1" s="271" t="n"/>
      <c r="AO1" s="271" t="n"/>
      <c r="AP1" s="271" t="n"/>
      <c r="AQ1" s="271" t="n"/>
      <c r="AR1" s="271" t="n"/>
      <c r="AS1" s="271" t="n"/>
      <c r="AT1" s="271" t="n"/>
      <c r="AU1" s="271" t="n"/>
      <c r="AV1" s="271" t="n"/>
      <c r="AW1" s="271" t="n"/>
      <c r="AX1" s="271" t="n"/>
      <c r="AY1" s="271" t="n"/>
      <c r="AZ1" s="271" t="n"/>
      <c r="BA1" s="271" t="n"/>
      <c r="BB1" s="271" t="n"/>
      <c r="BC1" s="271" t="n"/>
      <c r="BD1" s="271" t="n"/>
      <c r="BE1" s="271" t="n"/>
      <c r="BF1" s="271" t="n"/>
      <c r="BG1" s="272" t="n"/>
      <c r="BI1" s="273" t="s">
        <v>14</v>
      </c>
      <c r="BJ1" s="274" t="n"/>
      <c r="BK1" s="269" t="n"/>
      <c r="BL1" s="269" t="n"/>
      <c r="BM1" s="269" t="n"/>
      <c r="BN1" s="271" t="n"/>
      <c r="BO1" s="271" t="n"/>
      <c r="BP1" s="269" t="n"/>
      <c r="BQ1" s="269" t="n"/>
      <c r="BR1" s="269" t="n"/>
      <c r="BS1" s="275">
        <f>SUM(BG9:BG10011)</f>
        <v/>
      </c>
      <c r="BU1" s="276" t="s">
        <v>15</v>
      </c>
      <c r="BV1" s="253" t="n"/>
      <c r="BW1" s="277" t="n"/>
      <c r="DH1" s="277" t="n"/>
      <c r="DI1" s="277" t="n"/>
      <c r="DJ1" s="277" t="n"/>
      <c r="DK1" s="277" t="n"/>
      <c r="DL1" s="277" t="n"/>
      <c r="DM1" s="277" t="n"/>
      <c r="DN1" s="277" t="n"/>
      <c r="DO1" s="277" t="n"/>
      <c r="DP1" s="277" t="n"/>
      <c r="DQ1" s="277" t="n"/>
      <c r="DR1" s="256" t="n"/>
      <c r="DS1" s="256" t="n"/>
      <c r="DT1" s="256" t="n"/>
      <c r="DU1" s="256" t="n"/>
      <c r="DV1" s="256" t="n"/>
      <c r="DW1" s="256" t="n"/>
      <c r="DX1" s="278" t="n"/>
      <c r="DY1" s="277" t="n"/>
      <c r="DZ1" s="277" t="n"/>
      <c r="EA1" s="277" t="n"/>
      <c r="EB1" s="277" t="n"/>
      <c r="EC1" s="277" t="n"/>
      <c r="ED1" s="277" t="n"/>
      <c r="EE1" s="277" t="n"/>
      <c r="EF1" s="277" t="n"/>
      <c r="EG1" s="277" t="n"/>
      <c r="EH1" s="277" t="n"/>
      <c r="EI1" s="277" t="n"/>
      <c r="EJ1" s="277" t="n"/>
      <c r="EK1" s="277" t="n"/>
      <c r="EL1" s="277" t="n"/>
      <c r="EM1" s="277" t="n"/>
      <c r="EN1" s="277" t="n"/>
      <c r="EO1" s="277" t="n"/>
      <c r="EP1" s="277" t="n"/>
      <c r="EQ1" s="277" t="n"/>
      <c r="ER1" s="277" t="n"/>
    </row>
    <row customFormat="1" customHeight="1" ht="12.75" r="2" s="253" spans="1:150">
      <c r="A2" s="258" t="s">
        <v>16</v>
      </c>
      <c r="B2" s="279" t="n"/>
      <c r="E2" s="280">
        <f>IF(M5=0," ",IF(M5&gt;0,"REPORT OVERPAYMENT",IF(M5&lt;0,"REPORT UNDERPAYMENT")))</f>
        <v/>
      </c>
      <c r="F2" s="261" t="s">
        <v>17</v>
      </c>
      <c r="G2" s="281" t="s">
        <v>18</v>
      </c>
      <c r="I2" s="282" t="s">
        <v>19</v>
      </c>
      <c r="K2" s="269">
        <f>IF(E5&lt;=3,1,IF(E5&lt;=6,2,IF(E5&lt;=9,3,IF(E5&lt;=12,4))))</f>
        <v/>
      </c>
      <c r="L2" s="269">
        <f>IF(K2=1,1,IF(K2&lt;5,0))</f>
        <v/>
      </c>
      <c r="M2" s="283">
        <f>BG2-BS1-BS2</f>
        <v/>
      </c>
      <c r="N2" s="270">
        <f>IF(E5&gt;=7,0,IF(E5=1,"JANUARY",IF(E5=2,"FEBRUARY",IF(E5=3,"MARCH",IF(E5=4,"APRIL",IF(E5=5,"MAY",IF(E5=6,"JUNE")))))))</f>
        <v/>
      </c>
      <c r="P2" s="284">
        <f>BG2*100</f>
        <v/>
      </c>
      <c r="R2" s="284">
        <f>P2</f>
        <v/>
      </c>
      <c r="T2" s="270">
        <f>FALSE()</f>
        <v/>
      </c>
      <c r="U2" s="268" t="s">
        <v>20</v>
      </c>
      <c r="V2" s="268" t="s">
        <v>20</v>
      </c>
      <c r="W2" s="269" t="n">
        <v>2004</v>
      </c>
      <c r="X2" s="269" t="n">
        <v>2005</v>
      </c>
      <c r="Y2" s="269" t="n">
        <v>2006</v>
      </c>
      <c r="Z2" s="269" t="n">
        <v>2007</v>
      </c>
      <c r="AA2" s="269" t="n">
        <v>2008</v>
      </c>
      <c r="AB2" s="269" t="n">
        <v>2009</v>
      </c>
      <c r="AC2" s="269" t="n">
        <v>2010</v>
      </c>
      <c r="AD2" s="269" t="n">
        <v>2011</v>
      </c>
      <c r="AE2" s="269" t="n">
        <v>2012</v>
      </c>
      <c r="AF2" s="269" t="n">
        <v>2013</v>
      </c>
      <c r="AG2" s="269" t="n">
        <v>2014</v>
      </c>
      <c r="AH2" s="269" t="n">
        <v>2015</v>
      </c>
      <c r="AI2" s="270" t="n"/>
      <c r="AJ2" s="270" t="n"/>
      <c r="AK2" s="270" t="n"/>
      <c r="AL2" s="285" t="n"/>
      <c r="AM2" s="270" t="n"/>
      <c r="AN2" s="286" t="n"/>
      <c r="AO2" s="286" t="n"/>
      <c r="AP2" s="286" t="n"/>
      <c r="AQ2" s="286" t="n"/>
      <c r="AR2" s="286" t="n"/>
      <c r="AS2" s="286" t="n"/>
      <c r="AT2" s="286" t="n"/>
      <c r="AU2" s="286" t="n"/>
      <c r="AV2" s="286" t="n"/>
      <c r="AW2" s="286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7" t="n"/>
      <c r="BI2" s="273">
        <f>IF(E3="PRIVATE","TOTAL ES",IF(E3="HOUSEHOLD","TOTAL ES",IF(E3="GOVERNMENT","TOTAL GS",0)))</f>
        <v/>
      </c>
      <c r="BJ2" s="269" t="n"/>
      <c r="BK2" s="269" t="n"/>
      <c r="BL2" s="269" t="n"/>
      <c r="BM2" s="269" t="n"/>
      <c r="BN2" s="270" t="n"/>
      <c r="BO2" s="270" t="n"/>
      <c r="BP2" s="270" t="s">
        <v>21</v>
      </c>
      <c r="BQ2" s="270" t="n"/>
      <c r="BR2" s="270" t="n"/>
      <c r="BS2" s="275">
        <f>SUM(BH9:BH10011)</f>
        <v/>
      </c>
      <c r="BU2" s="288" t="s">
        <v>22</v>
      </c>
      <c r="BV2" s="253" t="n"/>
      <c r="BW2" s="277" t="n"/>
      <c r="DH2" s="253" t="n"/>
      <c r="DI2" s="253" t="n"/>
      <c r="DJ2" s="253" t="n"/>
      <c r="DK2" s="253" t="n"/>
      <c r="DL2" s="253" t="n"/>
      <c r="DM2" s="253" t="n"/>
      <c r="DN2" s="253" t="n"/>
      <c r="DO2" s="253" t="n"/>
      <c r="DP2" s="253" t="n"/>
      <c r="DQ2" s="253" t="n"/>
      <c r="DR2" s="256" t="n"/>
      <c r="DS2" s="256" t="n"/>
      <c r="DT2" s="256" t="n"/>
      <c r="DU2" s="256" t="n"/>
      <c r="DV2" s="256" t="n"/>
      <c r="DW2" s="256" t="n"/>
      <c r="DX2" s="257" t="n"/>
      <c r="DY2" s="253" t="n"/>
      <c r="DZ2" s="253" t="n"/>
      <c r="EA2" s="253" t="n"/>
      <c r="EB2" s="253" t="n"/>
      <c r="EC2" s="253" t="n"/>
      <c r="ED2" s="253" t="n"/>
      <c r="EE2" s="253" t="n"/>
      <c r="EF2" s="253" t="n"/>
      <c r="EG2" s="253" t="n"/>
      <c r="EH2" s="253" t="n"/>
      <c r="EI2" s="253" t="n"/>
      <c r="EJ2" s="253" t="n"/>
      <c r="EK2" s="253" t="n"/>
      <c r="EL2" s="253" t="n"/>
      <c r="EM2" s="253" t="n"/>
      <c r="EN2" s="253" t="n"/>
      <c r="EO2" s="253" t="n"/>
      <c r="EP2" s="253" t="n"/>
      <c r="EQ2" s="253" t="n"/>
      <c r="ER2" s="253" t="n"/>
    </row>
    <row customFormat="1" customHeight="1" ht="12.75" r="3" s="253" spans="1:150">
      <c r="A3" s="258" t="s">
        <v>23</v>
      </c>
      <c r="B3" s="289" t="n"/>
      <c r="D3" s="261" t="s">
        <v>24</v>
      </c>
      <c r="E3" s="290" t="s">
        <v>25</v>
      </c>
      <c r="F3" s="261" t="s">
        <v>26</v>
      </c>
      <c r="G3" s="291" t="n"/>
      <c r="I3" s="282" t="s">
        <v>27</v>
      </c>
      <c r="K3" s="292" t="s">
        <v>28</v>
      </c>
      <c r="L3" s="269">
        <f>IF(K2=2,1,IF(K2&lt;5,0))</f>
        <v/>
      </c>
      <c r="M3" s="293">
        <f>BG2-BS1-BS3</f>
        <v/>
      </c>
      <c r="N3" s="270">
        <f>IF(E5&lt;=6,0,IF(E5=7,"JULY",IF(E5=8,"AUGUST",IF(E5=9,"SEPTEMBER",IF(E5=10,"OCTOBER",IF(E5=11,"NOVEMBER",IF(E5=12,"DECEMBER")))))))</f>
        <v/>
      </c>
      <c r="P3" s="284">
        <f>BS3*100</f>
        <v/>
      </c>
      <c r="R3" s="284">
        <f>P3</f>
        <v/>
      </c>
      <c r="T3" s="266" t="s">
        <v>29</v>
      </c>
      <c r="U3" s="270">
        <f>IF(E3="PRIVATE",1,0)</f>
        <v/>
      </c>
      <c r="V3" s="269" t="s">
        <v>25</v>
      </c>
      <c r="W3" s="269" t="n"/>
      <c r="X3" s="269" t="n"/>
      <c r="Y3" s="294" t="n">
        <v>7306</v>
      </c>
      <c r="AA3" s="269" t="n"/>
      <c r="AB3" s="269" t="n"/>
      <c r="AC3" s="269" t="n"/>
      <c r="AD3" s="269" t="n"/>
      <c r="AE3" s="269" t="n"/>
      <c r="AF3" s="269" t="n"/>
      <c r="AG3" s="269" t="n"/>
      <c r="AH3" s="269" t="n"/>
      <c r="AI3" s="270" t="n"/>
      <c r="AJ3" s="270" t="n"/>
      <c r="AK3" s="270" t="n"/>
      <c r="AL3" s="285" t="n"/>
      <c r="AM3" s="270" t="n"/>
      <c r="AN3" s="270" t="n"/>
      <c r="AO3" s="270" t="n"/>
      <c r="AP3" s="270" t="n"/>
      <c r="AQ3" s="270" t="n"/>
      <c r="AR3" s="270" t="n"/>
      <c r="AS3" s="270" t="n"/>
      <c r="AT3" s="270" t="n"/>
      <c r="AU3" s="270" t="n"/>
      <c r="AV3" s="270" t="n"/>
      <c r="AW3" s="270" t="n"/>
      <c r="AX3" s="270" t="n"/>
      <c r="AY3" s="270" t="n"/>
      <c r="AZ3" s="270" t="n"/>
      <c r="BA3" s="270" t="n"/>
      <c r="BB3" s="270" t="n"/>
      <c r="BC3" s="270" t="n"/>
      <c r="BD3" s="270" t="n"/>
      <c r="BE3" s="270" t="n"/>
      <c r="BF3" s="270" t="n"/>
      <c r="BG3" s="295" t="n"/>
      <c r="BI3" s="296">
        <f>IF(F6=0,"NO ALLOTED GS",IF(F6&gt;0,"TOTAL ALLOTED"))</f>
        <v/>
      </c>
      <c r="BJ3" s="297" t="n"/>
      <c r="BK3" s="298" t="n"/>
      <c r="BL3" s="298" t="n"/>
      <c r="BM3" s="298" t="n"/>
      <c r="BN3" s="299" t="n"/>
      <c r="BO3" s="299" t="n"/>
      <c r="BP3" s="299" t="s">
        <v>30</v>
      </c>
      <c r="BQ3" s="299" t="n"/>
      <c r="BR3" s="299" t="n"/>
      <c r="BS3" s="300">
        <f>SUM(BI9:BI10011)</f>
        <v/>
      </c>
      <c r="BU3" s="288" t="s">
        <v>31</v>
      </c>
      <c r="BV3" s="253" t="n"/>
      <c r="BW3" s="277" t="n"/>
      <c r="DH3" s="277" t="n"/>
      <c r="DI3" s="277" t="n"/>
      <c r="DJ3" s="277" t="n"/>
      <c r="DK3" s="277" t="n"/>
      <c r="DL3" s="277" t="n"/>
      <c r="DM3" s="277" t="n"/>
      <c r="DN3" s="277" t="n"/>
      <c r="DO3" s="277" t="n"/>
      <c r="DP3" s="277" t="n"/>
      <c r="DQ3" s="277" t="n"/>
      <c r="DR3" s="256" t="n"/>
      <c r="DS3" s="256" t="n"/>
      <c r="DT3" s="256" t="n"/>
      <c r="DU3" s="256" t="n"/>
      <c r="DV3" s="256" t="n"/>
      <c r="DW3" s="256" t="n"/>
      <c r="DX3" s="278" t="n"/>
      <c r="DY3" s="277" t="n"/>
      <c r="DZ3" s="277" t="n"/>
      <c r="EA3" s="277" t="n"/>
      <c r="EB3" s="277" t="n"/>
      <c r="EC3" s="277" t="n"/>
      <c r="ED3" s="277" t="n"/>
      <c r="EE3" s="277" t="n"/>
      <c r="EF3" s="277" t="n"/>
      <c r="EG3" s="277" t="n"/>
      <c r="EH3" s="277" t="n"/>
      <c r="EI3" s="277" t="n"/>
      <c r="EJ3" s="277" t="n"/>
      <c r="EK3" s="277" t="n"/>
      <c r="EL3" s="277" t="n"/>
      <c r="EM3" s="277" t="n"/>
      <c r="EN3" s="277" t="n"/>
      <c r="EO3" s="277" t="n"/>
      <c r="EP3" s="277" t="n"/>
      <c r="EQ3" s="249" t="n"/>
      <c r="ER3" s="249" t="n"/>
    </row>
    <row customFormat="1" customHeight="1" ht="12.75" r="4" s="253" spans="1:150">
      <c r="A4" s="258" t="s">
        <v>32</v>
      </c>
      <c r="B4" s="279" t="n"/>
      <c r="D4" s="261" t="s">
        <v>33</v>
      </c>
      <c r="E4" s="301" t="n">
        <v>2015</v>
      </c>
      <c r="F4" s="261" t="s">
        <v>34</v>
      </c>
      <c r="G4" s="302" t="s">
        <v>35</v>
      </c>
      <c r="I4" s="282" t="s">
        <v>36</v>
      </c>
      <c r="K4" s="270">
        <f>IF(E6="R",TRUE(),IF(E6="A",FALSE()))</f>
        <v/>
      </c>
      <c r="L4" s="269">
        <f>IF(K2=3,1,IF(K2&lt;5,0))</f>
        <v/>
      </c>
      <c r="M4" s="303" t="s">
        <v>37</v>
      </c>
      <c r="N4" s="266">
        <f>IF(N2=0,N3,IF(N3=0,N2,0))</f>
        <v/>
      </c>
      <c r="P4" s="284">
        <f>BS1*2</f>
        <v/>
      </c>
      <c r="R4" s="284">
        <f>P4*100</f>
        <v/>
      </c>
      <c r="T4" s="269">
        <f>COUNTIF(BG9:BG25548,"&gt;0")</f>
        <v/>
      </c>
      <c r="U4" s="270">
        <f>IF(E3="GOVERNMENT",1,0)</f>
        <v/>
      </c>
      <c r="V4" s="269" t="s">
        <v>38</v>
      </c>
      <c r="W4" s="269" t="n"/>
      <c r="X4" s="269" t="n"/>
      <c r="Y4" s="294" t="n">
        <v>41274</v>
      </c>
      <c r="AA4" s="269" t="n"/>
      <c r="AB4" s="269" t="n"/>
      <c r="AC4" s="269" t="n"/>
      <c r="AD4" s="269" t="n"/>
      <c r="AE4" s="269" t="n"/>
      <c r="AF4" s="269" t="n"/>
      <c r="AG4" s="269" t="n"/>
      <c r="AH4" s="270" t="n"/>
      <c r="AI4" s="270" t="n"/>
      <c r="AJ4" s="270" t="n"/>
      <c r="AK4" s="285" t="n"/>
      <c r="AL4" s="270" t="n"/>
      <c r="AM4" s="270" t="n"/>
      <c r="AN4" s="270" t="n"/>
      <c r="AO4" s="270" t="n"/>
      <c r="AP4" s="270" t="n"/>
      <c r="AQ4" s="270" t="n"/>
      <c r="AR4" s="270" t="n"/>
      <c r="AS4" s="270" t="n"/>
      <c r="AT4" s="270" t="n"/>
      <c r="AU4" s="270" t="n"/>
      <c r="AV4" s="270" t="n"/>
      <c r="AW4" s="270" t="n"/>
      <c r="AX4" s="270" t="n"/>
      <c r="AY4" s="270" t="n"/>
      <c r="AZ4" s="270" t="n"/>
      <c r="BA4" s="270" t="n"/>
      <c r="BB4" s="270" t="n"/>
      <c r="BC4" s="270" t="n"/>
      <c r="BD4" s="270" t="n"/>
      <c r="BE4" s="270" t="n"/>
      <c r="BF4" s="270" t="n"/>
      <c r="BG4" s="304">
        <f>N4</f>
        <v/>
      </c>
      <c r="BI4" s="296" t="s">
        <v>39</v>
      </c>
      <c r="BJ4" s="298" t="n"/>
      <c r="BK4" s="298" t="n"/>
      <c r="BL4" s="298" t="n"/>
      <c r="BM4" s="298" t="n"/>
      <c r="BN4" s="299" t="n"/>
      <c r="BO4" s="299" t="n"/>
      <c r="BP4" s="305" t="s">
        <v>40</v>
      </c>
      <c r="BQ4" s="305" t="n"/>
      <c r="BR4" s="305" t="n"/>
      <c r="BS4" s="306">
        <f>IF(F6=0,0,IF(F6&gt;0,BS1-BS3))</f>
        <v/>
      </c>
      <c r="BU4" s="288" t="s">
        <v>41</v>
      </c>
      <c r="DH4" s="253" t="n"/>
      <c r="DI4" s="253" t="n"/>
      <c r="DJ4" s="253" t="n"/>
      <c r="DK4" s="253" t="n"/>
      <c r="DL4" s="253" t="n"/>
      <c r="DM4" s="249" t="n"/>
      <c r="DN4" s="249" t="n"/>
      <c r="DO4" s="249" t="n"/>
      <c r="DP4" s="249" t="n"/>
      <c r="DQ4" s="249" t="n"/>
      <c r="DR4" s="256" t="n"/>
      <c r="DS4" s="256" t="n"/>
      <c r="DT4" s="256" t="n"/>
      <c r="DU4" s="256" t="n"/>
      <c r="DV4" s="256" t="n"/>
      <c r="DW4" s="256" t="n"/>
      <c r="DX4" s="257" t="n"/>
      <c r="DY4" s="253" t="n"/>
      <c r="DZ4" s="253" t="n"/>
      <c r="EA4" s="253" t="n"/>
      <c r="EB4" s="253" t="n"/>
      <c r="EC4" s="253" t="n"/>
      <c r="ED4" s="253" t="n"/>
      <c r="EE4" s="253" t="n"/>
      <c r="EF4" s="253" t="n"/>
      <c r="EG4" s="253" t="n"/>
      <c r="EH4" s="253" t="n"/>
      <c r="EI4" s="253" t="n"/>
      <c r="EJ4" s="253" t="n"/>
      <c r="EK4" s="253" t="n"/>
      <c r="EL4" s="253" t="n"/>
      <c r="EM4" s="253" t="n"/>
      <c r="EN4" s="253" t="n"/>
      <c r="EO4" s="253" t="n"/>
      <c r="EP4" s="249" t="n"/>
      <c r="EQ4" s="249" t="n"/>
      <c r="ER4" s="249" t="n"/>
    </row>
    <row customFormat="1" customHeight="1" ht="12.75" r="5" s="253" spans="1:150">
      <c r="A5" s="258" t="s">
        <v>42</v>
      </c>
      <c r="B5" s="279" t="n"/>
      <c r="D5" s="307" t="s">
        <v>6</v>
      </c>
      <c r="E5" s="301" t="n">
        <v>12</v>
      </c>
      <c r="F5" s="261" t="s">
        <v>43</v>
      </c>
      <c r="G5" s="302" t="s">
        <v>44</v>
      </c>
      <c r="I5" s="282" t="s">
        <v>45</v>
      </c>
      <c r="K5" s="269">
        <f>IF(E6="R",FALSE(),IF(E6="A",TRUE()))</f>
        <v/>
      </c>
      <c r="L5" s="269">
        <f>IF(K2=4,1,IF(K2&lt;5,0))</f>
        <v/>
      </c>
      <c r="M5" s="293">
        <f>IF(F6=0,M2,IF(F6&gt;0,M3))</f>
        <v/>
      </c>
      <c r="N5" s="269" t="n"/>
      <c r="O5" s="269" t="n"/>
      <c r="P5" s="270">
        <f>BS5*100</f>
        <v/>
      </c>
      <c r="R5" s="284">
        <f>P5</f>
        <v/>
      </c>
      <c r="T5" s="269">
        <f>COUNTIF(BH9:BH25548,"&gt;0")</f>
        <v/>
      </c>
      <c r="U5" s="270">
        <f>IF(E3="HOUSEHOLD",1,0)</f>
        <v/>
      </c>
      <c r="V5" s="269" t="s">
        <v>46</v>
      </c>
      <c r="W5" s="269" t="n"/>
      <c r="X5" s="269" t="n"/>
      <c r="Y5" s="269" t="n"/>
      <c r="Z5" s="269" t="n"/>
      <c r="AA5" s="269" t="n"/>
      <c r="AB5" s="269" t="n"/>
      <c r="AC5" s="269" t="n"/>
      <c r="AD5" s="269" t="n"/>
      <c r="AE5" s="269" t="n"/>
      <c r="AF5" s="269" t="n"/>
      <c r="AG5" s="269" t="n"/>
      <c r="AH5" s="270" t="n"/>
      <c r="AI5" s="270" t="n"/>
      <c r="AJ5" s="270" t="n"/>
      <c r="AK5" s="266" t="n"/>
      <c r="AL5" s="266" t="n"/>
      <c r="AM5" s="266" t="n"/>
      <c r="AN5" s="266" t="n"/>
      <c r="AO5" s="266" t="n"/>
      <c r="AP5" s="266" t="n"/>
      <c r="AQ5" s="266" t="n"/>
      <c r="AR5" s="266" t="n"/>
      <c r="AS5" s="266" t="n"/>
      <c r="AT5" s="266" t="n"/>
      <c r="AU5" s="266" t="n"/>
      <c r="AV5" s="266" t="n"/>
      <c r="AW5" s="266" t="n"/>
      <c r="AX5" s="266" t="n"/>
      <c r="AY5" s="266" t="n"/>
      <c r="AZ5" s="266" t="n"/>
      <c r="BA5" s="266" t="n"/>
      <c r="BB5" s="266" t="n"/>
      <c r="BC5" s="266" t="n"/>
      <c r="BD5" s="266" t="n"/>
      <c r="BE5" s="266" t="n"/>
      <c r="BF5" s="266" t="n"/>
      <c r="BG5" s="308">
        <f>IF(BS3=0,BS5,IF(BS3&gt;0,BS6))</f>
        <v/>
      </c>
      <c r="BI5" s="309">
        <f>CONCATENATE(BI1," ","&amp;"," ",BI2)</f>
        <v/>
      </c>
      <c r="BJ5" s="269" t="n"/>
      <c r="BK5" s="269" t="n"/>
      <c r="BL5" s="269" t="n"/>
      <c r="BM5" s="269" t="n"/>
      <c r="BN5" s="266" t="n"/>
      <c r="BO5" s="266" t="n"/>
      <c r="BP5" s="269" t="n"/>
      <c r="BQ5" s="269" t="n"/>
      <c r="BR5" s="269" t="n"/>
      <c r="BS5" s="310">
        <f>BS1+BS2</f>
        <v/>
      </c>
      <c r="BU5" s="288" t="s">
        <v>47</v>
      </c>
      <c r="DH5" s="253" t="n"/>
      <c r="DI5" s="253" t="n"/>
      <c r="DJ5" s="253" t="n"/>
      <c r="DK5" s="253" t="n"/>
      <c r="DL5" s="253" t="n"/>
      <c r="DM5" s="249" t="n"/>
      <c r="DN5" s="249" t="n"/>
      <c r="DO5" s="249" t="n"/>
      <c r="DP5" s="249" t="n"/>
      <c r="DQ5" s="249" t="n"/>
      <c r="DR5" s="256" t="n"/>
      <c r="DS5" s="256" t="n"/>
      <c r="DT5" s="256" t="n"/>
      <c r="DU5" s="256" t="n"/>
      <c r="DV5" s="256" t="n"/>
      <c r="DW5" s="256" t="n"/>
      <c r="DX5" s="256" t="n"/>
      <c r="DY5" s="256" t="n"/>
      <c r="DZ5" s="257" t="n"/>
      <c r="EA5" s="253" t="n"/>
      <c r="EB5" s="253" t="n"/>
      <c r="EC5" s="253" t="n"/>
      <c r="ED5" s="253" t="n"/>
      <c r="EE5" s="253" t="n"/>
      <c r="EF5" s="253" t="n"/>
      <c r="EG5" s="253" t="n"/>
      <c r="EH5" s="253" t="n"/>
      <c r="EI5" s="253" t="n"/>
      <c r="EJ5" s="253" t="n"/>
      <c r="EK5" s="253" t="n"/>
      <c r="EL5" s="253" t="n"/>
      <c r="EM5" s="253" t="n"/>
      <c r="EN5" s="253" t="n"/>
      <c r="EO5" s="253" t="n"/>
      <c r="EP5" s="253" t="n"/>
      <c r="EQ5" s="253" t="n"/>
      <c r="ER5" s="249" t="n"/>
      <c r="ES5" s="249" t="n"/>
      <c r="ET5" s="249" t="n"/>
    </row>
    <row customFormat="1" customHeight="1" ht="12.75" r="6" s="253" spans="1:150">
      <c r="A6" s="258" t="s">
        <v>48</v>
      </c>
      <c r="B6" s="279" t="n"/>
      <c r="D6" s="307" t="s">
        <v>28</v>
      </c>
      <c r="E6" s="311" t="s">
        <v>10</v>
      </c>
      <c r="F6" s="312" t="n"/>
      <c r="G6" s="313" t="n"/>
      <c r="I6" s="282" t="s">
        <v>37</v>
      </c>
      <c r="K6" s="269">
        <f>FALSE()</f>
        <v/>
      </c>
      <c r="L6" s="269">
        <f>IF(K3=4,1,IF(K3&lt;5,0))</f>
        <v/>
      </c>
      <c r="M6" s="293">
        <f>IF(F7=0,M3,IF(F7&gt;0,M4))</f>
        <v/>
      </c>
      <c r="N6" s="269" t="n"/>
      <c r="O6" s="269" t="n"/>
      <c r="P6" s="270">
        <f>BS6*100</f>
        <v/>
      </c>
      <c r="R6" s="284">
        <f>P6</f>
        <v/>
      </c>
      <c r="T6" s="269">
        <f>COUNTIF(BI9:BI25548,"&gt;0")</f>
        <v/>
      </c>
      <c r="U6" s="270">
        <f>SUM(U3:U4)</f>
        <v/>
      </c>
      <c r="V6" s="269" t="n"/>
      <c r="W6" s="269" t="n"/>
      <c r="X6" s="269" t="n"/>
      <c r="Y6" s="269" t="n"/>
      <c r="Z6" s="269" t="n"/>
      <c r="AA6" s="269" t="n"/>
      <c r="AB6" s="269" t="n"/>
      <c r="AC6" s="269" t="n"/>
      <c r="AD6" s="269" t="n"/>
      <c r="AE6" s="269" t="n"/>
      <c r="AF6" s="269" t="n"/>
      <c r="AG6" s="269" t="n"/>
      <c r="AH6" s="270" t="n"/>
      <c r="AI6" s="270" t="n"/>
      <c r="AJ6" s="270" t="n"/>
      <c r="AK6" s="266" t="n"/>
      <c r="AL6" s="266" t="n"/>
      <c r="AM6" s="266" t="n"/>
      <c r="AN6" s="266" t="n"/>
      <c r="AO6" s="266" t="n"/>
      <c r="AP6" s="266" t="n"/>
      <c r="AQ6" s="266" t="n"/>
      <c r="AR6" s="266" t="n"/>
      <c r="AS6" s="266" t="n"/>
      <c r="AT6" s="266" t="n"/>
      <c r="AU6" s="266" t="n"/>
      <c r="AV6" s="266" t="n"/>
      <c r="AW6" s="266" t="n"/>
      <c r="AX6" s="266" t="n"/>
      <c r="AY6" s="266" t="n"/>
      <c r="AZ6" s="266" t="n"/>
      <c r="BA6" s="266" t="n"/>
      <c r="BB6" s="266" t="n"/>
      <c r="BC6" s="266" t="n"/>
      <c r="BD6" s="266" t="n"/>
      <c r="BE6" s="266" t="n"/>
      <c r="BF6" s="266" t="n"/>
      <c r="BG6" s="314">
        <f>IF(F6&gt;0,BG2-BS6,IF(F6=0,BG2-BS5))</f>
        <v/>
      </c>
      <c r="BI6" s="315">
        <f>CONCATENATE(BI1," ","+"," ",BI3)</f>
        <v/>
      </c>
      <c r="BJ6" s="298" t="n"/>
      <c r="BK6" s="316" t="n"/>
      <c r="BL6" s="316" t="n"/>
      <c r="BM6" s="316" t="n"/>
      <c r="BN6" s="316" t="n"/>
      <c r="BO6" s="298" t="n"/>
      <c r="BP6" s="316" t="n"/>
      <c r="BQ6" s="316" t="n"/>
      <c r="BR6" s="316" t="n"/>
      <c r="BS6" s="317">
        <f>BS1+BS3</f>
        <v/>
      </c>
      <c r="BU6" s="318" t="n"/>
      <c r="BV6" s="256" t="n"/>
      <c r="BW6" s="256" t="n"/>
      <c r="BX6" s="256" t="n"/>
      <c r="BY6" s="256" t="n"/>
      <c r="BZ6" s="256" t="n"/>
      <c r="CA6" s="256" t="n"/>
      <c r="CB6" s="256" t="n"/>
      <c r="CC6" s="257" t="n"/>
    </row>
    <row customFormat="1" customHeight="1" ht="12.75" r="7" s="253" spans="1:150">
      <c r="A7" s="258" t="s">
        <v>49</v>
      </c>
      <c r="B7" s="319" t="n"/>
      <c r="D7" s="307" t="s">
        <v>50</v>
      </c>
      <c r="E7" s="320">
        <f>NOW()</f>
        <v/>
      </c>
      <c r="F7" s="321" t="s">
        <v>51</v>
      </c>
      <c r="G7" s="322" t="s">
        <v>52</v>
      </c>
      <c r="H7" s="321" t="s">
        <v>53</v>
      </c>
      <c r="I7" s="323" t="s">
        <v>54</v>
      </c>
      <c r="J7" s="324" t="s">
        <v>55</v>
      </c>
      <c r="K7" s="269" t="n"/>
      <c r="L7" s="269" t="n"/>
      <c r="M7" s="293" t="n"/>
      <c r="N7" s="269" t="n"/>
      <c r="O7" s="269" t="n"/>
      <c r="P7" s="270" t="n"/>
      <c r="Q7" s="270" t="n"/>
      <c r="R7" s="284" t="n"/>
      <c r="S7" s="284" t="n"/>
      <c r="T7" s="269" t="n"/>
      <c r="U7" s="270" t="n"/>
      <c r="V7" s="269" t="n"/>
      <c r="W7" s="269" t="n"/>
      <c r="X7" s="269" t="n"/>
      <c r="Y7" s="269" t="n"/>
      <c r="Z7" s="269" t="n"/>
      <c r="AA7" s="269" t="n"/>
      <c r="AB7" s="269" t="n"/>
      <c r="AC7" s="269" t="n"/>
      <c r="AD7" s="269" t="n"/>
      <c r="AE7" s="269" t="n"/>
      <c r="AF7" s="269" t="n"/>
      <c r="AG7" s="269" t="n"/>
      <c r="AH7" s="270" t="n"/>
      <c r="AI7" s="270" t="n"/>
      <c r="AJ7" s="270" t="n"/>
      <c r="AK7" s="266" t="n"/>
      <c r="AL7" s="266" t="n"/>
      <c r="AM7" s="266" t="n"/>
      <c r="AN7" s="266" t="n"/>
      <c r="AO7" s="266" t="n"/>
      <c r="AP7" s="266" t="n"/>
      <c r="AQ7" s="266" t="n"/>
      <c r="AR7" s="266" t="n"/>
      <c r="AS7" s="266" t="n"/>
      <c r="AT7" s="266" t="n"/>
      <c r="AU7" s="266" t="n"/>
      <c r="AV7" s="266" t="n"/>
      <c r="AW7" s="266" t="n"/>
      <c r="AX7" s="266" t="n"/>
      <c r="AY7" s="266" t="n"/>
      <c r="AZ7" s="266" t="n"/>
      <c r="BA7" s="266" t="n"/>
      <c r="BB7" s="266" t="n"/>
      <c r="BC7" s="266" t="n"/>
      <c r="BD7" s="266" t="n"/>
      <c r="BE7" s="266" t="n"/>
      <c r="BF7" s="266" t="n"/>
      <c r="BG7" s="325" t="s">
        <v>56</v>
      </c>
      <c r="BH7" s="323">
        <f>IF(E3="PRIVATE","ES",IF(E3="HOUSEHOLD","ES",IF(E3="GOVERNMENT","GS",0)))</f>
        <v/>
      </c>
      <c r="BI7" s="323" t="s">
        <v>57</v>
      </c>
      <c r="BJ7" s="326" t="n"/>
      <c r="BK7" s="327" t="n"/>
      <c r="BL7" s="327" t="n"/>
      <c r="BM7" s="327" t="n"/>
      <c r="BN7" s="327" t="n"/>
      <c r="BO7" s="326" t="n"/>
      <c r="BP7" s="327" t="n"/>
      <c r="BQ7" s="327" t="n"/>
      <c r="BR7" s="327" t="n"/>
      <c r="BS7" s="328" t="s">
        <v>58</v>
      </c>
      <c r="BT7" s="329" t="s">
        <v>59</v>
      </c>
      <c r="BU7" s="318" t="n"/>
      <c r="BV7" s="256" t="n"/>
      <c r="BW7" s="256" t="n"/>
      <c r="BX7" s="256" t="n"/>
      <c r="BY7" s="256" t="n"/>
      <c r="BZ7" s="256" t="n"/>
      <c r="CA7" s="256" t="n"/>
      <c r="CB7" s="256" t="n"/>
      <c r="CC7" s="257" t="n"/>
    </row>
    <row customFormat="1" customHeight="1" ht="12.75" r="8" s="253" spans="1:150">
      <c r="A8" s="258" t="s">
        <v>60</v>
      </c>
      <c r="B8" s="330" t="s">
        <v>61</v>
      </c>
      <c r="C8" s="330" t="s">
        <v>62</v>
      </c>
      <c r="D8" s="330" t="s">
        <v>63</v>
      </c>
      <c r="E8" s="330" t="s">
        <v>64</v>
      </c>
      <c r="K8" s="331">
        <f>E5</f>
        <v/>
      </c>
      <c r="L8" s="324">
        <f>E4</f>
        <v/>
      </c>
      <c r="M8" s="332">
        <f>G3</f>
        <v/>
      </c>
      <c r="N8" s="325" t="s">
        <v>65</v>
      </c>
      <c r="O8" s="325" t="s">
        <v>66</v>
      </c>
      <c r="P8" s="325" t="s">
        <v>67</v>
      </c>
      <c r="Q8" s="325" t="s">
        <v>68</v>
      </c>
      <c r="R8" s="325" t="s">
        <v>69</v>
      </c>
      <c r="S8" s="325" t="s">
        <v>65</v>
      </c>
      <c r="T8" s="325" t="s">
        <v>66</v>
      </c>
      <c r="U8" s="325" t="s">
        <v>67</v>
      </c>
      <c r="V8" s="325" t="s">
        <v>68</v>
      </c>
      <c r="W8" s="325" t="s">
        <v>70</v>
      </c>
      <c r="X8" s="325" t="s">
        <v>71</v>
      </c>
      <c r="Y8" s="325" t="s">
        <v>65</v>
      </c>
      <c r="Z8" s="325" t="s">
        <v>66</v>
      </c>
      <c r="AA8" s="325" t="s">
        <v>67</v>
      </c>
      <c r="AB8" s="325" t="s">
        <v>72</v>
      </c>
      <c r="AC8" s="325" t="s">
        <v>68</v>
      </c>
      <c r="AD8" s="325" t="s">
        <v>70</v>
      </c>
      <c r="AE8" s="325" t="s">
        <v>73</v>
      </c>
      <c r="AF8" s="325" t="s">
        <v>65</v>
      </c>
      <c r="AG8" s="325" t="s">
        <v>66</v>
      </c>
      <c r="AH8" s="325" t="s">
        <v>67</v>
      </c>
      <c r="AI8" s="325" t="s">
        <v>74</v>
      </c>
      <c r="AJ8" s="325" t="s">
        <v>75</v>
      </c>
      <c r="AK8" s="325" t="s">
        <v>68</v>
      </c>
      <c r="AL8" s="325" t="s">
        <v>70</v>
      </c>
      <c r="AM8" s="325" t="s">
        <v>76</v>
      </c>
      <c r="AN8" s="325" t="s">
        <v>77</v>
      </c>
      <c r="AO8" s="325" t="s">
        <v>65</v>
      </c>
      <c r="AP8" s="325" t="s">
        <v>66</v>
      </c>
      <c r="AQ8" s="325" t="s">
        <v>67</v>
      </c>
      <c r="AR8" s="325" t="s">
        <v>74</v>
      </c>
      <c r="AS8" s="333" t="s">
        <v>78</v>
      </c>
      <c r="AT8" s="325" t="s">
        <v>68</v>
      </c>
      <c r="AU8" s="325" t="s">
        <v>70</v>
      </c>
      <c r="AV8" s="325" t="s">
        <v>76</v>
      </c>
      <c r="AW8" s="325" t="s">
        <v>79</v>
      </c>
      <c r="AX8" s="325" t="s">
        <v>65</v>
      </c>
      <c r="AY8" s="325" t="s">
        <v>66</v>
      </c>
      <c r="AZ8" s="325" t="s">
        <v>67</v>
      </c>
      <c r="BA8" s="325" t="s">
        <v>74</v>
      </c>
      <c r="BB8" s="333" t="s">
        <v>80</v>
      </c>
      <c r="BC8" s="325" t="s">
        <v>68</v>
      </c>
      <c r="BD8" s="325" t="s">
        <v>70</v>
      </c>
      <c r="BE8" s="325" t="s">
        <v>76</v>
      </c>
      <c r="BF8" s="325" t="s">
        <v>81</v>
      </c>
      <c r="BJ8" s="323" t="s">
        <v>82</v>
      </c>
      <c r="BO8" s="331" t="s">
        <v>83</v>
      </c>
      <c r="BQ8" s="331" t="s">
        <v>84</v>
      </c>
      <c r="BR8" s="331" t="s">
        <v>59</v>
      </c>
      <c r="BU8" s="256" t="n"/>
      <c r="BV8" s="256" t="n"/>
      <c r="BX8" s="256" t="n"/>
      <c r="BY8" s="256" t="n"/>
      <c r="BZ8" s="256" t="n"/>
      <c r="CA8" s="256" t="n"/>
      <c r="CB8" s="256" t="n"/>
      <c r="CC8" s="257" t="n"/>
    </row>
    <row customHeight="1" ht="12.75" r="9" s="334" spans="1:150">
      <c r="A9" s="270" t="n">
        <v>1</v>
      </c>
      <c r="B9" s="335" t="n"/>
      <c r="C9" s="335" t="n"/>
      <c r="D9" s="335" t="n"/>
      <c r="E9" s="335" t="n"/>
      <c r="F9" s="336" t="n"/>
      <c r="G9" s="337" t="n"/>
      <c r="H9" s="338" t="n"/>
      <c r="I9" s="339" t="n"/>
      <c r="J9" s="340">
        <f>IF(L9=2008,AF9+AG9+AH9+AI9+AJ9,IF(L9=2009,AF9+AG9+AH9+AI9+AJ9,IF(L9=2010,AF9+AG9+AH9+AI9+AJ9,IF(L9=2011,AF9+AG9+AH9+AI9+AJ9,IF(L9=2012,AF9+AG9+AH9+AI9+AJ9,IF(L9=2013,AO9+AP9+AQ9+AR9+AS9,IF(L9=2014,AX9+AY9+AZ9+BA9+BB9,IF(L9=2015,AX9+AY9+AZ9+BA9+BB9))))))))</f>
        <v/>
      </c>
      <c r="K9" s="340">
        <f>K8</f>
        <v/>
      </c>
      <c r="L9" s="270">
        <f>L8</f>
        <v/>
      </c>
      <c r="M9" s="312">
        <f>M8</f>
        <v/>
      </c>
      <c r="N9" s="270">
        <f>IF(I9=0,"0",IF(I9&lt;=4999.99,"1",IF(I9&lt;=5999.99,"2",IF(I9&lt;=6999.99,"3",IF(I9&lt;=7999.99,"4",IF(I9&lt;=8999.99,"5",IF(I9&lt;=9999.99,"6",IF(I9&gt;=9999.99,"0",0))))))))</f>
        <v/>
      </c>
      <c r="O9" s="270">
        <f>IF(I9&lt;=9999.99,"0",IF(I9&lt;=10999.99,"7",IF(I9&lt;=11999.99,"8",IF(I9&lt;=12999.99,"9",IF(I9&lt;=13999.99,"10",IF(I9&lt;=14999.99,"11",IF(I9&gt;=14999.99,"0")))))))</f>
        <v/>
      </c>
      <c r="P9" s="270">
        <f>IF(I9&lt;=14999.99,"0",IF(I9&gt;=15000,"12"))</f>
        <v/>
      </c>
      <c r="Q9" s="270">
        <f>IF(J9=1,"50",IF(J9=2,"62.50",IF(J9=3,"75",IF(J9=4,"87.5",IF(J9=5,"100",IF(J9=6,"112.50",IF(J9=7,"125",IF(J9=8,"137.50",0))))))))</f>
        <v/>
      </c>
      <c r="R9" s="270">
        <f>IF(J9=9,"150",IF(J9=10,"162.50",IF(J9=11,"175",IF(J9=12,"187.50",0))))</f>
        <v/>
      </c>
      <c r="S9" s="270">
        <f>IF(I9=0,"0",IF(I9&lt;=4999.99,"1",IF(I9&lt;=5999.99,"2",IF(I9&lt;=6999.99,"3",IF(I9&lt;=7999.99,"4",IF(I9&lt;=8999.99,"5",IF(I9&lt;=9999.99,"6",IF(I9&gt;=9999.99,"0",0))))))))</f>
        <v/>
      </c>
      <c r="T9" s="270">
        <f>IF(I9&lt;=9999.99,"0",IF(I9&lt;=10999.99,"7",IF(I9&lt;=11999.99,"8",IF(I9&lt;=12999.99,"9",IF(I9&lt;=13999.99,"10",IF(I9&lt;=14999.99,"11",IF(I9&gt;=14999.99,"0")))))))</f>
        <v/>
      </c>
      <c r="U9" s="270">
        <f>IF(I9&lt;=14999.99,"0",IF(I9&lt;=15999.99,"12",IF(I9&lt;=16999.99,"13",IF(I9&lt;=17999.99,"14",IF(I9&lt;=18999.99,"15",IF(I9&lt;=19999.99,"16",IF(I9&gt;=20000,"17")))))))</f>
        <v/>
      </c>
      <c r="V9" s="341">
        <f>IF(J9=1,"50",IF(J9=2,"62.50",IF(J9=3,"75",IF(J9=4,"87.5",IF(J9=5,"100",IF(J9=6,"112.50",IF(J9=7,"125",IF(J9=8,"137.50",0))))))))</f>
        <v/>
      </c>
      <c r="W9" s="341">
        <f>IF(J9=9,"150",IF(J9=10,"162.50",IF(J9=11,"175",IF(J9=12,"187.50",IF(J9=13,"200",IF(J9=14,"212.5",IF(J9=15,"225",IF(J9=16,"237.5",0))))))))</f>
        <v/>
      </c>
      <c r="X9" s="341">
        <f>IF(J9=17,"250",0)</f>
        <v/>
      </c>
      <c r="Y9" s="270">
        <f>IF(I9=0,"0",IF(I9&lt;=4999.99,"1",IF(I9&lt;=5999.99,"2",IF(I9&lt;=6999.99,"3",IF(I9&lt;=7999.99,"4",IF(I9&lt;=8999.99,"5",IF(I9&lt;=9999.99,"6",IF(I9&gt;=9999.99,"0",0))))))))</f>
        <v/>
      </c>
      <c r="Z9" s="270">
        <f>IF(I9&lt;=9999.99,"0",IF(I9&lt;=10999.99,"7",IF(I9&lt;=11999.99,"8",IF(I9&lt;=12999.99,"9",IF(I9&lt;=13999.99,"10",IF(I9&lt;=14999.99,"11",IF(I9&gt;=14999.99,"0")))))))</f>
        <v/>
      </c>
      <c r="AA9" s="270">
        <f>IF(I9&lt;=14999.99,"0",IF(I9&lt;=15999.99,"12",IF(I9&lt;=16999.99,"13",IF(I9&lt;=17999.99,"14",IF(I9&lt;=18999.99,"15",IF(I9&lt;=19999.99,"16",IF(I9&lt;=20999.99,"17",IF(I9&gt;=20999.99,"0"))))))))</f>
        <v/>
      </c>
      <c r="AB9" s="270">
        <f>IF(I9&lt;=20999.99,"0",IF(I9&lt;=21999.99,"18",IF(I9&lt;=22999.99,"19",IF(I9&lt;=23999.99,"20",IF(I9&lt;=24999.99,"21",IF(I9&gt;=25000,"22"))))))</f>
        <v/>
      </c>
      <c r="AC9" s="341">
        <f>IF(J9=1,"50",IF(J9=2,"62.50",IF(J9=3,"75",IF(J9=4,"87.5",IF(J9=5,"100",IF(J9=6,"112.50",IF(J9=7,"125",IF(J9=8,"137.50",0))))))))</f>
        <v/>
      </c>
      <c r="AD9" s="341">
        <f>IF(J9=9,"150",IF(J9=10,"162.50",IF(J9=11,"175",IF(J9=12,"187.50",IF(J9=13,"200",IF(J9=14,"212.5",IF(J9=15,"225",IF(J9=16,"237.5",0))))))))</f>
        <v/>
      </c>
      <c r="AE9" s="341">
        <f>IF(J9=17,"250",IF(J9=18,"262.50",IF(J9=19,"275",IF(J9=20,"287.50",IF(J9=21,"300",IF(J9=22,"312.50",0))))))</f>
        <v/>
      </c>
      <c r="AF9" s="270">
        <f>IF(I9=0,"0",IF(I9&lt;=4999.99,"1",IF(I9&lt;=5999.99,"2",IF(I9&lt;=6999.99,"3",IF(I9&lt;=7999.99,"4",IF(I9&lt;=8999.99,"5",IF(I9&lt;=9999.99,"6",IF(I9&gt;=9999.99,"0",0))))))))</f>
        <v/>
      </c>
      <c r="AG9" s="270">
        <f>IF(I9&lt;=9999.99,"0",IF(I9&lt;=10999.99,"7",IF(I9&lt;=11999.99,"8",IF(I9&lt;=12999.99,"9",IF(I9&lt;=13999.99,"10",IF(I9&lt;=14999.99,"11",IF(I9&gt;=14999.99,"0")))))))</f>
        <v/>
      </c>
      <c r="AH9" s="270">
        <f>IF(I9&lt;=14999.99,"0",IF(I9&lt;=15999.99,"12",IF(I9&lt;=16999.99,"13",IF(I9&lt;=17999.99,"14",IF(I9&lt;=18999.99,"15",IF(I9&lt;=19999.99,"16",IF(I9&lt;=20999.99,"17",IF(I9&gt;=20999.99,"0"))))))))</f>
        <v/>
      </c>
      <c r="AI9" s="270">
        <f>IF(I9&lt;=20999.99,"0",IF(I9&lt;=21999.99,"18",IF(I9&lt;=22999.99,"19",IF(I9&lt;=23999.99,"20",IF(I9&lt;=24999.99,"21",IF(I9&lt;=25999.99,"22",IF(I9&lt;=26999.99,"23",IF(I9&gt;=26999.99,"0"))))))))</f>
        <v/>
      </c>
      <c r="AJ9" s="270">
        <f>IF(I9&lt;=26999.99,"0",IF(I9&lt;=27999.99,"24",IF(I9&lt;=28999.99,"25",IF(I9&lt;=29999.99,"26",IF(I9&gt;=30000,"27")))))</f>
        <v/>
      </c>
      <c r="AK9" s="341">
        <f>IF(J9=1,"50",IF(J9=2,"62.50",IF(J9=3,"75",IF(J9=4,"87.5",IF(J9=5,"100",IF(J9=6,"112.50",IF(J9=7,"125",IF(J9=8,"137.50",0))))))))</f>
        <v/>
      </c>
      <c r="AL9" s="341">
        <f>IF(J9=9,"150",IF(J9=10,"162.50",IF(J9=11,"175",IF(J9=12,"187.50",IF(J9=13,"200",IF(J9=14,"212.5",IF(J9=15,"225",IF(J9=16,"237.5",0))))))))</f>
        <v/>
      </c>
      <c r="AM9" s="341">
        <f>IF(J9=17,"250",IF(J9=18,"262.50",IF(J9=19,"275",IF(J9=20,"287.50",IF(J9=21,"300",IF(J9=22,"312.50",IF(J9=23,"325",IF(J9=24,"337.50",0))))))))</f>
        <v/>
      </c>
      <c r="AN9" s="341">
        <f>IF(J9=25,"350",IF(J9=26,"362.50",IF(J9=27,"375",0)))</f>
        <v/>
      </c>
      <c r="AO9" s="270">
        <f>IF(I9=0,"0",IF(I9&lt;=7999.99,"1",IF(I9&lt;=8999.99,"2",IF(I9&lt;=9999.99,"3",IF(I9&lt;=10999.99,"4",IF(I9&lt;=11999.99,"5",IF(I9&lt;=12999.99,"6",IF(I9&gt;=12999.99,"0",0))))))))</f>
        <v/>
      </c>
      <c r="AP9" s="270">
        <f>IF(I9&lt;=12999.99,"0",IF(I9&lt;=13999.99,"7",IF(I9&lt;=14999.99,"8",IF(I9&lt;=15999.99,"9",IF(I9&lt;=16999.99,"10",IF(I9&lt;=17999.99,"11",IF(I9&gt;=17999.99,"0")))))))</f>
        <v/>
      </c>
      <c r="AQ9" s="270">
        <f>IF(I9&lt;=17999.99,"0",IF(I9&lt;=18999.99,"12",IF(I9&lt;=19999.99,"13",IF(I9&lt;=20999.99,"14",IF(I9&lt;=21999.99,"15",IF(I9&lt;=22999.99,"16",IF(I9&lt;=23999.99,"17",IF(I9&gt;=23999.99,"0"))))))))</f>
        <v/>
      </c>
      <c r="AR9" s="270">
        <f>IF(I9&lt;=23999.99,"0",IF(I9&lt;=24999.99,"18",IF(I9&lt;=25999.99,"19",IF(I9&lt;=26999.99,"20",IF(I9&lt;=27999.99,"21",IF(I9&lt;=28999.99,"22",IF(I9&lt;=29999.99,"23",IF(I9&gt;=29999.99,"0"))))))))</f>
        <v/>
      </c>
      <c r="AS9" s="270">
        <f>IF(I9&lt;=29999.99,"0",IF(I9&lt;=30999.99,"24",IF(I9&lt;=31999.99,"25",IF(I9&lt;=32999.99,"26",IF(I9&lt;=33999.99,"27",IF(I9&lt;=34999.99,"28",IF(I9&gt;=35000,"29")))))))</f>
        <v/>
      </c>
      <c r="AT9" s="270">
        <f>IF(J9=1,"87.50",IF(J9=2,"100",IF(J9=3,"112.50",IF(J9=4,"125",IF(J9=5,"137.50",IF(J9=6,"150",IF(J9=7,"162.50",IF(J9=8,"175",0))))))))</f>
        <v/>
      </c>
      <c r="AU9" s="270">
        <f>IF(J9=9,"187.50",IF(J9=10,"200",IF(J9=11,"212.50",IF(J9=12,"225",IF(J9=13,"237.50",IF(J9=14,"250",IF(J9=15,"262.50",IF(J9=16,"275",0))))))))</f>
        <v/>
      </c>
      <c r="AV9" s="270">
        <f>IF(J9=17,"287.50",IF(J9=18,"300",IF(J9=19,"312.50",IF(J9=20,"325",IF(J9=21,"337.50",IF(J9=22,"350",IF(J9=23,"362.50",IF(J9=24,"375",0))))))))</f>
        <v/>
      </c>
      <c r="AW9" s="270">
        <f>IF(J9=25,"387.50",IF(J9=26,"400",IF(J9=27,"412.50",IF(J9=28,"425",IF(J9=29,"437.50",0)))))</f>
        <v/>
      </c>
      <c r="AX9" s="270">
        <f>IF(I9=0,"0",IF(I9&lt;=8999.99,"1",IF(I9&lt;=9999.99,"2",IF(I9&lt;=10999.99,"3",IF(I9&lt;=11999.99,"4",IF(I9&lt;=12999.99,"5",IF(I9&lt;=13999.99,"6",IF(I9&gt;=13999.99,"0",0))))))))</f>
        <v/>
      </c>
      <c r="AY9" s="270">
        <f>IF(I9&lt;=13999.99,"0",IF(I9&lt;=14999.99,"7",IF(I9&lt;=15999.99,"8",IF(I9&lt;=16999.99,"9",IF(I9&lt;=17999.99,"10",IF(I9&lt;=18999.99,"11",IF(I9&gt;=18999.99,"0")))))))</f>
        <v/>
      </c>
      <c r="AZ9" s="270">
        <f>IF(I9&lt;=18999.99,"0",IF(I9&lt;=19999.99,"12",IF(I9&lt;=20999.99,"13",IF(I9&lt;=21999.99,"14",IF(I9&lt;=22999.99,"15",IF(I9&lt;=23999.99,"16",IF(I9&lt;=24999.99,"17",IF(I9&gt;=24999.99,"0"))))))))</f>
        <v/>
      </c>
      <c r="BA9" s="270">
        <f>IF(I9&lt;=24999.99,"0",IF(I9&lt;=25999.99,"18",IF(I9&lt;=26999.99,"19",IF(I9&lt;=27999.99,"20",IF(I9&lt;=28999.99,"21",IF(I9&lt;=29999.99,"22",IF(I9&lt;=30999.99,"23",IF(I9&gt;=30999.99,"0"))))))))</f>
        <v/>
      </c>
      <c r="BB9" s="270">
        <f>IF(I9&lt;=30999.99,"0",IF(I9&lt;=31999.99,"24",IF(I9&lt;=32999.99,"25",IF(I9&lt;=33999.99,"26",IF(I9&lt;=34999.99,"27",IF(I9&gt;=35000,"28"))))))</f>
        <v/>
      </c>
      <c r="BC9" s="270">
        <f>IF(J9=1,"100",IF(J9=2,"112.50",IF(J9=3,"125",IF(J9=4,"137.50",IF(J9=5,"150",IF(J9=6,"162.50",IF(J9=7,"175",IF(J9=8,"187.50",0))))))))</f>
        <v/>
      </c>
      <c r="BD9" s="270">
        <f>IF(J9=9,"200",IF(J9=10,"212.50",IF(J9=11,"225",IF(J9=12,"237.50",IF(J9=13,"250",IF(J9=14,"262.50",IF(J9=15,"275",IF(J9=16,"287.50",0))))))))</f>
        <v/>
      </c>
      <c r="BE9" s="270">
        <f>IF(J9=17,"300",IF(J9=18,"312.50",IF(J9=19,"325",IF(J9=20,"337.50",IF(J9=21,"350",IF(J9=22,"362.50",IF(J9=23,"375",IF(J9=24,"387.50",0))))))))</f>
        <v/>
      </c>
      <c r="BF9" s="270">
        <f>IF(J9=25,"400",IF(J9=26,"412.50",IF(J9=27,"425",IF(J9=28,"437.50",0))))</f>
        <v/>
      </c>
      <c r="BG9" s="341">
        <f>IF(L9=2008,AK9+AL9+AM9+AN9,IF(L9=2009,AK9+AL9+AM9+AN9,IF(L9=2010,AK9+AL9+AM9+AN9,IF(L9=2011,AK9+AL9+AM9+AN9,IF(L9=2012,AK9+AL9+AM9+AN9,IF(L9=2013,AT9+AU9+AV9+AW9,IF(L9=2014,BC9+BD9+BE9+BF9,IF(L9=2015,BC9+BD9+BE9+BF9))))))))</f>
        <v/>
      </c>
      <c r="BH9" s="341">
        <f>IF(L9=2008,AK9+AL9+AM9+AN9,IF(L9=2009,AK9+AL9+AM9+AN9,IF(L9=2010,AK9+AL9+AM9+AN9,IF(L9=2011,AK9+AL9+AM9+AN9,IF(L9=2012,AK9+AL9+AM9+AN9,IF(L9=2013,AT9+AU9+AV9+AW9,IF(L9=2014,BC9+BD9+BE9+BF9,IF(L9=2015,BC9+BD9+BE9+BF9))))))))</f>
        <v/>
      </c>
      <c r="BI9" s="342">
        <f>IF(BH9=0,0,IF(BH9&lt;=M9,BH9,IF(BH9&gt;=M9,M9)))</f>
        <v/>
      </c>
      <c r="BJ9" s="270">
        <f>CODE(B9:B18)</f>
        <v/>
      </c>
      <c r="BK9" s="270">
        <f>ISBLANK(E9)</f>
        <v/>
      </c>
      <c r="BL9" s="270">
        <f>CODE(E9)</f>
        <v/>
      </c>
      <c r="BM9" s="270">
        <f>CHAR(BL9)</f>
        <v/>
      </c>
      <c r="BN9" s="269">
        <f>ISBLANK(F9)</f>
        <v/>
      </c>
      <c r="BO9" s="343">
        <f>ISBLANK(BS9)</f>
        <v/>
      </c>
      <c r="BP9" s="269">
        <f>ISBLANK(BT9)</f>
        <v/>
      </c>
      <c r="BQ9" s="269">
        <f>ISBLANK(G9)</f>
        <v/>
      </c>
      <c r="BR9" s="269">
        <f>TEXT(BT9,"MMDDYYYY")</f>
        <v/>
      </c>
      <c r="BS9" s="344" t="n"/>
      <c r="BT9" s="345" t="n"/>
      <c r="BU9" s="256" t="n"/>
      <c r="BV9" s="256" t="n"/>
      <c r="BZ9" s="256" t="n"/>
      <c r="CA9" s="256" t="n"/>
      <c r="CB9" s="256" t="n"/>
      <c r="CC9" s="257" t="n"/>
      <c r="DN9" s="253" t="n"/>
      <c r="DO9" s="253" t="n"/>
      <c r="DP9" s="253" t="n"/>
      <c r="DQ9" s="253" t="n"/>
      <c r="DY9" s="253" t="n"/>
      <c r="DZ9" s="253" t="n"/>
      <c r="EA9" s="253" t="n"/>
      <c r="EB9" s="253" t="n"/>
      <c r="EC9" s="253" t="n"/>
      <c r="ED9" s="253" t="n"/>
      <c r="EE9" s="253" t="n"/>
      <c r="EF9" s="253" t="n"/>
      <c r="EG9" s="253" t="n"/>
    </row>
    <row customHeight="1" ht="12.75" r="10" s="334" spans="1:150">
      <c r="A10" s="270">
        <f>A9+1</f>
        <v/>
      </c>
      <c r="B10" s="335" t="n"/>
      <c r="C10" s="335" t="n"/>
      <c r="D10" s="335" t="n"/>
      <c r="E10" s="335" t="n"/>
      <c r="F10" s="336" t="n"/>
      <c r="G10" s="337" t="n"/>
      <c r="H10" s="338" t="n"/>
      <c r="I10" s="339" t="n"/>
      <c r="J10" s="340">
        <f>IF(L10=2008,AF10+AG10+AH10+AI10+AJ10,IF(L10=2009,AF10+AG10+AH10+AI10+AJ10,IF(L10=2010,AF10+AG10+AH10+AI10+AJ10,IF(L10=2011,AF10+AG10+AH10+AI10+AJ10,IF(L10=2012,AF10+AG10+AH10+AI10+AJ10,IF(L10=2013,AO10+AP10+AQ10+AR10+AS10,IF(L10=2014,AX10+AY10+AZ10+BA10+BB10,IF(L10=2015,AX10+AY10+AZ10+BA10+BB10))))))))</f>
        <v/>
      </c>
      <c r="K10" s="340">
        <f>K9</f>
        <v/>
      </c>
      <c r="L10" s="270">
        <f>L9</f>
        <v/>
      </c>
      <c r="M10" s="312">
        <f>M9</f>
        <v/>
      </c>
      <c r="N10" s="270">
        <f>IF(I10=0,"0",IF(I10&lt;=4999.99,"1",IF(I10&lt;=5999.99,"2",IF(I10&lt;=6999.99,"3",IF(I10&lt;=7999.99,"4",IF(I10&lt;=8999.99,"5",IF(I10&lt;=9999.99,"6",IF(I10&gt;=9999.99,"0",0))))))))</f>
        <v/>
      </c>
      <c r="O10" s="270">
        <f>IF(I10&lt;=9999.99,"0",IF(I10&lt;=10999.99,"7",IF(I10&lt;=11999.99,"8",IF(I10&lt;=12999.99,"9",IF(I10&lt;=13999.99,"10",IF(I10&lt;=14999.99,"11",IF(I10&gt;=14999.99,"0")))))))</f>
        <v/>
      </c>
      <c r="P10" s="270">
        <f>IF(I10&lt;=14999.99,"0",IF(I10&gt;=15000,"12"))</f>
        <v/>
      </c>
      <c r="Q10" s="270">
        <f>IF(J10=1,"50",IF(J10=2,"62.50",IF(J10=3,"75",IF(J10=4,"87.5",IF(J10=5,"100",IF(J10=6,"112.50",IF(J10=7,"125",IF(J10=8,"137.50",0))))))))</f>
        <v/>
      </c>
      <c r="R10" s="270">
        <f>IF(J10=9,"150",IF(J10=10,"162.50",IF(J10=11,"175",IF(J10=12,"187.50",0))))</f>
        <v/>
      </c>
      <c r="S10" s="270">
        <f>IF(I10=0,"0",IF(I10&lt;=4999.99,"1",IF(I10&lt;=5999.99,"2",IF(I10&lt;=6999.99,"3",IF(I10&lt;=7999.99,"4",IF(I10&lt;=8999.99,"5",IF(I10&lt;=9999.99,"6",IF(I10&gt;=9999.99,"0",0))))))))</f>
        <v/>
      </c>
      <c r="T10" s="270">
        <f>IF(I10&lt;=9999.99,"0",IF(I10&lt;=10999.99,"7",IF(I10&lt;=11999.99,"8",IF(I10&lt;=12999.99,"9",IF(I10&lt;=13999.99,"10",IF(I10&lt;=14999.99,"11",IF(I10&gt;=14999.99,"0")))))))</f>
        <v/>
      </c>
      <c r="U10" s="270">
        <f>IF(I10&lt;=14999.99,"0",IF(I10&lt;=15999.99,"12",IF(I10&lt;=16999.99,"13",IF(I10&lt;=17999.99,"14",IF(I10&lt;=18999.99,"15",IF(I10&lt;=19999.99,"16",IF(I10&gt;=20000,"17")))))))</f>
        <v/>
      </c>
      <c r="V10" s="341">
        <f>IF(J10=1,"50",IF(J10=2,"62.50",IF(J10=3,"75",IF(J10=4,"87.5",IF(J10=5,"100",IF(J10=6,"112.50",IF(J10=7,"125",IF(J10=8,"137.50",0))))))))</f>
        <v/>
      </c>
      <c r="W10" s="341">
        <f>IF(J10=9,"150",IF(J10=10,"162.50",IF(J10=11,"175",IF(J10=12,"187.50",IF(J10=13,"200",IF(J10=14,"212.5",IF(J10=15,"225",IF(J10=16,"237.5",0))))))))</f>
        <v/>
      </c>
      <c r="X10" s="341">
        <f>IF(J10=17,"250",0)</f>
        <v/>
      </c>
      <c r="Y10" s="270">
        <f>IF(I10=0,"0",IF(I10&lt;=4999.99,"1",IF(I10&lt;=5999.99,"2",IF(I10&lt;=6999.99,"3",IF(I10&lt;=7999.99,"4",IF(I10&lt;=8999.99,"5",IF(I10&lt;=9999.99,"6",IF(I10&gt;=9999.99,"0",0))))))))</f>
        <v/>
      </c>
      <c r="Z10" s="270">
        <f>IF(I10&lt;=9999.99,"0",IF(I10&lt;=10999.99,"7",IF(I10&lt;=11999.99,"8",IF(I10&lt;=12999.99,"9",IF(I10&lt;=13999.99,"10",IF(I10&lt;=14999.99,"11",IF(I10&gt;=14999.99,"0")))))))</f>
        <v/>
      </c>
      <c r="AA10" s="270">
        <f>IF(I10&lt;=14999.99,"0",IF(I10&lt;=15999.99,"12",IF(I10&lt;=16999.99,"13",IF(I10&lt;=17999.99,"14",IF(I10&lt;=18999.99,"15",IF(I10&lt;=19999.99,"16",IF(I10&lt;=20999.99,"17",IF(I10&gt;=20999.99,"0"))))))))</f>
        <v/>
      </c>
      <c r="AB10" s="270">
        <f>IF(I10&lt;=20999.99,"0",IF(I10&lt;=21999.99,"18",IF(I10&lt;=22999.99,"19",IF(I10&lt;=23999.99,"20",IF(I10&lt;=24999.99,"21",IF(I10&gt;=25000,"22"))))))</f>
        <v/>
      </c>
      <c r="AC10" s="341">
        <f>IF(J10=1,"50",IF(J10=2,"62.50",IF(J10=3,"75",IF(J10=4,"87.5",IF(J10=5,"100",IF(J10=6,"112.50",IF(J10=7,"125",IF(J10=8,"137.50",0))))))))</f>
        <v/>
      </c>
      <c r="AD10" s="341">
        <f>IF(J10=9,"150",IF(J10=10,"162.50",IF(J10=11,"175",IF(J10=12,"187.50",IF(J10=13,"200",IF(J10=14,"212.5",IF(J10=15,"225",IF(J10=16,"237.5",0))))))))</f>
        <v/>
      </c>
      <c r="AE10" s="341">
        <f>IF(J10=17,"250",IF(J10=18,"262.50",IF(J10=19,"275",IF(J10=20,"287.50",IF(J10=21,"300",IF(J10=22,"312.50",0))))))</f>
        <v/>
      </c>
      <c r="AF10" s="270">
        <f>IF(I10=0,"0",IF(I10&lt;=4999.99,"1",IF(I10&lt;=5999.99,"2",IF(I10&lt;=6999.99,"3",IF(I10&lt;=7999.99,"4",IF(I10&lt;=8999.99,"5",IF(I10&lt;=9999.99,"6",IF(I10&gt;=9999.99,"0",0))))))))</f>
        <v/>
      </c>
      <c r="AG10" s="270">
        <f>IF(I10&lt;=9999.99,"0",IF(I10&lt;=10999.99,"7",IF(I10&lt;=11999.99,"8",IF(I10&lt;=12999.99,"9",IF(I10&lt;=13999.99,"10",IF(I10&lt;=14999.99,"11",IF(I10&gt;=14999.99,"0")))))))</f>
        <v/>
      </c>
      <c r="AH10" s="270">
        <f>IF(I10&lt;=14999.99,"0",IF(I10&lt;=15999.99,"12",IF(I10&lt;=16999.99,"13",IF(I10&lt;=17999.99,"14",IF(I10&lt;=18999.99,"15",IF(I10&lt;=19999.99,"16",IF(I10&lt;=20999.99,"17",IF(I10&gt;=20999.99,"0"))))))))</f>
        <v/>
      </c>
      <c r="AI10" s="270">
        <f>IF(I10&lt;=20999.99,"0",IF(I10&lt;=21999.99,"18",IF(I10&lt;=22999.99,"19",IF(I10&lt;=23999.99,"20",IF(I10&lt;=24999.99,"21",IF(I10&lt;=25999.99,"22",IF(I10&lt;=26999.99,"23",IF(I10&gt;=26999.99,"0"))))))))</f>
        <v/>
      </c>
      <c r="AJ10" s="270">
        <f>IF(I10&lt;=26999.99,"0",IF(I10&lt;=27999.99,"24",IF(I10&lt;=28999.99,"25",IF(I10&lt;=29999.99,"26",IF(I10&gt;=30000,"27")))))</f>
        <v/>
      </c>
      <c r="AK10" s="341">
        <f>IF(J10=1,"50",IF(J10=2,"62.50",IF(J10=3,"75",IF(J10=4,"87.5",IF(J10=5,"100",IF(J10=6,"112.50",IF(J10=7,"125",IF(J10=8,"137.50",0))))))))</f>
        <v/>
      </c>
      <c r="AL10" s="341">
        <f>IF(J10=9,"150",IF(J10=10,"162.50",IF(J10=11,"175",IF(J10=12,"187.50",IF(J10=13,"200",IF(J10=14,"212.5",IF(J10=15,"225",IF(J10=16,"237.5",0))))))))</f>
        <v/>
      </c>
      <c r="AM10" s="341">
        <f>IF(J10=17,"250",IF(J10=18,"262.50",IF(J10=19,"275",IF(J10=20,"287.50",IF(J10=21,"300",IF(J10=22,"312.50",IF(J10=23,"325",IF(J10=24,"337.50",0))))))))</f>
        <v/>
      </c>
      <c r="AN10" s="341">
        <f>IF(J10=25,"350",IF(J10=26,"362.50",IF(J10=27,"375",0)))</f>
        <v/>
      </c>
      <c r="AO10" s="270">
        <f>IF(I10=0,"0",IF(I10&lt;=7999.99,"1",IF(I10&lt;=8999.99,"2",IF(I10&lt;=9999.99,"3",IF(I10&lt;=10999.99,"4",IF(I10&lt;=11999.99,"5",IF(I10&lt;=12999.99,"6",IF(I10&gt;=12999.99,"0",0))))))))</f>
        <v/>
      </c>
      <c r="AP10" s="270">
        <f>IF(I10&lt;=12999.99,"0",IF(I10&lt;=13999.99,"7",IF(I10&lt;=14999.99,"8",IF(I10&lt;=15999.99,"9",IF(I10&lt;=16999.99,"10",IF(I10&lt;=17999.99,"11",IF(I10&gt;=17999.99,"0")))))))</f>
        <v/>
      </c>
      <c r="AQ10" s="270">
        <f>IF(I10&lt;=17999.99,"0",IF(I10&lt;=18999.99,"12",IF(I10&lt;=19999.99,"13",IF(I10&lt;=20999.99,"14",IF(I10&lt;=21999.99,"15",IF(I10&lt;=22999.99,"16",IF(I10&lt;=23999.99,"17",IF(I10&gt;=23999.99,"0"))))))))</f>
        <v/>
      </c>
      <c r="AR10" s="270">
        <f>IF(I10&lt;=23999.99,"0",IF(I10&lt;=24999.99,"18",IF(I10&lt;=25999.99,"19",IF(I10&lt;=26999.99,"20",IF(I10&lt;=27999.99,"21",IF(I10&lt;=28999.99,"22",IF(I10&lt;=29999.99,"23",IF(I10&gt;=29999.99,"0"))))))))</f>
        <v/>
      </c>
      <c r="AS10" s="270">
        <f>IF(I10&lt;=29999.99,"0",IF(I10&lt;=30999.99,"24",IF(I10&lt;=31999.99,"25",IF(I10&lt;=32999.99,"26",IF(I10&lt;=33999.99,"27",IF(I10&lt;=34999.99,"28",IF(I10&gt;=35000,"29")))))))</f>
        <v/>
      </c>
      <c r="AT10" s="270">
        <f>IF(J10=1,"87.50",IF(J10=2,"100",IF(J10=3,"112.50",IF(J10=4,"125",IF(J10=5,"137.50",IF(J10=6,"150",IF(J10=7,"162.50",IF(J10=8,"175",0))))))))</f>
        <v/>
      </c>
      <c r="AU10" s="270">
        <f>IF(J10=9,"187.50",IF(J10=10,"200",IF(J10=11,"212.50",IF(J10=12,"225",IF(J10=13,"237.50",IF(J10=14,"250",IF(J10=15,"262.50",IF(J10=16,"275",0))))))))</f>
        <v/>
      </c>
      <c r="AV10" s="270">
        <f>IF(J10=17,"287.50",IF(J10=18,"300",IF(J10=19,"312.50",IF(J10=20,"325",IF(J10=21,"337.50",IF(J10=22,"350",IF(J10=23,"362.50",IF(J10=24,"375",0))))))))</f>
        <v/>
      </c>
      <c r="AW10" s="270">
        <f>IF(J10=25,"387.50",IF(J10=26,"400",IF(J10=27,"412.50",IF(J10=28,"425",IF(J10=29,"437.50",0)))))</f>
        <v/>
      </c>
      <c r="AX10" s="270">
        <f>IF(I10=0,"0",IF(I10&lt;=8999.99,"1",IF(I10&lt;=9999.99,"2",IF(I10&lt;=10999.99,"3",IF(I10&lt;=11999.99,"4",IF(I10&lt;=12999.99,"5",IF(I10&lt;=13999.99,"6",IF(I10&gt;=13999.99,"0",0))))))))</f>
        <v/>
      </c>
      <c r="AY10" s="270">
        <f>IF(I10&lt;=13999.99,"0",IF(I10&lt;=14999.99,"7",IF(I10&lt;=15999.99,"8",IF(I10&lt;=16999.99,"9",IF(I10&lt;=17999.99,"10",IF(I10&lt;=18999.99,"11",IF(I10&gt;=18999.99,"0")))))))</f>
        <v/>
      </c>
      <c r="AZ10" s="270">
        <f>IF(I10&lt;=18999.99,"0",IF(I10&lt;=19999.99,"12",IF(I10&lt;=20999.99,"13",IF(I10&lt;=21999.99,"14",IF(I10&lt;=22999.99,"15",IF(I10&lt;=23999.99,"16",IF(I10&lt;=24999.99,"17",IF(I10&gt;=24999.99,"0"))))))))</f>
        <v/>
      </c>
      <c r="BA10" s="270">
        <f>IF(I10&lt;=24999.99,"0",IF(I10&lt;=25999.99,"18",IF(I10&lt;=26999.99,"19",IF(I10&lt;=27999.99,"20",IF(I10&lt;=28999.99,"21",IF(I10&lt;=29999.99,"22",IF(I10&lt;=30999.99,"23",IF(I10&gt;=30999.99,"0"))))))))</f>
        <v/>
      </c>
      <c r="BB10" s="270">
        <f>IF(I10&lt;=30999.99,"0",IF(I10&lt;=31999.99,"24",IF(I10&lt;=32999.99,"25",IF(I10&lt;=33999.99,"26",IF(I10&lt;=34999.99,"27",IF(I10&gt;=35000,"28"))))))</f>
        <v/>
      </c>
      <c r="BC10" s="270">
        <f>IF(J10=1,"100",IF(J10=2,"112.50",IF(J10=3,"125",IF(J10=4,"137.50",IF(J10=5,"150",IF(J10=6,"162.50",IF(J10=7,"175",IF(J10=8,"187.50",0))))))))</f>
        <v/>
      </c>
      <c r="BD10" s="270">
        <f>IF(J10=9,"200",IF(J10=10,"212.50",IF(J10=11,"225",IF(J10=12,"237.50",IF(J10=13,"250",IF(J10=14,"262.50",IF(J10=15,"275",IF(J10=16,"287.50",0))))))))</f>
        <v/>
      </c>
      <c r="BE10" s="270">
        <f>IF(J10=17,"300",IF(J10=18,"312.50",IF(J10=19,"325",IF(J10=20,"337.50",IF(J10=21,"350",IF(J10=22,"362.50",IF(J10=23,"375",IF(J10=24,"387.50",0))))))))</f>
        <v/>
      </c>
      <c r="BF10" s="270">
        <f>IF(J10=25,"400",IF(J10=26,"412.50",IF(J10=27,"425",IF(J10=28,"437.50",0))))</f>
        <v/>
      </c>
      <c r="BG10" s="341">
        <f>IF(L10=2008,AK10+AL10+AM10+AN10,IF(L10=2009,AK10+AL10+AM10+AN10,IF(L10=2010,AK10+AL10+AM10+AN10,IF(L10=2011,AK10+AL10+AM10+AN10,IF(L10=2012,AK10+AL10+AM10+AN10,IF(L10=2013,AT10+AU10+AV10+AW10,IF(L10=2014,BC10+BD10+BE10+BF10,IF(L10=2015,BC10+BD10+BE10+BF10))))))))</f>
        <v/>
      </c>
      <c r="BH10" s="341">
        <f>IF(L10=2008,AK10+AL10+AM10+AN10,IF(L10=2009,AK10+AL10+AM10+AN10,IF(L10=2010,AK10+AL10+AM10+AN10,IF(L10=2011,AK10+AL10+AM10+AN10,IF(L10=2012,AK10+AL10+AM10+AN10,IF(L10=2013,AT10+AU10+AV10+AW10,IF(L10=2014,BC10+BD10+BE10+BF10,IF(L10=2015,BC10+BD10+BE10+BF10))))))))</f>
        <v/>
      </c>
      <c r="BI10" s="342">
        <f>IF(BH10=0,0,IF(BH10&lt;=M10,BH10,IF(BH10&gt;=M10,M10)))</f>
        <v/>
      </c>
      <c r="BJ10" s="270">
        <f>CODE(B10:B19)</f>
        <v/>
      </c>
      <c r="BK10" s="270">
        <f>ISBLANK(E10)</f>
        <v/>
      </c>
      <c r="BL10" s="270">
        <f>CODE(E10)</f>
        <v/>
      </c>
      <c r="BM10" s="270">
        <f>CHAR(BL10)</f>
        <v/>
      </c>
      <c r="BN10" s="269">
        <f>ISBLANK(F10)</f>
        <v/>
      </c>
      <c r="BO10" s="343">
        <f>ISBLANK(BS10)</f>
        <v/>
      </c>
      <c r="BP10" s="269">
        <f>ISBLANK(BT10)</f>
        <v/>
      </c>
      <c r="BQ10" s="269">
        <f>ISBLANK(G10)</f>
        <v/>
      </c>
      <c r="BR10" s="269">
        <f>TEXT(BT10,"MMDDYYYY")</f>
        <v/>
      </c>
      <c r="BS10" s="344" t="n"/>
      <c r="BT10" s="345" t="n"/>
      <c r="BU10" s="256" t="n"/>
      <c r="BV10" s="256" t="n"/>
      <c r="BW10" s="256" t="n"/>
      <c r="BZ10" s="256" t="n"/>
      <c r="CA10" s="256" t="n"/>
      <c r="CB10" s="256" t="n"/>
      <c r="CC10" s="257" t="n"/>
      <c r="DN10" s="253" t="n"/>
      <c r="DO10" s="253" t="n"/>
      <c r="DP10" s="253" t="n"/>
      <c r="DQ10" s="253" t="n"/>
      <c r="DY10" s="253" t="n"/>
      <c r="DZ10" s="253" t="n"/>
      <c r="EA10" s="253" t="n"/>
      <c r="EB10" s="253" t="n"/>
      <c r="EC10" s="253" t="n"/>
      <c r="ED10" s="253" t="n"/>
      <c r="EE10" s="253" t="n"/>
      <c r="EF10" s="253" t="n"/>
      <c r="EG10" s="253" t="n"/>
    </row>
    <row customHeight="1" ht="12.75" r="11" s="334" spans="1:150">
      <c r="A11" s="270">
        <f>A10+1</f>
        <v/>
      </c>
      <c r="B11" s="335" t="n"/>
      <c r="C11" s="335" t="n"/>
      <c r="D11" s="335" t="n"/>
      <c r="E11" s="335" t="n"/>
      <c r="F11" s="336" t="n"/>
      <c r="G11" s="337" t="n"/>
      <c r="H11" s="338" t="n"/>
      <c r="I11" s="339" t="n"/>
      <c r="J11" s="340">
        <f>IF(L11=2008,AF11+AG11+AH11+AI11+AJ11,IF(L11=2009,AF11+AG11+AH11+AI11+AJ11,IF(L11=2010,AF11+AG11+AH11+AI11+AJ11,IF(L11=2011,AF11+AG11+AH11+AI11+AJ11,IF(L11=2012,AF11+AG11+AH11+AI11+AJ11,IF(L11=2013,AO11+AP11+AQ11+AR11+AS11,IF(L11=2014,AX11+AY11+AZ11+BA11+BB11,IF(L11=2015,AX11+AY11+AZ11+BA11+BB11))))))))</f>
        <v/>
      </c>
      <c r="K11" s="340">
        <f>K10</f>
        <v/>
      </c>
      <c r="L11" s="270">
        <f>L10</f>
        <v/>
      </c>
      <c r="M11" s="312">
        <f>M10</f>
        <v/>
      </c>
      <c r="N11" s="270">
        <f>IF(I11=0,"0",IF(I11&lt;=4999.99,"1",IF(I11&lt;=5999.99,"2",IF(I11&lt;=6999.99,"3",IF(I11&lt;=7999.99,"4",IF(I11&lt;=8999.99,"5",IF(I11&lt;=9999.99,"6",IF(I11&gt;=9999.99,"0",0))))))))</f>
        <v/>
      </c>
      <c r="O11" s="270">
        <f>IF(I11&lt;=9999.99,"0",IF(I11&lt;=10999.99,"7",IF(I11&lt;=11999.99,"8",IF(I11&lt;=12999.99,"9",IF(I11&lt;=13999.99,"10",IF(I11&lt;=14999.99,"11",IF(I11&gt;=14999.99,"0")))))))</f>
        <v/>
      </c>
      <c r="P11" s="270">
        <f>IF(I11&lt;=14999.99,"0",IF(I11&gt;=15000,"12"))</f>
        <v/>
      </c>
      <c r="Q11" s="270">
        <f>IF(J11=1,"50",IF(J11=2,"62.50",IF(J11=3,"75",IF(J11=4,"87.5",IF(J11=5,"100",IF(J11=6,"112.50",IF(J11=7,"125",IF(J11=8,"137.50",0))))))))</f>
        <v/>
      </c>
      <c r="R11" s="270">
        <f>IF(J11=9,"150",IF(J11=10,"162.50",IF(J11=11,"175",IF(J11=12,"187.50",0))))</f>
        <v/>
      </c>
      <c r="S11" s="270">
        <f>IF(I11=0,"0",IF(I11&lt;=4999.99,"1",IF(I11&lt;=5999.99,"2",IF(I11&lt;=6999.99,"3",IF(I11&lt;=7999.99,"4",IF(I11&lt;=8999.99,"5",IF(I11&lt;=9999.99,"6",IF(I11&gt;=9999.99,"0",0))))))))</f>
        <v/>
      </c>
      <c r="T11" s="270">
        <f>IF(I11&lt;=9999.99,"0",IF(I11&lt;=10999.99,"7",IF(I11&lt;=11999.99,"8",IF(I11&lt;=12999.99,"9",IF(I11&lt;=13999.99,"10",IF(I11&lt;=14999.99,"11",IF(I11&gt;=14999.99,"0")))))))</f>
        <v/>
      </c>
      <c r="U11" s="270">
        <f>IF(I11&lt;=14999.99,"0",IF(I11&lt;=15999.99,"12",IF(I11&lt;=16999.99,"13",IF(I11&lt;=17999.99,"14",IF(I11&lt;=18999.99,"15",IF(I11&lt;=19999.99,"16",IF(I11&gt;=20000,"17")))))))</f>
        <v/>
      </c>
      <c r="V11" s="341">
        <f>IF(J11=1,"50",IF(J11=2,"62.50",IF(J11=3,"75",IF(J11=4,"87.5",IF(J11=5,"100",IF(J11=6,"112.50",IF(J11=7,"125",IF(J11=8,"137.50",0))))))))</f>
        <v/>
      </c>
      <c r="W11" s="341">
        <f>IF(J11=9,"150",IF(J11=10,"162.50",IF(J11=11,"175",IF(J11=12,"187.50",IF(J11=13,"200",IF(J11=14,"212.5",IF(J11=15,"225",IF(J11=16,"237.5",0))))))))</f>
        <v/>
      </c>
      <c r="X11" s="341">
        <f>IF(J11=17,"250",0)</f>
        <v/>
      </c>
      <c r="Y11" s="270">
        <f>IF(I11=0,"0",IF(I11&lt;=4999.99,"1",IF(I11&lt;=5999.99,"2",IF(I11&lt;=6999.99,"3",IF(I11&lt;=7999.99,"4",IF(I11&lt;=8999.99,"5",IF(I11&lt;=9999.99,"6",IF(I11&gt;=9999.99,"0",0))))))))</f>
        <v/>
      </c>
      <c r="Z11" s="270">
        <f>IF(I11&lt;=9999.99,"0",IF(I11&lt;=10999.99,"7",IF(I11&lt;=11999.99,"8",IF(I11&lt;=12999.99,"9",IF(I11&lt;=13999.99,"10",IF(I11&lt;=14999.99,"11",IF(I11&gt;=14999.99,"0")))))))</f>
        <v/>
      </c>
      <c r="AA11" s="270">
        <f>IF(I11&lt;=14999.99,"0",IF(I11&lt;=15999.99,"12",IF(I11&lt;=16999.99,"13",IF(I11&lt;=17999.99,"14",IF(I11&lt;=18999.99,"15",IF(I11&lt;=19999.99,"16",IF(I11&lt;=20999.99,"17",IF(I11&gt;=20999.99,"0"))))))))</f>
        <v/>
      </c>
      <c r="AB11" s="270">
        <f>IF(I11&lt;=20999.99,"0",IF(I11&lt;=21999.99,"18",IF(I11&lt;=22999.99,"19",IF(I11&lt;=23999.99,"20",IF(I11&lt;=24999.99,"21",IF(I11&gt;=25000,"22"))))))</f>
        <v/>
      </c>
      <c r="AC11" s="341">
        <f>IF(J11=1,"50",IF(J11=2,"62.50",IF(J11=3,"75",IF(J11=4,"87.5",IF(J11=5,"100",IF(J11=6,"112.50",IF(J11=7,"125",IF(J11=8,"137.50",0))))))))</f>
        <v/>
      </c>
      <c r="AD11" s="341">
        <f>IF(J11=9,"150",IF(J11=10,"162.50",IF(J11=11,"175",IF(J11=12,"187.50",IF(J11=13,"200",IF(J11=14,"212.5",IF(J11=15,"225",IF(J11=16,"237.5",0))))))))</f>
        <v/>
      </c>
      <c r="AE11" s="341">
        <f>IF(J11=17,"250",IF(J11=18,"262.50",IF(J11=19,"275",IF(J11=20,"287.50",IF(J11=21,"300",IF(J11=22,"312.50",0))))))</f>
        <v/>
      </c>
      <c r="AF11" s="270">
        <f>IF(I11=0,"0",IF(I11&lt;=4999.99,"1",IF(I11&lt;=5999.99,"2",IF(I11&lt;=6999.99,"3",IF(I11&lt;=7999.99,"4",IF(I11&lt;=8999.99,"5",IF(I11&lt;=9999.99,"6",IF(I11&gt;=9999.99,"0",0))))))))</f>
        <v/>
      </c>
      <c r="AG11" s="270">
        <f>IF(I11&lt;=9999.99,"0",IF(I11&lt;=10999.99,"7",IF(I11&lt;=11999.99,"8",IF(I11&lt;=12999.99,"9",IF(I11&lt;=13999.99,"10",IF(I11&lt;=14999.99,"11",IF(I11&gt;=14999.99,"0")))))))</f>
        <v/>
      </c>
      <c r="AH11" s="270">
        <f>IF(I11&lt;=14999.99,"0",IF(I11&lt;=15999.99,"12",IF(I11&lt;=16999.99,"13",IF(I11&lt;=17999.99,"14",IF(I11&lt;=18999.99,"15",IF(I11&lt;=19999.99,"16",IF(I11&lt;=20999.99,"17",IF(I11&gt;=20999.99,"0"))))))))</f>
        <v/>
      </c>
      <c r="AI11" s="270">
        <f>IF(I11&lt;=20999.99,"0",IF(I11&lt;=21999.99,"18",IF(I11&lt;=22999.99,"19",IF(I11&lt;=23999.99,"20",IF(I11&lt;=24999.99,"21",IF(I11&lt;=25999.99,"22",IF(I11&lt;=26999.99,"23",IF(I11&gt;=26999.99,"0"))))))))</f>
        <v/>
      </c>
      <c r="AJ11" s="270">
        <f>IF(I11&lt;=26999.99,"0",IF(I11&lt;=27999.99,"24",IF(I11&lt;=28999.99,"25",IF(I11&lt;=29999.99,"26",IF(I11&gt;=30000,"27")))))</f>
        <v/>
      </c>
      <c r="AK11" s="341">
        <f>IF(J11=1,"50",IF(J11=2,"62.50",IF(J11=3,"75",IF(J11=4,"87.5",IF(J11=5,"100",IF(J11=6,"112.50",IF(J11=7,"125",IF(J11=8,"137.50",0))))))))</f>
        <v/>
      </c>
      <c r="AL11" s="341">
        <f>IF(J11=9,"150",IF(J11=10,"162.50",IF(J11=11,"175",IF(J11=12,"187.50",IF(J11=13,"200",IF(J11=14,"212.5",IF(J11=15,"225",IF(J11=16,"237.5",0))))))))</f>
        <v/>
      </c>
      <c r="AM11" s="341">
        <f>IF(J11=17,"250",IF(J11=18,"262.50",IF(J11=19,"275",IF(J11=20,"287.50",IF(J11=21,"300",IF(J11=22,"312.50",IF(J11=23,"325",IF(J11=24,"337.50",0))))))))</f>
        <v/>
      </c>
      <c r="AN11" s="341">
        <f>IF(J11=25,"350",IF(J11=26,"362.50",IF(J11=27,"375",0)))</f>
        <v/>
      </c>
      <c r="AO11" s="270">
        <f>IF(I11=0,"0",IF(I11&lt;=7999.99,"1",IF(I11&lt;=8999.99,"2",IF(I11&lt;=9999.99,"3",IF(I11&lt;=10999.99,"4",IF(I11&lt;=11999.99,"5",IF(I11&lt;=12999.99,"6",IF(I11&gt;=12999.99,"0",0))))))))</f>
        <v/>
      </c>
      <c r="AP11" s="270">
        <f>IF(I11&lt;=12999.99,"0",IF(I11&lt;=13999.99,"7",IF(I11&lt;=14999.99,"8",IF(I11&lt;=15999.99,"9",IF(I11&lt;=16999.99,"10",IF(I11&lt;=17999.99,"11",IF(I11&gt;=17999.99,"0")))))))</f>
        <v/>
      </c>
      <c r="AQ11" s="270">
        <f>IF(I11&lt;=17999.99,"0",IF(I11&lt;=18999.99,"12",IF(I11&lt;=19999.99,"13",IF(I11&lt;=20999.99,"14",IF(I11&lt;=21999.99,"15",IF(I11&lt;=22999.99,"16",IF(I11&lt;=23999.99,"17",IF(I11&gt;=23999.99,"0"))))))))</f>
        <v/>
      </c>
      <c r="AR11" s="270">
        <f>IF(I11&lt;=23999.99,"0",IF(I11&lt;=24999.99,"18",IF(I11&lt;=25999.99,"19",IF(I11&lt;=26999.99,"20",IF(I11&lt;=27999.99,"21",IF(I11&lt;=28999.99,"22",IF(I11&lt;=29999.99,"23",IF(I11&gt;=29999.99,"0"))))))))</f>
        <v/>
      </c>
      <c r="AS11" s="270">
        <f>IF(I11&lt;=29999.99,"0",IF(I11&lt;=30999.99,"24",IF(I11&lt;=31999.99,"25",IF(I11&lt;=32999.99,"26",IF(I11&lt;=33999.99,"27",IF(I11&lt;=34999.99,"28",IF(I11&gt;=35000,"29")))))))</f>
        <v/>
      </c>
      <c r="AT11" s="270">
        <f>IF(J11=1,"87.50",IF(J11=2,"100",IF(J11=3,"112.50",IF(J11=4,"125",IF(J11=5,"137.50",IF(J11=6,"150",IF(J11=7,"162.50",IF(J11=8,"175",0))))))))</f>
        <v/>
      </c>
      <c r="AU11" s="270">
        <f>IF(J11=9,"187.50",IF(J11=10,"200",IF(J11=11,"212.50",IF(J11=12,"225",IF(J11=13,"237.50",IF(J11=14,"250",IF(J11=15,"262.50",IF(J11=16,"275",0))))))))</f>
        <v/>
      </c>
      <c r="AV11" s="270">
        <f>IF(J11=17,"287.50",IF(J11=18,"300",IF(J11=19,"312.50",IF(J11=20,"325",IF(J11=21,"337.50",IF(J11=22,"350",IF(J11=23,"362.50",IF(J11=24,"375",0))))))))</f>
        <v/>
      </c>
      <c r="AW11" s="270">
        <f>IF(J11=25,"387.50",IF(J11=26,"400",IF(J11=27,"412.50",IF(J11=28,"425",IF(J11=29,"437.50",0)))))</f>
        <v/>
      </c>
      <c r="AX11" s="270">
        <f>IF(I11=0,"0",IF(I11&lt;=8999.99,"1",IF(I11&lt;=9999.99,"2",IF(I11&lt;=10999.99,"3",IF(I11&lt;=11999.99,"4",IF(I11&lt;=12999.99,"5",IF(I11&lt;=13999.99,"6",IF(I11&gt;=13999.99,"0",0))))))))</f>
        <v/>
      </c>
      <c r="AY11" s="270">
        <f>IF(I11&lt;=13999.99,"0",IF(I11&lt;=14999.99,"7",IF(I11&lt;=15999.99,"8",IF(I11&lt;=16999.99,"9",IF(I11&lt;=17999.99,"10",IF(I11&lt;=18999.99,"11",IF(I11&gt;=18999.99,"0")))))))</f>
        <v/>
      </c>
      <c r="AZ11" s="270">
        <f>IF(I11&lt;=18999.99,"0",IF(I11&lt;=19999.99,"12",IF(I11&lt;=20999.99,"13",IF(I11&lt;=21999.99,"14",IF(I11&lt;=22999.99,"15",IF(I11&lt;=23999.99,"16",IF(I11&lt;=24999.99,"17",IF(I11&gt;=24999.99,"0"))))))))</f>
        <v/>
      </c>
      <c r="BA11" s="270">
        <f>IF(I11&lt;=24999.99,"0",IF(I11&lt;=25999.99,"18",IF(I11&lt;=26999.99,"19",IF(I11&lt;=27999.99,"20",IF(I11&lt;=28999.99,"21",IF(I11&lt;=29999.99,"22",IF(I11&lt;=30999.99,"23",IF(I11&gt;=30999.99,"0"))))))))</f>
        <v/>
      </c>
      <c r="BB11" s="270">
        <f>IF(I11&lt;=30999.99,"0",IF(I11&lt;=31999.99,"24",IF(I11&lt;=32999.99,"25",IF(I11&lt;=33999.99,"26",IF(I11&lt;=34999.99,"27",IF(I11&gt;=35000,"28"))))))</f>
        <v/>
      </c>
      <c r="BC11" s="270">
        <f>IF(J11=1,"100",IF(J11=2,"112.50",IF(J11=3,"125",IF(J11=4,"137.50",IF(J11=5,"150",IF(J11=6,"162.50",IF(J11=7,"175",IF(J11=8,"187.50",0))))))))</f>
        <v/>
      </c>
      <c r="BD11" s="270">
        <f>IF(J11=9,"200",IF(J11=10,"212.50",IF(J11=11,"225",IF(J11=12,"237.50",IF(J11=13,"250",IF(J11=14,"262.50",IF(J11=15,"275",IF(J11=16,"287.50",0))))))))</f>
        <v/>
      </c>
      <c r="BE11" s="270">
        <f>IF(J11=17,"300",IF(J11=18,"312.50",IF(J11=19,"325",IF(J11=20,"337.50",IF(J11=21,"350",IF(J11=22,"362.50",IF(J11=23,"375",IF(J11=24,"387.50",0))))))))</f>
        <v/>
      </c>
      <c r="BF11" s="270">
        <f>IF(J11=25,"400",IF(J11=26,"412.50",IF(J11=27,"425",IF(J11=28,"437.50",0))))</f>
        <v/>
      </c>
      <c r="BG11" s="341">
        <f>IF(L11=2008,AK11+AL11+AM11+AN11,IF(L11=2009,AK11+AL11+AM11+AN11,IF(L11=2010,AK11+AL11+AM11+AN11,IF(L11=2011,AK11+AL11+AM11+AN11,IF(L11=2012,AK11+AL11+AM11+AN11,IF(L11=2013,AT11+AU11+AV11+AW11,IF(L11=2014,BC11+BD11+BE11+BF11,IF(L11=2015,BC11+BD11+BE11+BF11))))))))</f>
        <v/>
      </c>
      <c r="BH11" s="341">
        <f>IF(L11=2008,AK11+AL11+AM11+AN11,IF(L11=2009,AK11+AL11+AM11+AN11,IF(L11=2010,AK11+AL11+AM11+AN11,IF(L11=2011,AK11+AL11+AM11+AN11,IF(L11=2012,AK11+AL11+AM11+AN11,IF(L11=2013,AT11+AU11+AV11+AW11,IF(L11=2014,BC11+BD11+BE11+BF11,IF(L11=2015,BC11+BD11+BE11+BF11))))))))</f>
        <v/>
      </c>
      <c r="BI11" s="342">
        <f>IF(BH11=0,0,IF(BH11&lt;=M11,BH11,IF(BH11&gt;=M11,M11)))</f>
        <v/>
      </c>
      <c r="BJ11" s="270">
        <f>CODE(B11:B20)</f>
        <v/>
      </c>
      <c r="BK11" s="270">
        <f>ISBLANK(E11)</f>
        <v/>
      </c>
      <c r="BL11" s="270">
        <f>CODE(E11)</f>
        <v/>
      </c>
      <c r="BM11" s="270">
        <f>CHAR(BL11)</f>
        <v/>
      </c>
      <c r="BN11" s="269">
        <f>ISBLANK(F11)</f>
        <v/>
      </c>
      <c r="BO11" s="343">
        <f>ISBLANK(BS11)</f>
        <v/>
      </c>
      <c r="BP11" s="269">
        <f>ISBLANK(BT11)</f>
        <v/>
      </c>
      <c r="BQ11" s="269">
        <f>ISBLANK(G11)</f>
        <v/>
      </c>
      <c r="BR11" s="269">
        <f>TEXT(BT11,"MMDDYYYY")</f>
        <v/>
      </c>
      <c r="BS11" s="344" t="n"/>
      <c r="BT11" s="345" t="n"/>
      <c r="BU11" s="256" t="n"/>
      <c r="BV11" s="256" t="n"/>
      <c r="BW11" s="256" t="n"/>
      <c r="BX11" s="256" t="n"/>
      <c r="BY11" s="256" t="n"/>
      <c r="BZ11" s="256" t="n"/>
      <c r="CA11" s="256" t="n"/>
      <c r="CB11" s="256" t="n"/>
      <c r="CC11" s="257" t="n"/>
      <c r="DN11" s="253" t="n"/>
      <c r="DO11" s="253" t="n"/>
      <c r="DP11" s="253" t="n"/>
      <c r="DQ11" s="253" t="n"/>
      <c r="DY11" s="253" t="n"/>
      <c r="DZ11" s="253" t="n"/>
      <c r="EA11" s="253" t="n"/>
      <c r="EB11" s="253" t="n"/>
      <c r="EC11" s="253" t="n"/>
      <c r="ED11" s="253" t="n"/>
      <c r="EE11" s="253" t="n"/>
      <c r="EF11" s="253" t="n"/>
      <c r="EG11" s="253" t="n"/>
    </row>
    <row customHeight="1" ht="12.75" r="12" s="334" spans="1:150">
      <c r="A12" s="270">
        <f>A11+1</f>
        <v/>
      </c>
      <c r="B12" s="335" t="n"/>
      <c r="C12" s="335" t="n"/>
      <c r="D12" s="335" t="n"/>
      <c r="E12" s="335" t="n"/>
      <c r="F12" s="336" t="n"/>
      <c r="G12" s="337" t="n"/>
      <c r="H12" s="338" t="n"/>
      <c r="I12" s="339" t="n"/>
      <c r="J12" s="340">
        <f>IF(L12=2008,AF12+AG12+AH12+AI12+AJ12,IF(L12=2009,AF12+AG12+AH12+AI12+AJ12,IF(L12=2010,AF12+AG12+AH12+AI12+AJ12,IF(L12=2011,AF12+AG12+AH12+AI12+AJ12,IF(L12=2012,AF12+AG12+AH12+AI12+AJ12,IF(L12=2013,AO12+AP12+AQ12+AR12+AS12,IF(L12=2014,AX12+AY12+AZ12+BA12+BB12,IF(L12=2015,AX12+AY12+AZ12+BA12+BB12))))))))</f>
        <v/>
      </c>
      <c r="K12" s="340">
        <f>K11</f>
        <v/>
      </c>
      <c r="L12" s="270">
        <f>L11</f>
        <v/>
      </c>
      <c r="M12" s="312">
        <f>M11</f>
        <v/>
      </c>
      <c r="N12" s="270">
        <f>IF(I12=0,"0",IF(I12&lt;=4999.99,"1",IF(I12&lt;=5999.99,"2",IF(I12&lt;=6999.99,"3",IF(I12&lt;=7999.99,"4",IF(I12&lt;=8999.99,"5",IF(I12&lt;=9999.99,"6",IF(I12&gt;=9999.99,"0",0))))))))</f>
        <v/>
      </c>
      <c r="O12" s="270">
        <f>IF(I12&lt;=9999.99,"0",IF(I12&lt;=10999.99,"7",IF(I12&lt;=11999.99,"8",IF(I12&lt;=12999.99,"9",IF(I12&lt;=13999.99,"10",IF(I12&lt;=14999.99,"11",IF(I12&gt;=14999.99,"0")))))))</f>
        <v/>
      </c>
      <c r="P12" s="270">
        <f>IF(I12&lt;=14999.99,"0",IF(I12&gt;=15000,"12"))</f>
        <v/>
      </c>
      <c r="Q12" s="270">
        <f>IF(J12=1,"50",IF(J12=2,"62.50",IF(J12=3,"75",IF(J12=4,"87.5",IF(J12=5,"100",IF(J12=6,"112.50",IF(J12=7,"125",IF(J12=8,"137.50",0))))))))</f>
        <v/>
      </c>
      <c r="R12" s="270">
        <f>IF(J12=9,"150",IF(J12=10,"162.50",IF(J12=11,"175",IF(J12=12,"187.50",0))))</f>
        <v/>
      </c>
      <c r="S12" s="270">
        <f>IF(I12=0,"0",IF(I12&lt;=4999.99,"1",IF(I12&lt;=5999.99,"2",IF(I12&lt;=6999.99,"3",IF(I12&lt;=7999.99,"4",IF(I12&lt;=8999.99,"5",IF(I12&lt;=9999.99,"6",IF(I12&gt;=9999.99,"0",0))))))))</f>
        <v/>
      </c>
      <c r="T12" s="270">
        <f>IF(I12&lt;=9999.99,"0",IF(I12&lt;=10999.99,"7",IF(I12&lt;=11999.99,"8",IF(I12&lt;=12999.99,"9",IF(I12&lt;=13999.99,"10",IF(I12&lt;=14999.99,"11",IF(I12&gt;=14999.99,"0")))))))</f>
        <v/>
      </c>
      <c r="U12" s="270">
        <f>IF(I12&lt;=14999.99,"0",IF(I12&lt;=15999.99,"12",IF(I12&lt;=16999.99,"13",IF(I12&lt;=17999.99,"14",IF(I12&lt;=18999.99,"15",IF(I12&lt;=19999.99,"16",IF(I12&gt;=20000,"17")))))))</f>
        <v/>
      </c>
      <c r="V12" s="341">
        <f>IF(J12=1,"50",IF(J12=2,"62.50",IF(J12=3,"75",IF(J12=4,"87.5",IF(J12=5,"100",IF(J12=6,"112.50",IF(J12=7,"125",IF(J12=8,"137.50",0))))))))</f>
        <v/>
      </c>
      <c r="W12" s="341">
        <f>IF(J12=9,"150",IF(J12=10,"162.50",IF(J12=11,"175",IF(J12=12,"187.50",IF(J12=13,"200",IF(J12=14,"212.5",IF(J12=15,"225",IF(J12=16,"237.5",0))))))))</f>
        <v/>
      </c>
      <c r="X12" s="341">
        <f>IF(J12=17,"250",0)</f>
        <v/>
      </c>
      <c r="Y12" s="270">
        <f>IF(I12=0,"0",IF(I12&lt;=4999.99,"1",IF(I12&lt;=5999.99,"2",IF(I12&lt;=6999.99,"3",IF(I12&lt;=7999.99,"4",IF(I12&lt;=8999.99,"5",IF(I12&lt;=9999.99,"6",IF(I12&gt;=9999.99,"0",0))))))))</f>
        <v/>
      </c>
      <c r="Z12" s="270">
        <f>IF(I12&lt;=9999.99,"0",IF(I12&lt;=10999.99,"7",IF(I12&lt;=11999.99,"8",IF(I12&lt;=12999.99,"9",IF(I12&lt;=13999.99,"10",IF(I12&lt;=14999.99,"11",IF(I12&gt;=14999.99,"0")))))))</f>
        <v/>
      </c>
      <c r="AA12" s="270">
        <f>IF(I12&lt;=14999.99,"0",IF(I12&lt;=15999.99,"12",IF(I12&lt;=16999.99,"13",IF(I12&lt;=17999.99,"14",IF(I12&lt;=18999.99,"15",IF(I12&lt;=19999.99,"16",IF(I12&lt;=20999.99,"17",IF(I12&gt;=20999.99,"0"))))))))</f>
        <v/>
      </c>
      <c r="AB12" s="270">
        <f>IF(I12&lt;=20999.99,"0",IF(I12&lt;=21999.99,"18",IF(I12&lt;=22999.99,"19",IF(I12&lt;=23999.99,"20",IF(I12&lt;=24999.99,"21",IF(I12&gt;=25000,"22"))))))</f>
        <v/>
      </c>
      <c r="AC12" s="341">
        <f>IF(J12=1,"50",IF(J12=2,"62.50",IF(J12=3,"75",IF(J12=4,"87.5",IF(J12=5,"100",IF(J12=6,"112.50",IF(J12=7,"125",IF(J12=8,"137.50",0))))))))</f>
        <v/>
      </c>
      <c r="AD12" s="341">
        <f>IF(J12=9,"150",IF(J12=10,"162.50",IF(J12=11,"175",IF(J12=12,"187.50",IF(J12=13,"200",IF(J12=14,"212.5",IF(J12=15,"225",IF(J12=16,"237.5",0))))))))</f>
        <v/>
      </c>
      <c r="AE12" s="341">
        <f>IF(J12=17,"250",IF(J12=18,"262.50",IF(J12=19,"275",IF(J12=20,"287.50",IF(J12=21,"300",IF(J12=22,"312.50",0))))))</f>
        <v/>
      </c>
      <c r="AF12" s="270">
        <f>IF(I12=0,"0",IF(I12&lt;=4999.99,"1",IF(I12&lt;=5999.99,"2",IF(I12&lt;=6999.99,"3",IF(I12&lt;=7999.99,"4",IF(I12&lt;=8999.99,"5",IF(I12&lt;=9999.99,"6",IF(I12&gt;=9999.99,"0",0))))))))</f>
        <v/>
      </c>
      <c r="AG12" s="270">
        <f>IF(I12&lt;=9999.99,"0",IF(I12&lt;=10999.99,"7",IF(I12&lt;=11999.99,"8",IF(I12&lt;=12999.99,"9",IF(I12&lt;=13999.99,"10",IF(I12&lt;=14999.99,"11",IF(I12&gt;=14999.99,"0")))))))</f>
        <v/>
      </c>
      <c r="AH12" s="270">
        <f>IF(I12&lt;=14999.99,"0",IF(I12&lt;=15999.99,"12",IF(I12&lt;=16999.99,"13",IF(I12&lt;=17999.99,"14",IF(I12&lt;=18999.99,"15",IF(I12&lt;=19999.99,"16",IF(I12&lt;=20999.99,"17",IF(I12&gt;=20999.99,"0"))))))))</f>
        <v/>
      </c>
      <c r="AI12" s="270">
        <f>IF(I12&lt;=20999.99,"0",IF(I12&lt;=21999.99,"18",IF(I12&lt;=22999.99,"19",IF(I12&lt;=23999.99,"20",IF(I12&lt;=24999.99,"21",IF(I12&lt;=25999.99,"22",IF(I12&lt;=26999.99,"23",IF(I12&gt;=26999.99,"0"))))))))</f>
        <v/>
      </c>
      <c r="AJ12" s="270">
        <f>IF(I12&lt;=26999.99,"0",IF(I12&lt;=27999.99,"24",IF(I12&lt;=28999.99,"25",IF(I12&lt;=29999.99,"26",IF(I12&gt;=30000,"27")))))</f>
        <v/>
      </c>
      <c r="AK12" s="341">
        <f>IF(J12=1,"50",IF(J12=2,"62.50",IF(J12=3,"75",IF(J12=4,"87.5",IF(J12=5,"100",IF(J12=6,"112.50",IF(J12=7,"125",IF(J12=8,"137.50",0))))))))</f>
        <v/>
      </c>
      <c r="AL12" s="341">
        <f>IF(J12=9,"150",IF(J12=10,"162.50",IF(J12=11,"175",IF(J12=12,"187.50",IF(J12=13,"200",IF(J12=14,"212.5",IF(J12=15,"225",IF(J12=16,"237.5",0))))))))</f>
        <v/>
      </c>
      <c r="AM12" s="341">
        <f>IF(J12=17,"250",IF(J12=18,"262.50",IF(J12=19,"275",IF(J12=20,"287.50",IF(J12=21,"300",IF(J12=22,"312.50",IF(J12=23,"325",IF(J12=24,"337.50",0))))))))</f>
        <v/>
      </c>
      <c r="AN12" s="341">
        <f>IF(J12=25,"350",IF(J12=26,"362.50",IF(J12=27,"375",0)))</f>
        <v/>
      </c>
      <c r="AO12" s="270">
        <f>IF(I12=0,"0",IF(I12&lt;=7999.99,"1",IF(I12&lt;=8999.99,"2",IF(I12&lt;=9999.99,"3",IF(I12&lt;=10999.99,"4",IF(I12&lt;=11999.99,"5",IF(I12&lt;=12999.99,"6",IF(I12&gt;=12999.99,"0",0))))))))</f>
        <v/>
      </c>
      <c r="AP12" s="270">
        <f>IF(I12&lt;=12999.99,"0",IF(I12&lt;=13999.99,"7",IF(I12&lt;=14999.99,"8",IF(I12&lt;=15999.99,"9",IF(I12&lt;=16999.99,"10",IF(I12&lt;=17999.99,"11",IF(I12&gt;=17999.99,"0")))))))</f>
        <v/>
      </c>
      <c r="AQ12" s="270">
        <f>IF(I12&lt;=17999.99,"0",IF(I12&lt;=18999.99,"12",IF(I12&lt;=19999.99,"13",IF(I12&lt;=20999.99,"14",IF(I12&lt;=21999.99,"15",IF(I12&lt;=22999.99,"16",IF(I12&lt;=23999.99,"17",IF(I12&gt;=23999.99,"0"))))))))</f>
        <v/>
      </c>
      <c r="AR12" s="270">
        <f>IF(I12&lt;=23999.99,"0",IF(I12&lt;=24999.99,"18",IF(I12&lt;=25999.99,"19",IF(I12&lt;=26999.99,"20",IF(I12&lt;=27999.99,"21",IF(I12&lt;=28999.99,"22",IF(I12&lt;=29999.99,"23",IF(I12&gt;=29999.99,"0"))))))))</f>
        <v/>
      </c>
      <c r="AS12" s="270">
        <f>IF(I12&lt;=29999.99,"0",IF(I12&lt;=30999.99,"24",IF(I12&lt;=31999.99,"25",IF(I12&lt;=32999.99,"26",IF(I12&lt;=33999.99,"27",IF(I12&lt;=34999.99,"28",IF(I12&gt;=35000,"29")))))))</f>
        <v/>
      </c>
      <c r="AT12" s="270">
        <f>IF(J12=1,"87.50",IF(J12=2,"100",IF(J12=3,"112.50",IF(J12=4,"125",IF(J12=5,"137.50",IF(J12=6,"150",IF(J12=7,"162.50",IF(J12=8,"175",0))))))))</f>
        <v/>
      </c>
      <c r="AU12" s="270">
        <f>IF(J12=9,"187.50",IF(J12=10,"200",IF(J12=11,"212.50",IF(J12=12,"225",IF(J12=13,"237.50",IF(J12=14,"250",IF(J12=15,"262.50",IF(J12=16,"275",0))))))))</f>
        <v/>
      </c>
      <c r="AV12" s="270">
        <f>IF(J12=17,"287.50",IF(J12=18,"300",IF(J12=19,"312.50",IF(J12=20,"325",IF(J12=21,"337.50",IF(J12=22,"350",IF(J12=23,"362.50",IF(J12=24,"375",0))))))))</f>
        <v/>
      </c>
      <c r="AW12" s="270">
        <f>IF(J12=25,"387.50",IF(J12=26,"400",IF(J12=27,"412.50",IF(J12=28,"425",IF(J12=29,"437.50",0)))))</f>
        <v/>
      </c>
      <c r="AX12" s="270">
        <f>IF(I12=0,"0",IF(I12&lt;=8999.99,"1",IF(I12&lt;=9999.99,"2",IF(I12&lt;=10999.99,"3",IF(I12&lt;=11999.99,"4",IF(I12&lt;=12999.99,"5",IF(I12&lt;=13999.99,"6",IF(I12&gt;=13999.99,"0",0))))))))</f>
        <v/>
      </c>
      <c r="AY12" s="270">
        <f>IF(I12&lt;=13999.99,"0",IF(I12&lt;=14999.99,"7",IF(I12&lt;=15999.99,"8",IF(I12&lt;=16999.99,"9",IF(I12&lt;=17999.99,"10",IF(I12&lt;=18999.99,"11",IF(I12&gt;=18999.99,"0")))))))</f>
        <v/>
      </c>
      <c r="AZ12" s="270">
        <f>IF(I12&lt;=18999.99,"0",IF(I12&lt;=19999.99,"12",IF(I12&lt;=20999.99,"13",IF(I12&lt;=21999.99,"14",IF(I12&lt;=22999.99,"15",IF(I12&lt;=23999.99,"16",IF(I12&lt;=24999.99,"17",IF(I12&gt;=24999.99,"0"))))))))</f>
        <v/>
      </c>
      <c r="BA12" s="270">
        <f>IF(I12&lt;=24999.99,"0",IF(I12&lt;=25999.99,"18",IF(I12&lt;=26999.99,"19",IF(I12&lt;=27999.99,"20",IF(I12&lt;=28999.99,"21",IF(I12&lt;=29999.99,"22",IF(I12&lt;=30999.99,"23",IF(I12&gt;=30999.99,"0"))))))))</f>
        <v/>
      </c>
      <c r="BB12" s="270">
        <f>IF(I12&lt;=30999.99,"0",IF(I12&lt;=31999.99,"24",IF(I12&lt;=32999.99,"25",IF(I12&lt;=33999.99,"26",IF(I12&lt;=34999.99,"27",IF(I12&gt;=35000,"28"))))))</f>
        <v/>
      </c>
      <c r="BC12" s="270">
        <f>IF(J12=1,"100",IF(J12=2,"112.50",IF(J12=3,"125",IF(J12=4,"137.50",IF(J12=5,"150",IF(J12=6,"162.50",IF(J12=7,"175",IF(J12=8,"187.50",0))))))))</f>
        <v/>
      </c>
      <c r="BD12" s="270">
        <f>IF(J12=9,"200",IF(J12=10,"212.50",IF(J12=11,"225",IF(J12=12,"237.50",IF(J12=13,"250",IF(J12=14,"262.50",IF(J12=15,"275",IF(J12=16,"287.50",0))))))))</f>
        <v/>
      </c>
      <c r="BE12" s="270">
        <f>IF(J12=17,"300",IF(J12=18,"312.50",IF(J12=19,"325",IF(J12=20,"337.50",IF(J12=21,"350",IF(J12=22,"362.50",IF(J12=23,"375",IF(J12=24,"387.50",0))))))))</f>
        <v/>
      </c>
      <c r="BF12" s="270">
        <f>IF(J12=25,"400",IF(J12=26,"412.50",IF(J12=27,"425",IF(J12=28,"437.50",0))))</f>
        <v/>
      </c>
      <c r="BG12" s="341">
        <f>IF(L12=2008,AK12+AL12+AM12+AN12,IF(L12=2009,AK12+AL12+AM12+AN12,IF(L12=2010,AK12+AL12+AM12+AN12,IF(L12=2011,AK12+AL12+AM12+AN12,IF(L12=2012,AK12+AL12+AM12+AN12,IF(L12=2013,AT12+AU12+AV12+AW12,IF(L12=2014,BC12+BD12+BE12+BF12,IF(L12=2015,BC12+BD12+BE12+BF12))))))))</f>
        <v/>
      </c>
      <c r="BH12" s="341">
        <f>IF(L12=2008,AK12+AL12+AM12+AN12,IF(L12=2009,AK12+AL12+AM12+AN12,IF(L12=2010,AK12+AL12+AM12+AN12,IF(L12=2011,AK12+AL12+AM12+AN12,IF(L12=2012,AK12+AL12+AM12+AN12,IF(L12=2013,AT12+AU12+AV12+AW12,IF(L12=2014,BC12+BD12+BE12+BF12,IF(L12=2015,BC12+BD12+BE12+BF12))))))))</f>
        <v/>
      </c>
      <c r="BI12" s="342">
        <f>IF(BH12=0,0,IF(BH12&lt;=M12,BH12,IF(BH12&gt;=M12,M12)))</f>
        <v/>
      </c>
      <c r="BJ12" s="270">
        <f>CODE(B12:B20)</f>
        <v/>
      </c>
      <c r="BK12" s="270">
        <f>ISBLANK(E12)</f>
        <v/>
      </c>
      <c r="BL12" s="270">
        <f>CODE(E12)</f>
        <v/>
      </c>
      <c r="BM12" s="270">
        <f>CHAR(BL12)</f>
        <v/>
      </c>
      <c r="BN12" s="269">
        <f>ISBLANK(F12)</f>
        <v/>
      </c>
      <c r="BO12" s="343">
        <f>ISBLANK(BS12)</f>
        <v/>
      </c>
      <c r="BP12" s="269">
        <f>ISBLANK(BT12)</f>
        <v/>
      </c>
      <c r="BQ12" s="269">
        <f>ISBLANK(G12)</f>
        <v/>
      </c>
      <c r="BR12" s="269">
        <f>TEXT(BT12,"MMDDYYYY")</f>
        <v/>
      </c>
      <c r="BS12" s="344" t="n"/>
      <c r="BT12" s="345" t="n"/>
      <c r="BU12" s="256" t="n"/>
      <c r="BV12" s="256" t="n"/>
      <c r="BW12" s="256" t="n"/>
      <c r="BX12" s="256" t="n"/>
      <c r="BY12" s="256" t="n"/>
      <c r="BZ12" s="256" t="n"/>
      <c r="CA12" s="256" t="n"/>
      <c r="CB12" s="256" t="n"/>
      <c r="CC12" s="257" t="n"/>
      <c r="DN12" s="253" t="n"/>
      <c r="DO12" s="253" t="n"/>
      <c r="DP12" s="253" t="n"/>
      <c r="DQ12" s="253" t="n"/>
      <c r="DY12" s="253" t="n"/>
      <c r="DZ12" s="253" t="n"/>
      <c r="EA12" s="253" t="n"/>
      <c r="EB12" s="253" t="n"/>
      <c r="EC12" s="253" t="n"/>
      <c r="ED12" s="253" t="n"/>
      <c r="EE12" s="253" t="n"/>
      <c r="EF12" s="253" t="n"/>
      <c r="EG12" s="253" t="n"/>
    </row>
    <row customHeight="1" ht="12.75" r="13" s="334" spans="1:150">
      <c r="A13" s="270">
        <f>A12+1</f>
        <v/>
      </c>
      <c r="B13" s="335" t="n"/>
      <c r="C13" s="335" t="n"/>
      <c r="D13" s="335" t="n"/>
      <c r="E13" s="335" t="n"/>
      <c r="F13" s="336" t="n"/>
      <c r="G13" s="337" t="n"/>
      <c r="H13" s="338" t="n"/>
      <c r="I13" s="339" t="n"/>
      <c r="J13" s="340">
        <f>IF(L13=2008,AF13+AG13+AH13+AI13+AJ13,IF(L13=2009,AF13+AG13+AH13+AI13+AJ13,IF(L13=2010,AF13+AG13+AH13+AI13+AJ13,IF(L13=2011,AF13+AG13+AH13+AI13+AJ13,IF(L13=2012,AF13+AG13+AH13+AI13+AJ13,IF(L13=2013,AO13+AP13+AQ13+AR13+AS13,IF(L13=2014,AX13+AY13+AZ13+BA13+BB13,IF(L13=2015,AX13+AY13+AZ13+BA13+BB13))))))))</f>
        <v/>
      </c>
      <c r="K13" s="340">
        <f>K12</f>
        <v/>
      </c>
      <c r="L13" s="270">
        <f>L12</f>
        <v/>
      </c>
      <c r="M13" s="312">
        <f>M12</f>
        <v/>
      </c>
      <c r="N13" s="270">
        <f>IF(I13=0,"0",IF(I13&lt;=4999.99,"1",IF(I13&lt;=5999.99,"2",IF(I13&lt;=6999.99,"3",IF(I13&lt;=7999.99,"4",IF(I13&lt;=8999.99,"5",IF(I13&lt;=9999.99,"6",IF(I13&gt;=9999.99,"0",0))))))))</f>
        <v/>
      </c>
      <c r="O13" s="270">
        <f>IF(I13&lt;=9999.99,"0",IF(I13&lt;=10999.99,"7",IF(I13&lt;=11999.99,"8",IF(I13&lt;=12999.99,"9",IF(I13&lt;=13999.99,"10",IF(I13&lt;=14999.99,"11",IF(I13&gt;=14999.99,"0")))))))</f>
        <v/>
      </c>
      <c r="P13" s="270">
        <f>IF(I13&lt;=14999.99,"0",IF(I13&gt;=15000,"12"))</f>
        <v/>
      </c>
      <c r="Q13" s="270">
        <f>IF(J13=1,"50",IF(J13=2,"62.50",IF(J13=3,"75",IF(J13=4,"87.5",IF(J13=5,"100",IF(J13=6,"112.50",IF(J13=7,"125",IF(J13=8,"137.50",0))))))))</f>
        <v/>
      </c>
      <c r="R13" s="270">
        <f>IF(J13=9,"150",IF(J13=10,"162.50",IF(J13=11,"175",IF(J13=12,"187.50",0))))</f>
        <v/>
      </c>
      <c r="S13" s="270">
        <f>IF(I13=0,"0",IF(I13&lt;=4999.99,"1",IF(I13&lt;=5999.99,"2",IF(I13&lt;=6999.99,"3",IF(I13&lt;=7999.99,"4",IF(I13&lt;=8999.99,"5",IF(I13&lt;=9999.99,"6",IF(I13&gt;=9999.99,"0",0))))))))</f>
        <v/>
      </c>
      <c r="T13" s="270">
        <f>IF(I13&lt;=9999.99,"0",IF(I13&lt;=10999.99,"7",IF(I13&lt;=11999.99,"8",IF(I13&lt;=12999.99,"9",IF(I13&lt;=13999.99,"10",IF(I13&lt;=14999.99,"11",IF(I13&gt;=14999.99,"0")))))))</f>
        <v/>
      </c>
      <c r="U13" s="270">
        <f>IF(I13&lt;=14999.99,"0",IF(I13&lt;=15999.99,"12",IF(I13&lt;=16999.99,"13",IF(I13&lt;=17999.99,"14",IF(I13&lt;=18999.99,"15",IF(I13&lt;=19999.99,"16",IF(I13&gt;=20000,"17")))))))</f>
        <v/>
      </c>
      <c r="V13" s="341">
        <f>IF(J13=1,"50",IF(J13=2,"62.50",IF(J13=3,"75",IF(J13=4,"87.5",IF(J13=5,"100",IF(J13=6,"112.50",IF(J13=7,"125",IF(J13=8,"137.50",0))))))))</f>
        <v/>
      </c>
      <c r="W13" s="341">
        <f>IF(J13=9,"150",IF(J13=10,"162.50",IF(J13=11,"175",IF(J13=12,"187.50",IF(J13=13,"200",IF(J13=14,"212.5",IF(J13=15,"225",IF(J13=16,"237.5",0))))))))</f>
        <v/>
      </c>
      <c r="X13" s="341">
        <f>IF(J13=17,"250",0)</f>
        <v/>
      </c>
      <c r="Y13" s="270">
        <f>IF(I13=0,"0",IF(I13&lt;=4999.99,"1",IF(I13&lt;=5999.99,"2",IF(I13&lt;=6999.99,"3",IF(I13&lt;=7999.99,"4",IF(I13&lt;=8999.99,"5",IF(I13&lt;=9999.99,"6",IF(I13&gt;=9999.99,"0",0))))))))</f>
        <v/>
      </c>
      <c r="Z13" s="270">
        <f>IF(I13&lt;=9999.99,"0",IF(I13&lt;=10999.99,"7",IF(I13&lt;=11999.99,"8",IF(I13&lt;=12999.99,"9",IF(I13&lt;=13999.99,"10",IF(I13&lt;=14999.99,"11",IF(I13&gt;=14999.99,"0")))))))</f>
        <v/>
      </c>
      <c r="AA13" s="270">
        <f>IF(I13&lt;=14999.99,"0",IF(I13&lt;=15999.99,"12",IF(I13&lt;=16999.99,"13",IF(I13&lt;=17999.99,"14",IF(I13&lt;=18999.99,"15",IF(I13&lt;=19999.99,"16",IF(I13&lt;=20999.99,"17",IF(I13&gt;=20999.99,"0"))))))))</f>
        <v/>
      </c>
      <c r="AB13" s="270">
        <f>IF(I13&lt;=20999.99,"0",IF(I13&lt;=21999.99,"18",IF(I13&lt;=22999.99,"19",IF(I13&lt;=23999.99,"20",IF(I13&lt;=24999.99,"21",IF(I13&gt;=25000,"22"))))))</f>
        <v/>
      </c>
      <c r="AC13" s="341">
        <f>IF(J13=1,"50",IF(J13=2,"62.50",IF(J13=3,"75",IF(J13=4,"87.5",IF(J13=5,"100",IF(J13=6,"112.50",IF(J13=7,"125",IF(J13=8,"137.50",0))))))))</f>
        <v/>
      </c>
      <c r="AD13" s="341">
        <f>IF(J13=9,"150",IF(J13=10,"162.50",IF(J13=11,"175",IF(J13=12,"187.50",IF(J13=13,"200",IF(J13=14,"212.5",IF(J13=15,"225",IF(J13=16,"237.5",0))))))))</f>
        <v/>
      </c>
      <c r="AE13" s="341">
        <f>IF(J13=17,"250",IF(J13=18,"262.50",IF(J13=19,"275",IF(J13=20,"287.50",IF(J13=21,"300",IF(J13=22,"312.50",0))))))</f>
        <v/>
      </c>
      <c r="AF13" s="270">
        <f>IF(I13=0,"0",IF(I13&lt;=4999.99,"1",IF(I13&lt;=5999.99,"2",IF(I13&lt;=6999.99,"3",IF(I13&lt;=7999.99,"4",IF(I13&lt;=8999.99,"5",IF(I13&lt;=9999.99,"6",IF(I13&gt;=9999.99,"0",0))))))))</f>
        <v/>
      </c>
      <c r="AG13" s="270">
        <f>IF(I13&lt;=9999.99,"0",IF(I13&lt;=10999.99,"7",IF(I13&lt;=11999.99,"8",IF(I13&lt;=12999.99,"9",IF(I13&lt;=13999.99,"10",IF(I13&lt;=14999.99,"11",IF(I13&gt;=14999.99,"0")))))))</f>
        <v/>
      </c>
      <c r="AH13" s="270">
        <f>IF(I13&lt;=14999.99,"0",IF(I13&lt;=15999.99,"12",IF(I13&lt;=16999.99,"13",IF(I13&lt;=17999.99,"14",IF(I13&lt;=18999.99,"15",IF(I13&lt;=19999.99,"16",IF(I13&lt;=20999.99,"17",IF(I13&gt;=20999.99,"0"))))))))</f>
        <v/>
      </c>
      <c r="AI13" s="270">
        <f>IF(I13&lt;=20999.99,"0",IF(I13&lt;=21999.99,"18",IF(I13&lt;=22999.99,"19",IF(I13&lt;=23999.99,"20",IF(I13&lt;=24999.99,"21",IF(I13&lt;=25999.99,"22",IF(I13&lt;=26999.99,"23",IF(I13&gt;=26999.99,"0"))))))))</f>
        <v/>
      </c>
      <c r="AJ13" s="270">
        <f>IF(I13&lt;=26999.99,"0",IF(I13&lt;=27999.99,"24",IF(I13&lt;=28999.99,"25",IF(I13&lt;=29999.99,"26",IF(I13&gt;=30000,"27")))))</f>
        <v/>
      </c>
      <c r="AK13" s="341">
        <f>IF(J13=1,"50",IF(J13=2,"62.50",IF(J13=3,"75",IF(J13=4,"87.5",IF(J13=5,"100",IF(J13=6,"112.50",IF(J13=7,"125",IF(J13=8,"137.50",0))))))))</f>
        <v/>
      </c>
      <c r="AL13" s="341">
        <f>IF(J13=9,"150",IF(J13=10,"162.50",IF(J13=11,"175",IF(J13=12,"187.50",IF(J13=13,"200",IF(J13=14,"212.5",IF(J13=15,"225",IF(J13=16,"237.5",0))))))))</f>
        <v/>
      </c>
      <c r="AM13" s="341">
        <f>IF(J13=17,"250",IF(J13=18,"262.50",IF(J13=19,"275",IF(J13=20,"287.50",IF(J13=21,"300",IF(J13=22,"312.50",IF(J13=23,"325",IF(J13=24,"337.50",0))))))))</f>
        <v/>
      </c>
      <c r="AN13" s="341">
        <f>IF(J13=25,"350",IF(J13=26,"362.50",IF(J13=27,"375",0)))</f>
        <v/>
      </c>
      <c r="AO13" s="270">
        <f>IF(I13=0,"0",IF(I13&lt;=7999.99,"1",IF(I13&lt;=8999.99,"2",IF(I13&lt;=9999.99,"3",IF(I13&lt;=10999.99,"4",IF(I13&lt;=11999.99,"5",IF(I13&lt;=12999.99,"6",IF(I13&gt;=12999.99,"0",0))))))))</f>
        <v/>
      </c>
      <c r="AP13" s="270">
        <f>IF(I13&lt;=12999.99,"0",IF(I13&lt;=13999.99,"7",IF(I13&lt;=14999.99,"8",IF(I13&lt;=15999.99,"9",IF(I13&lt;=16999.99,"10",IF(I13&lt;=17999.99,"11",IF(I13&gt;=17999.99,"0")))))))</f>
        <v/>
      </c>
      <c r="AQ13" s="270">
        <f>IF(I13&lt;=17999.99,"0",IF(I13&lt;=18999.99,"12",IF(I13&lt;=19999.99,"13",IF(I13&lt;=20999.99,"14",IF(I13&lt;=21999.99,"15",IF(I13&lt;=22999.99,"16",IF(I13&lt;=23999.99,"17",IF(I13&gt;=23999.99,"0"))))))))</f>
        <v/>
      </c>
      <c r="AR13" s="270">
        <f>IF(I13&lt;=23999.99,"0",IF(I13&lt;=24999.99,"18",IF(I13&lt;=25999.99,"19",IF(I13&lt;=26999.99,"20",IF(I13&lt;=27999.99,"21",IF(I13&lt;=28999.99,"22",IF(I13&lt;=29999.99,"23",IF(I13&gt;=29999.99,"0"))))))))</f>
        <v/>
      </c>
      <c r="AS13" s="270">
        <f>IF(I13&lt;=29999.99,"0",IF(I13&lt;=30999.99,"24",IF(I13&lt;=31999.99,"25",IF(I13&lt;=32999.99,"26",IF(I13&lt;=33999.99,"27",IF(I13&lt;=34999.99,"28",IF(I13&gt;=35000,"29")))))))</f>
        <v/>
      </c>
      <c r="AT13" s="270">
        <f>IF(J13=1,"87.50",IF(J13=2,"100",IF(J13=3,"112.50",IF(J13=4,"125",IF(J13=5,"137.50",IF(J13=6,"150",IF(J13=7,"162.50",IF(J13=8,"175",0))))))))</f>
        <v/>
      </c>
      <c r="AU13" s="270">
        <f>IF(J13=9,"187.50",IF(J13=10,"200",IF(J13=11,"212.50",IF(J13=12,"225",IF(J13=13,"237.50",IF(J13=14,"250",IF(J13=15,"262.50",IF(J13=16,"275",0))))))))</f>
        <v/>
      </c>
      <c r="AV13" s="270">
        <f>IF(J13=17,"287.50",IF(J13=18,"300",IF(J13=19,"312.50",IF(J13=20,"325",IF(J13=21,"337.50",IF(J13=22,"350",IF(J13=23,"362.50",IF(J13=24,"375",0))))))))</f>
        <v/>
      </c>
      <c r="AW13" s="270">
        <f>IF(J13=25,"387.50",IF(J13=26,"400",IF(J13=27,"412.50",IF(J13=28,"425",IF(J13=29,"437.50",0)))))</f>
        <v/>
      </c>
      <c r="AX13" s="270">
        <f>IF(I13=0,"0",IF(I13&lt;=8999.99,"1",IF(I13&lt;=9999.99,"2",IF(I13&lt;=10999.99,"3",IF(I13&lt;=11999.99,"4",IF(I13&lt;=12999.99,"5",IF(I13&lt;=13999.99,"6",IF(I13&gt;=13999.99,"0",0))))))))</f>
        <v/>
      </c>
      <c r="AY13" s="270">
        <f>IF(I13&lt;=13999.99,"0",IF(I13&lt;=14999.99,"7",IF(I13&lt;=15999.99,"8",IF(I13&lt;=16999.99,"9",IF(I13&lt;=17999.99,"10",IF(I13&lt;=18999.99,"11",IF(I13&gt;=18999.99,"0")))))))</f>
        <v/>
      </c>
      <c r="AZ13" s="270">
        <f>IF(I13&lt;=18999.99,"0",IF(I13&lt;=19999.99,"12",IF(I13&lt;=20999.99,"13",IF(I13&lt;=21999.99,"14",IF(I13&lt;=22999.99,"15",IF(I13&lt;=23999.99,"16",IF(I13&lt;=24999.99,"17",IF(I13&gt;=24999.99,"0"))))))))</f>
        <v/>
      </c>
      <c r="BA13" s="270">
        <f>IF(I13&lt;=24999.99,"0",IF(I13&lt;=25999.99,"18",IF(I13&lt;=26999.99,"19",IF(I13&lt;=27999.99,"20",IF(I13&lt;=28999.99,"21",IF(I13&lt;=29999.99,"22",IF(I13&lt;=30999.99,"23",IF(I13&gt;=30999.99,"0"))))))))</f>
        <v/>
      </c>
      <c r="BB13" s="270">
        <f>IF(I13&lt;=30999.99,"0",IF(I13&lt;=31999.99,"24",IF(I13&lt;=32999.99,"25",IF(I13&lt;=33999.99,"26",IF(I13&lt;=34999.99,"27",IF(I13&gt;=35000,"28"))))))</f>
        <v/>
      </c>
      <c r="BC13" s="270">
        <f>IF(J13=1,"100",IF(J13=2,"112.50",IF(J13=3,"125",IF(J13=4,"137.50",IF(J13=5,"150",IF(J13=6,"162.50",IF(J13=7,"175",IF(J13=8,"187.50",0))))))))</f>
        <v/>
      </c>
      <c r="BD13" s="270">
        <f>IF(J13=9,"200",IF(J13=10,"212.50",IF(J13=11,"225",IF(J13=12,"237.50",IF(J13=13,"250",IF(J13=14,"262.50",IF(J13=15,"275",IF(J13=16,"287.50",0))))))))</f>
        <v/>
      </c>
      <c r="BE13" s="270">
        <f>IF(J13=17,"300",IF(J13=18,"312.50",IF(J13=19,"325",IF(J13=20,"337.50",IF(J13=21,"350",IF(J13=22,"362.50",IF(J13=23,"375",IF(J13=24,"387.50",0))))))))</f>
        <v/>
      </c>
      <c r="BF13" s="270">
        <f>IF(J13=25,"400",IF(J13=26,"412.50",IF(J13=27,"425",IF(J13=28,"437.50",0))))</f>
        <v/>
      </c>
      <c r="BG13" s="341">
        <f>IF(L13=2008,AK13+AL13+AM13+AN13,IF(L13=2009,AK13+AL13+AM13+AN13,IF(L13=2010,AK13+AL13+AM13+AN13,IF(L13=2011,AK13+AL13+AM13+AN13,IF(L13=2012,AK13+AL13+AM13+AN13,IF(L13=2013,AT13+AU13+AV13+AW13,IF(L13=2014,BC13+BD13+BE13+BF13,IF(L13=2015,BC13+BD13+BE13+BF13))))))))</f>
        <v/>
      </c>
      <c r="BH13" s="341">
        <f>IF(L13=2008,AK13+AL13+AM13+AN13,IF(L13=2009,AK13+AL13+AM13+AN13,IF(L13=2010,AK13+AL13+AM13+AN13,IF(L13=2011,AK13+AL13+AM13+AN13,IF(L13=2012,AK13+AL13+AM13+AN13,IF(L13=2013,AT13+AU13+AV13+AW13,IF(L13=2014,BC13+BD13+BE13+BF13,IF(L13=2015,BC13+BD13+BE13+BF13))))))))</f>
        <v/>
      </c>
      <c r="BI13" s="342">
        <f>IF(BH13=0,0,IF(BH13&lt;=M13,BH13,IF(BH13&gt;=M13,M13)))</f>
        <v/>
      </c>
      <c r="BJ13" s="270">
        <f>CODE(B13:B20)</f>
        <v/>
      </c>
      <c r="BK13" s="270">
        <f>ISBLANK(E13)</f>
        <v/>
      </c>
      <c r="BL13" s="270">
        <f>CODE(E13)</f>
        <v/>
      </c>
      <c r="BM13" s="270">
        <f>CHAR(BL13)</f>
        <v/>
      </c>
      <c r="BN13" s="269">
        <f>ISBLANK(F13)</f>
        <v/>
      </c>
      <c r="BO13" s="343">
        <f>ISBLANK(BS13)</f>
        <v/>
      </c>
      <c r="BP13" s="269">
        <f>ISBLANK(BT13)</f>
        <v/>
      </c>
      <c r="BQ13" s="269">
        <f>ISBLANK(G13)</f>
        <v/>
      </c>
      <c r="BR13" s="269">
        <f>TEXT(BT13,"MMDDYYYY")</f>
        <v/>
      </c>
      <c r="BS13" s="344" t="n"/>
      <c r="BT13" s="345" t="n"/>
      <c r="BU13" s="256" t="n"/>
      <c r="BV13" s="256" t="n"/>
      <c r="BW13" s="256" t="n"/>
      <c r="CA13" s="256" t="n"/>
      <c r="CB13" s="256" t="n"/>
      <c r="CC13" s="257" t="n"/>
      <c r="DN13" s="253" t="n"/>
      <c r="DO13" s="253" t="n"/>
      <c r="DP13" s="253" t="n"/>
      <c r="DQ13" s="253" t="n"/>
      <c r="DY13" s="253" t="n"/>
      <c r="DZ13" s="253" t="n"/>
      <c r="EA13" s="253" t="n"/>
      <c r="EB13" s="253" t="n"/>
      <c r="EC13" s="253" t="n"/>
      <c r="ED13" s="253" t="n"/>
      <c r="EE13" s="253" t="n"/>
      <c r="EF13" s="253" t="n"/>
      <c r="EG13" s="253" t="n"/>
    </row>
    <row customHeight="1" ht="12.75" r="14" s="334" spans="1:150">
      <c r="A14" s="270">
        <f>A13+1</f>
        <v/>
      </c>
      <c r="B14" s="335" t="n"/>
      <c r="C14" s="335" t="n"/>
      <c r="D14" s="335" t="n"/>
      <c r="E14" s="335" t="n"/>
      <c r="F14" s="336" t="n"/>
      <c r="G14" s="337" t="n"/>
      <c r="H14" s="338" t="n"/>
      <c r="I14" s="339" t="n"/>
      <c r="J14" s="340">
        <f>IF(L14=2008,AF14+AG14+AH14+AI14+AJ14,IF(L14=2009,AF14+AG14+AH14+AI14+AJ14,IF(L14=2010,AF14+AG14+AH14+AI14+AJ14,IF(L14=2011,AF14+AG14+AH14+AI14+AJ14,IF(L14=2012,AF14+AG14+AH14+AI14+AJ14,IF(L14=2013,AO14+AP14+AQ14+AR14+AS14,IF(L14=2014,AX14+AY14+AZ14+BA14+BB14,IF(L14=2015,AX14+AY14+AZ14+BA14+BB14))))))))</f>
        <v/>
      </c>
      <c r="K14" s="340">
        <f>K13</f>
        <v/>
      </c>
      <c r="L14" s="270">
        <f>L13</f>
        <v/>
      </c>
      <c r="M14" s="312">
        <f>M13</f>
        <v/>
      </c>
      <c r="N14" s="270">
        <f>IF(I14=0,"0",IF(I14&lt;=4999.99,"1",IF(I14&lt;=5999.99,"2",IF(I14&lt;=6999.99,"3",IF(I14&lt;=7999.99,"4",IF(I14&lt;=8999.99,"5",IF(I14&lt;=9999.99,"6",IF(I14&gt;=9999.99,"0",0))))))))</f>
        <v/>
      </c>
      <c r="O14" s="270">
        <f>IF(I14&lt;=9999.99,"0",IF(I14&lt;=10999.99,"7",IF(I14&lt;=11999.99,"8",IF(I14&lt;=12999.99,"9",IF(I14&lt;=13999.99,"10",IF(I14&lt;=14999.99,"11",IF(I14&gt;=14999.99,"0")))))))</f>
        <v/>
      </c>
      <c r="P14" s="270">
        <f>IF(I14&lt;=14999.99,"0",IF(I14&gt;=15000,"12"))</f>
        <v/>
      </c>
      <c r="Q14" s="270">
        <f>IF(J14=1,"50",IF(J14=2,"62.50",IF(J14=3,"75",IF(J14=4,"87.5",IF(J14=5,"100",IF(J14=6,"112.50",IF(J14=7,"125",IF(J14=8,"137.50",0))))))))</f>
        <v/>
      </c>
      <c r="R14" s="270">
        <f>IF(J14=9,"150",IF(J14=10,"162.50",IF(J14=11,"175",IF(J14=12,"187.50",0))))</f>
        <v/>
      </c>
      <c r="S14" s="270">
        <f>IF(I14=0,"0",IF(I14&lt;=4999.99,"1",IF(I14&lt;=5999.99,"2",IF(I14&lt;=6999.99,"3",IF(I14&lt;=7999.99,"4",IF(I14&lt;=8999.99,"5",IF(I14&lt;=9999.99,"6",IF(I14&gt;=9999.99,"0",0))))))))</f>
        <v/>
      </c>
      <c r="T14" s="270">
        <f>IF(I14&lt;=9999.99,"0",IF(I14&lt;=10999.99,"7",IF(I14&lt;=11999.99,"8",IF(I14&lt;=12999.99,"9",IF(I14&lt;=13999.99,"10",IF(I14&lt;=14999.99,"11",IF(I14&gt;=14999.99,"0")))))))</f>
        <v/>
      </c>
      <c r="U14" s="270">
        <f>IF(I14&lt;=14999.99,"0",IF(I14&lt;=15999.99,"12",IF(I14&lt;=16999.99,"13",IF(I14&lt;=17999.99,"14",IF(I14&lt;=18999.99,"15",IF(I14&lt;=19999.99,"16",IF(I14&gt;=20000,"17")))))))</f>
        <v/>
      </c>
      <c r="V14" s="341">
        <f>IF(J14=1,"50",IF(J14=2,"62.50",IF(J14=3,"75",IF(J14=4,"87.5",IF(J14=5,"100",IF(J14=6,"112.50",IF(J14=7,"125",IF(J14=8,"137.50",0))))))))</f>
        <v/>
      </c>
      <c r="W14" s="341">
        <f>IF(J14=9,"150",IF(J14=10,"162.50",IF(J14=11,"175",IF(J14=12,"187.50",IF(J14=13,"200",IF(J14=14,"212.5",IF(J14=15,"225",IF(J14=16,"237.5",0))))))))</f>
        <v/>
      </c>
      <c r="X14" s="341">
        <f>IF(J14=17,"250",0)</f>
        <v/>
      </c>
      <c r="Y14" s="270">
        <f>IF(I14=0,"0",IF(I14&lt;=4999.99,"1",IF(I14&lt;=5999.99,"2",IF(I14&lt;=6999.99,"3",IF(I14&lt;=7999.99,"4",IF(I14&lt;=8999.99,"5",IF(I14&lt;=9999.99,"6",IF(I14&gt;=9999.99,"0",0))))))))</f>
        <v/>
      </c>
      <c r="Z14" s="270">
        <f>IF(I14&lt;=9999.99,"0",IF(I14&lt;=10999.99,"7",IF(I14&lt;=11999.99,"8",IF(I14&lt;=12999.99,"9",IF(I14&lt;=13999.99,"10",IF(I14&lt;=14999.99,"11",IF(I14&gt;=14999.99,"0")))))))</f>
        <v/>
      </c>
      <c r="AA14" s="270">
        <f>IF(I14&lt;=14999.99,"0",IF(I14&lt;=15999.99,"12",IF(I14&lt;=16999.99,"13",IF(I14&lt;=17999.99,"14",IF(I14&lt;=18999.99,"15",IF(I14&lt;=19999.99,"16",IF(I14&lt;=20999.99,"17",IF(I14&gt;=20999.99,"0"))))))))</f>
        <v/>
      </c>
      <c r="AB14" s="270">
        <f>IF(I14&lt;=20999.99,"0",IF(I14&lt;=21999.99,"18",IF(I14&lt;=22999.99,"19",IF(I14&lt;=23999.99,"20",IF(I14&lt;=24999.99,"21",IF(I14&gt;=25000,"22"))))))</f>
        <v/>
      </c>
      <c r="AC14" s="341">
        <f>IF(J14=1,"50",IF(J14=2,"62.50",IF(J14=3,"75",IF(J14=4,"87.5",IF(J14=5,"100",IF(J14=6,"112.50",IF(J14=7,"125",IF(J14=8,"137.50",0))))))))</f>
        <v/>
      </c>
      <c r="AD14" s="341">
        <f>IF(J14=9,"150",IF(J14=10,"162.50",IF(J14=11,"175",IF(J14=12,"187.50",IF(J14=13,"200",IF(J14=14,"212.5",IF(J14=15,"225",IF(J14=16,"237.5",0))))))))</f>
        <v/>
      </c>
      <c r="AE14" s="341">
        <f>IF(J14=17,"250",IF(J14=18,"262.50",IF(J14=19,"275",IF(J14=20,"287.50",IF(J14=21,"300",IF(J14=22,"312.50",0))))))</f>
        <v/>
      </c>
      <c r="AF14" s="270">
        <f>IF(I14=0,"0",IF(I14&lt;=4999.99,"1",IF(I14&lt;=5999.99,"2",IF(I14&lt;=6999.99,"3",IF(I14&lt;=7999.99,"4",IF(I14&lt;=8999.99,"5",IF(I14&lt;=9999.99,"6",IF(I14&gt;=9999.99,"0",0))))))))</f>
        <v/>
      </c>
      <c r="AG14" s="270">
        <f>IF(I14&lt;=9999.99,"0",IF(I14&lt;=10999.99,"7",IF(I14&lt;=11999.99,"8",IF(I14&lt;=12999.99,"9",IF(I14&lt;=13999.99,"10",IF(I14&lt;=14999.99,"11",IF(I14&gt;=14999.99,"0")))))))</f>
        <v/>
      </c>
      <c r="AH14" s="270">
        <f>IF(I14&lt;=14999.99,"0",IF(I14&lt;=15999.99,"12",IF(I14&lt;=16999.99,"13",IF(I14&lt;=17999.99,"14",IF(I14&lt;=18999.99,"15",IF(I14&lt;=19999.99,"16",IF(I14&lt;=20999.99,"17",IF(I14&gt;=20999.99,"0"))))))))</f>
        <v/>
      </c>
      <c r="AI14" s="270">
        <f>IF(I14&lt;=20999.99,"0",IF(I14&lt;=21999.99,"18",IF(I14&lt;=22999.99,"19",IF(I14&lt;=23999.99,"20",IF(I14&lt;=24999.99,"21",IF(I14&lt;=25999.99,"22",IF(I14&lt;=26999.99,"23",IF(I14&gt;=26999.99,"0"))))))))</f>
        <v/>
      </c>
      <c r="AJ14" s="270">
        <f>IF(I14&lt;=26999.99,"0",IF(I14&lt;=27999.99,"24",IF(I14&lt;=28999.99,"25",IF(I14&lt;=29999.99,"26",IF(I14&gt;=30000,"27")))))</f>
        <v/>
      </c>
      <c r="AK14" s="341">
        <f>IF(J14=1,"50",IF(J14=2,"62.50",IF(J14=3,"75",IF(J14=4,"87.5",IF(J14=5,"100",IF(J14=6,"112.50",IF(J14=7,"125",IF(J14=8,"137.50",0))))))))</f>
        <v/>
      </c>
      <c r="AL14" s="341">
        <f>IF(J14=9,"150",IF(J14=10,"162.50",IF(J14=11,"175",IF(J14=12,"187.50",IF(J14=13,"200",IF(J14=14,"212.5",IF(J14=15,"225",IF(J14=16,"237.5",0))))))))</f>
        <v/>
      </c>
      <c r="AM14" s="341">
        <f>IF(J14=17,"250",IF(J14=18,"262.50",IF(J14=19,"275",IF(J14=20,"287.50",IF(J14=21,"300",IF(J14=22,"312.50",IF(J14=23,"325",IF(J14=24,"337.50",0))))))))</f>
        <v/>
      </c>
      <c r="AN14" s="341">
        <f>IF(J14=25,"350",IF(J14=26,"362.50",IF(J14=27,"375",0)))</f>
        <v/>
      </c>
      <c r="AO14" s="270">
        <f>IF(I14=0,"0",IF(I14&lt;=7999.99,"1",IF(I14&lt;=8999.99,"2",IF(I14&lt;=9999.99,"3",IF(I14&lt;=10999.99,"4",IF(I14&lt;=11999.99,"5",IF(I14&lt;=12999.99,"6",IF(I14&gt;=12999.99,"0",0))))))))</f>
        <v/>
      </c>
      <c r="AP14" s="270">
        <f>IF(I14&lt;=12999.99,"0",IF(I14&lt;=13999.99,"7",IF(I14&lt;=14999.99,"8",IF(I14&lt;=15999.99,"9",IF(I14&lt;=16999.99,"10",IF(I14&lt;=17999.99,"11",IF(I14&gt;=17999.99,"0")))))))</f>
        <v/>
      </c>
      <c r="AQ14" s="270">
        <f>IF(I14&lt;=17999.99,"0",IF(I14&lt;=18999.99,"12",IF(I14&lt;=19999.99,"13",IF(I14&lt;=20999.99,"14",IF(I14&lt;=21999.99,"15",IF(I14&lt;=22999.99,"16",IF(I14&lt;=23999.99,"17",IF(I14&gt;=23999.99,"0"))))))))</f>
        <v/>
      </c>
      <c r="AR14" s="270">
        <f>IF(I14&lt;=23999.99,"0",IF(I14&lt;=24999.99,"18",IF(I14&lt;=25999.99,"19",IF(I14&lt;=26999.99,"20",IF(I14&lt;=27999.99,"21",IF(I14&lt;=28999.99,"22",IF(I14&lt;=29999.99,"23",IF(I14&gt;=29999.99,"0"))))))))</f>
        <v/>
      </c>
      <c r="AS14" s="270">
        <f>IF(I14&lt;=29999.99,"0",IF(I14&lt;=30999.99,"24",IF(I14&lt;=31999.99,"25",IF(I14&lt;=32999.99,"26",IF(I14&lt;=33999.99,"27",IF(I14&lt;=34999.99,"28",IF(I14&gt;=35000,"29")))))))</f>
        <v/>
      </c>
      <c r="AT14" s="270">
        <f>IF(J14=1,"87.50",IF(J14=2,"100",IF(J14=3,"112.50",IF(J14=4,"125",IF(J14=5,"137.50",IF(J14=6,"150",IF(J14=7,"162.50",IF(J14=8,"175",0))))))))</f>
        <v/>
      </c>
      <c r="AU14" s="270">
        <f>IF(J14=9,"187.50",IF(J14=10,"200",IF(J14=11,"212.50",IF(J14=12,"225",IF(J14=13,"237.50",IF(J14=14,"250",IF(J14=15,"262.50",IF(J14=16,"275",0))))))))</f>
        <v/>
      </c>
      <c r="AV14" s="270">
        <f>IF(J14=17,"287.50",IF(J14=18,"300",IF(J14=19,"312.50",IF(J14=20,"325",IF(J14=21,"337.50",IF(J14=22,"350",IF(J14=23,"362.50",IF(J14=24,"375",0))))))))</f>
        <v/>
      </c>
      <c r="AW14" s="270">
        <f>IF(J14=25,"387.50",IF(J14=26,"400",IF(J14=27,"412.50",IF(J14=28,"425",IF(J14=29,"437.50",0)))))</f>
        <v/>
      </c>
      <c r="AX14" s="270">
        <f>IF(I14=0,"0",IF(I14&lt;=8999.99,"1",IF(I14&lt;=9999.99,"2",IF(I14&lt;=10999.99,"3",IF(I14&lt;=11999.99,"4",IF(I14&lt;=12999.99,"5",IF(I14&lt;=13999.99,"6",IF(I14&gt;=13999.99,"0",0))))))))</f>
        <v/>
      </c>
      <c r="AY14" s="270">
        <f>IF(I14&lt;=13999.99,"0",IF(I14&lt;=14999.99,"7",IF(I14&lt;=15999.99,"8",IF(I14&lt;=16999.99,"9",IF(I14&lt;=17999.99,"10",IF(I14&lt;=18999.99,"11",IF(I14&gt;=18999.99,"0")))))))</f>
        <v/>
      </c>
      <c r="AZ14" s="270">
        <f>IF(I14&lt;=18999.99,"0",IF(I14&lt;=19999.99,"12",IF(I14&lt;=20999.99,"13",IF(I14&lt;=21999.99,"14",IF(I14&lt;=22999.99,"15",IF(I14&lt;=23999.99,"16",IF(I14&lt;=24999.99,"17",IF(I14&gt;=24999.99,"0"))))))))</f>
        <v/>
      </c>
      <c r="BA14" s="270">
        <f>IF(I14&lt;=24999.99,"0",IF(I14&lt;=25999.99,"18",IF(I14&lt;=26999.99,"19",IF(I14&lt;=27999.99,"20",IF(I14&lt;=28999.99,"21",IF(I14&lt;=29999.99,"22",IF(I14&lt;=30999.99,"23",IF(I14&gt;=30999.99,"0"))))))))</f>
        <v/>
      </c>
      <c r="BB14" s="270">
        <f>IF(I14&lt;=30999.99,"0",IF(I14&lt;=31999.99,"24",IF(I14&lt;=32999.99,"25",IF(I14&lt;=33999.99,"26",IF(I14&lt;=34999.99,"27",IF(I14&gt;=35000,"28"))))))</f>
        <v/>
      </c>
      <c r="BC14" s="270">
        <f>IF(J14=1,"100",IF(J14=2,"112.50",IF(J14=3,"125",IF(J14=4,"137.50",IF(J14=5,"150",IF(J14=6,"162.50",IF(J14=7,"175",IF(J14=8,"187.50",0))))))))</f>
        <v/>
      </c>
      <c r="BD14" s="270">
        <f>IF(J14=9,"200",IF(J14=10,"212.50",IF(J14=11,"225",IF(J14=12,"237.50",IF(J14=13,"250",IF(J14=14,"262.50",IF(J14=15,"275",IF(J14=16,"287.50",0))))))))</f>
        <v/>
      </c>
      <c r="BE14" s="270">
        <f>IF(J14=17,"300",IF(J14=18,"312.50",IF(J14=19,"325",IF(J14=20,"337.50",IF(J14=21,"350",IF(J14=22,"362.50",IF(J14=23,"375",IF(J14=24,"387.50",0))))))))</f>
        <v/>
      </c>
      <c r="BF14" s="270">
        <f>IF(J14=25,"400",IF(J14=26,"412.50",IF(J14=27,"425",IF(J14=28,"437.50",0))))</f>
        <v/>
      </c>
      <c r="BG14" s="341">
        <f>IF(L14=2008,AK14+AL14+AM14+AN14,IF(L14=2009,AK14+AL14+AM14+AN14,IF(L14=2010,AK14+AL14+AM14+AN14,IF(L14=2011,AK14+AL14+AM14+AN14,IF(L14=2012,AK14+AL14+AM14+AN14,IF(L14=2013,AT14+AU14+AV14+AW14,IF(L14=2014,BC14+BD14+BE14+BF14,IF(L14=2015,BC14+BD14+BE14+BF14))))))))</f>
        <v/>
      </c>
      <c r="BH14" s="341">
        <f>IF(L14=2008,AK14+AL14+AM14+AN14,IF(L14=2009,AK14+AL14+AM14+AN14,IF(L14=2010,AK14+AL14+AM14+AN14,IF(L14=2011,AK14+AL14+AM14+AN14,IF(L14=2012,AK14+AL14+AM14+AN14,IF(L14=2013,AT14+AU14+AV14+AW14,IF(L14=2014,BC14+BD14+BE14+BF14,IF(L14=2015,BC14+BD14+BE14+BF14))))))))</f>
        <v/>
      </c>
      <c r="BI14" s="342">
        <f>IF(BH14=0,0,IF(BH14&lt;=M14,BH14,IF(BH14&gt;=M14,M14)))</f>
        <v/>
      </c>
      <c r="BJ14" s="270">
        <f>CODE(B14:B20)</f>
        <v/>
      </c>
      <c r="BK14" s="270">
        <f>ISBLANK(E14)</f>
        <v/>
      </c>
      <c r="BL14" s="270">
        <f>CODE(E14)</f>
        <v/>
      </c>
      <c r="BM14" s="270">
        <f>CHAR(BL14)</f>
        <v/>
      </c>
      <c r="BN14" s="269">
        <f>ISBLANK(F14)</f>
        <v/>
      </c>
      <c r="BO14" s="343">
        <f>ISBLANK(BS14)</f>
        <v/>
      </c>
      <c r="BP14" s="269">
        <f>ISBLANK(BT14)</f>
        <v/>
      </c>
      <c r="BQ14" s="269">
        <f>ISBLANK(G14)</f>
        <v/>
      </c>
      <c r="BR14" s="269">
        <f>TEXT(BT14,"MMDDYYYY")</f>
        <v/>
      </c>
      <c r="BS14" s="344" t="n"/>
      <c r="BT14" s="345" t="n"/>
      <c r="BU14" s="256" t="n"/>
      <c r="BV14" s="256" t="n"/>
      <c r="BW14" s="256" t="n"/>
      <c r="CA14" s="256" t="n"/>
      <c r="CB14" s="256" t="n"/>
      <c r="CC14" s="257" t="n"/>
      <c r="DN14" s="253" t="n"/>
      <c r="DO14" s="253" t="n"/>
      <c r="DP14" s="253" t="n"/>
      <c r="DQ14" s="253" t="n"/>
      <c r="DY14" s="253" t="n"/>
      <c r="DZ14" s="253" t="n"/>
      <c r="EA14" s="253" t="n"/>
      <c r="EB14" s="253" t="n"/>
      <c r="EC14" s="253" t="n"/>
      <c r="ED14" s="253" t="n"/>
      <c r="EE14" s="253" t="n"/>
      <c r="EF14" s="253" t="n"/>
      <c r="EG14" s="253" t="n"/>
    </row>
    <row customHeight="1" ht="12.75" r="15" s="334" spans="1:150">
      <c r="A15" s="270">
        <f>A14+1</f>
        <v/>
      </c>
      <c r="B15" s="335" t="n"/>
      <c r="C15" s="335" t="n"/>
      <c r="D15" s="335" t="n"/>
      <c r="E15" s="335" t="n"/>
      <c r="F15" s="336" t="n"/>
      <c r="G15" s="337" t="n"/>
      <c r="H15" s="338" t="n"/>
      <c r="I15" s="339" t="n"/>
      <c r="J15" s="340">
        <f>IF(L15=2008,AF15+AG15+AH15+AI15+AJ15,IF(L15=2009,AF15+AG15+AH15+AI15+AJ15,IF(L15=2010,AF15+AG15+AH15+AI15+AJ15,IF(L15=2011,AF15+AG15+AH15+AI15+AJ15,IF(L15=2012,AF15+AG15+AH15+AI15+AJ15,IF(L15=2013,AO15+AP15+AQ15+AR15+AS15,IF(L15=2014,AX15+AY15+AZ15+BA15+BB15,IF(L15=2015,AX15+AY15+AZ15+BA15+BB15))))))))</f>
        <v/>
      </c>
      <c r="K15" s="340">
        <f>K14</f>
        <v/>
      </c>
      <c r="L15" s="270">
        <f>L14</f>
        <v/>
      </c>
      <c r="M15" s="312">
        <f>M14</f>
        <v/>
      </c>
      <c r="N15" s="270">
        <f>IF(I15=0,"0",IF(I15&lt;=4999.99,"1",IF(I15&lt;=5999.99,"2",IF(I15&lt;=6999.99,"3",IF(I15&lt;=7999.99,"4",IF(I15&lt;=8999.99,"5",IF(I15&lt;=9999.99,"6",IF(I15&gt;=9999.99,"0",0))))))))</f>
        <v/>
      </c>
      <c r="O15" s="270">
        <f>IF(I15&lt;=9999.99,"0",IF(I15&lt;=10999.99,"7",IF(I15&lt;=11999.99,"8",IF(I15&lt;=12999.99,"9",IF(I15&lt;=13999.99,"10",IF(I15&lt;=14999.99,"11",IF(I15&gt;=14999.99,"0")))))))</f>
        <v/>
      </c>
      <c r="P15" s="270">
        <f>IF(I15&lt;=14999.99,"0",IF(I15&gt;=15000,"12"))</f>
        <v/>
      </c>
      <c r="Q15" s="270">
        <f>IF(J15=1,"50",IF(J15=2,"62.50",IF(J15=3,"75",IF(J15=4,"87.5",IF(J15=5,"100",IF(J15=6,"112.50",IF(J15=7,"125",IF(J15=8,"137.50",0))))))))</f>
        <v/>
      </c>
      <c r="R15" s="270">
        <f>IF(J15=9,"150",IF(J15=10,"162.50",IF(J15=11,"175",IF(J15=12,"187.50",0))))</f>
        <v/>
      </c>
      <c r="S15" s="270">
        <f>IF(I15=0,"0",IF(I15&lt;=4999.99,"1",IF(I15&lt;=5999.99,"2",IF(I15&lt;=6999.99,"3",IF(I15&lt;=7999.99,"4",IF(I15&lt;=8999.99,"5",IF(I15&lt;=9999.99,"6",IF(I15&gt;=9999.99,"0",0))))))))</f>
        <v/>
      </c>
      <c r="T15" s="270">
        <f>IF(I15&lt;=9999.99,"0",IF(I15&lt;=10999.99,"7",IF(I15&lt;=11999.99,"8",IF(I15&lt;=12999.99,"9",IF(I15&lt;=13999.99,"10",IF(I15&lt;=14999.99,"11",IF(I15&gt;=14999.99,"0")))))))</f>
        <v/>
      </c>
      <c r="U15" s="270">
        <f>IF(I15&lt;=14999.99,"0",IF(I15&lt;=15999.99,"12",IF(I15&lt;=16999.99,"13",IF(I15&lt;=17999.99,"14",IF(I15&lt;=18999.99,"15",IF(I15&lt;=19999.99,"16",IF(I15&gt;=20000,"17")))))))</f>
        <v/>
      </c>
      <c r="V15" s="341">
        <f>IF(J15=1,"50",IF(J15=2,"62.50",IF(J15=3,"75",IF(J15=4,"87.5",IF(J15=5,"100",IF(J15=6,"112.50",IF(J15=7,"125",IF(J15=8,"137.50",0))))))))</f>
        <v/>
      </c>
      <c r="W15" s="341">
        <f>IF(J15=9,"150",IF(J15=10,"162.50",IF(J15=11,"175",IF(J15=12,"187.50",IF(J15=13,"200",IF(J15=14,"212.5",IF(J15=15,"225",IF(J15=16,"237.5",0))))))))</f>
        <v/>
      </c>
      <c r="X15" s="341">
        <f>IF(J15=17,"250",0)</f>
        <v/>
      </c>
      <c r="Y15" s="270">
        <f>IF(I15=0,"0",IF(I15&lt;=4999.99,"1",IF(I15&lt;=5999.99,"2",IF(I15&lt;=6999.99,"3",IF(I15&lt;=7999.99,"4",IF(I15&lt;=8999.99,"5",IF(I15&lt;=9999.99,"6",IF(I15&gt;=9999.99,"0",0))))))))</f>
        <v/>
      </c>
      <c r="Z15" s="270">
        <f>IF(I15&lt;=9999.99,"0",IF(I15&lt;=10999.99,"7",IF(I15&lt;=11999.99,"8",IF(I15&lt;=12999.99,"9",IF(I15&lt;=13999.99,"10",IF(I15&lt;=14999.99,"11",IF(I15&gt;=14999.99,"0")))))))</f>
        <v/>
      </c>
      <c r="AA15" s="270">
        <f>IF(I15&lt;=14999.99,"0",IF(I15&lt;=15999.99,"12",IF(I15&lt;=16999.99,"13",IF(I15&lt;=17999.99,"14",IF(I15&lt;=18999.99,"15",IF(I15&lt;=19999.99,"16",IF(I15&lt;=20999.99,"17",IF(I15&gt;=20999.99,"0"))))))))</f>
        <v/>
      </c>
      <c r="AB15" s="270">
        <f>IF(I15&lt;=20999.99,"0",IF(I15&lt;=21999.99,"18",IF(I15&lt;=22999.99,"19",IF(I15&lt;=23999.99,"20",IF(I15&lt;=24999.99,"21",IF(I15&gt;=25000,"22"))))))</f>
        <v/>
      </c>
      <c r="AC15" s="341">
        <f>IF(J15=1,"50",IF(J15=2,"62.50",IF(J15=3,"75",IF(J15=4,"87.5",IF(J15=5,"100",IF(J15=6,"112.50",IF(J15=7,"125",IF(J15=8,"137.50",0))))))))</f>
        <v/>
      </c>
      <c r="AD15" s="341">
        <f>IF(J15=9,"150",IF(J15=10,"162.50",IF(J15=11,"175",IF(J15=12,"187.50",IF(J15=13,"200",IF(J15=14,"212.5",IF(J15=15,"225",IF(J15=16,"237.5",0))))))))</f>
        <v/>
      </c>
      <c r="AE15" s="341">
        <f>IF(J15=17,"250",IF(J15=18,"262.50",IF(J15=19,"275",IF(J15=20,"287.50",IF(J15=21,"300",IF(J15=22,"312.50",0))))))</f>
        <v/>
      </c>
      <c r="AF15" s="270">
        <f>IF(I15=0,"0",IF(I15&lt;=4999.99,"1",IF(I15&lt;=5999.99,"2",IF(I15&lt;=6999.99,"3",IF(I15&lt;=7999.99,"4",IF(I15&lt;=8999.99,"5",IF(I15&lt;=9999.99,"6",IF(I15&gt;=9999.99,"0",0))))))))</f>
        <v/>
      </c>
      <c r="AG15" s="270">
        <f>IF(I15&lt;=9999.99,"0",IF(I15&lt;=10999.99,"7",IF(I15&lt;=11999.99,"8",IF(I15&lt;=12999.99,"9",IF(I15&lt;=13999.99,"10",IF(I15&lt;=14999.99,"11",IF(I15&gt;=14999.99,"0")))))))</f>
        <v/>
      </c>
      <c r="AH15" s="270">
        <f>IF(I15&lt;=14999.99,"0",IF(I15&lt;=15999.99,"12",IF(I15&lt;=16999.99,"13",IF(I15&lt;=17999.99,"14",IF(I15&lt;=18999.99,"15",IF(I15&lt;=19999.99,"16",IF(I15&lt;=20999.99,"17",IF(I15&gt;=20999.99,"0"))))))))</f>
        <v/>
      </c>
      <c r="AI15" s="270">
        <f>IF(I15&lt;=20999.99,"0",IF(I15&lt;=21999.99,"18",IF(I15&lt;=22999.99,"19",IF(I15&lt;=23999.99,"20",IF(I15&lt;=24999.99,"21",IF(I15&lt;=25999.99,"22",IF(I15&lt;=26999.99,"23",IF(I15&gt;=26999.99,"0"))))))))</f>
        <v/>
      </c>
      <c r="AJ15" s="270">
        <f>IF(I15&lt;=26999.99,"0",IF(I15&lt;=27999.99,"24",IF(I15&lt;=28999.99,"25",IF(I15&lt;=29999.99,"26",IF(I15&gt;=30000,"27")))))</f>
        <v/>
      </c>
      <c r="AK15" s="341">
        <f>IF(J15=1,"50",IF(J15=2,"62.50",IF(J15=3,"75",IF(J15=4,"87.5",IF(J15=5,"100",IF(J15=6,"112.50",IF(J15=7,"125",IF(J15=8,"137.50",0))))))))</f>
        <v/>
      </c>
      <c r="AL15" s="341">
        <f>IF(J15=9,"150",IF(J15=10,"162.50",IF(J15=11,"175",IF(J15=12,"187.50",IF(J15=13,"200",IF(J15=14,"212.5",IF(J15=15,"225",IF(J15=16,"237.5",0))))))))</f>
        <v/>
      </c>
      <c r="AM15" s="341">
        <f>IF(J15=17,"250",IF(J15=18,"262.50",IF(J15=19,"275",IF(J15=20,"287.50",IF(J15=21,"300",IF(J15=22,"312.50",IF(J15=23,"325",IF(J15=24,"337.50",0))))))))</f>
        <v/>
      </c>
      <c r="AN15" s="341">
        <f>IF(J15=25,"350",IF(J15=26,"362.50",IF(J15=27,"375",0)))</f>
        <v/>
      </c>
      <c r="AO15" s="270">
        <f>IF(I15=0,"0",IF(I15&lt;=7999.99,"1",IF(I15&lt;=8999.99,"2",IF(I15&lt;=9999.99,"3",IF(I15&lt;=10999.99,"4",IF(I15&lt;=11999.99,"5",IF(I15&lt;=12999.99,"6",IF(I15&gt;=12999.99,"0",0))))))))</f>
        <v/>
      </c>
      <c r="AP15" s="270">
        <f>IF(I15&lt;=12999.99,"0",IF(I15&lt;=13999.99,"7",IF(I15&lt;=14999.99,"8",IF(I15&lt;=15999.99,"9",IF(I15&lt;=16999.99,"10",IF(I15&lt;=17999.99,"11",IF(I15&gt;=17999.99,"0")))))))</f>
        <v/>
      </c>
      <c r="AQ15" s="270">
        <f>IF(I15&lt;=17999.99,"0",IF(I15&lt;=18999.99,"12",IF(I15&lt;=19999.99,"13",IF(I15&lt;=20999.99,"14",IF(I15&lt;=21999.99,"15",IF(I15&lt;=22999.99,"16",IF(I15&lt;=23999.99,"17",IF(I15&gt;=23999.99,"0"))))))))</f>
        <v/>
      </c>
      <c r="AR15" s="270">
        <f>IF(I15&lt;=23999.99,"0",IF(I15&lt;=24999.99,"18",IF(I15&lt;=25999.99,"19",IF(I15&lt;=26999.99,"20",IF(I15&lt;=27999.99,"21",IF(I15&lt;=28999.99,"22",IF(I15&lt;=29999.99,"23",IF(I15&gt;=29999.99,"0"))))))))</f>
        <v/>
      </c>
      <c r="AS15" s="270">
        <f>IF(I15&lt;=29999.99,"0",IF(I15&lt;=30999.99,"24",IF(I15&lt;=31999.99,"25",IF(I15&lt;=32999.99,"26",IF(I15&lt;=33999.99,"27",IF(I15&lt;=34999.99,"28",IF(I15&gt;=35000,"29")))))))</f>
        <v/>
      </c>
      <c r="AT15" s="270">
        <f>IF(J15=1,"87.50",IF(J15=2,"100",IF(J15=3,"112.50",IF(J15=4,"125",IF(J15=5,"137.50",IF(J15=6,"150",IF(J15=7,"162.50",IF(J15=8,"175",0))))))))</f>
        <v/>
      </c>
      <c r="AU15" s="270">
        <f>IF(J15=9,"187.50",IF(J15=10,"200",IF(J15=11,"212.50",IF(J15=12,"225",IF(J15=13,"237.50",IF(J15=14,"250",IF(J15=15,"262.50",IF(J15=16,"275",0))))))))</f>
        <v/>
      </c>
      <c r="AV15" s="270">
        <f>IF(J15=17,"287.50",IF(J15=18,"300",IF(J15=19,"312.50",IF(J15=20,"325",IF(J15=21,"337.50",IF(J15=22,"350",IF(J15=23,"362.50",IF(J15=24,"375",0))))))))</f>
        <v/>
      </c>
      <c r="AW15" s="270">
        <f>IF(J15=25,"387.50",IF(J15=26,"400",IF(J15=27,"412.50",IF(J15=28,"425",IF(J15=29,"437.50",0)))))</f>
        <v/>
      </c>
      <c r="AX15" s="270">
        <f>IF(I15=0,"0",IF(I15&lt;=8999.99,"1",IF(I15&lt;=9999.99,"2",IF(I15&lt;=10999.99,"3",IF(I15&lt;=11999.99,"4",IF(I15&lt;=12999.99,"5",IF(I15&lt;=13999.99,"6",IF(I15&gt;=13999.99,"0",0))))))))</f>
        <v/>
      </c>
      <c r="AY15" s="270">
        <f>IF(I15&lt;=13999.99,"0",IF(I15&lt;=14999.99,"7",IF(I15&lt;=15999.99,"8",IF(I15&lt;=16999.99,"9",IF(I15&lt;=17999.99,"10",IF(I15&lt;=18999.99,"11",IF(I15&gt;=18999.99,"0")))))))</f>
        <v/>
      </c>
      <c r="AZ15" s="270">
        <f>IF(I15&lt;=18999.99,"0",IF(I15&lt;=19999.99,"12",IF(I15&lt;=20999.99,"13",IF(I15&lt;=21999.99,"14",IF(I15&lt;=22999.99,"15",IF(I15&lt;=23999.99,"16",IF(I15&lt;=24999.99,"17",IF(I15&gt;=24999.99,"0"))))))))</f>
        <v/>
      </c>
      <c r="BA15" s="270">
        <f>IF(I15&lt;=24999.99,"0",IF(I15&lt;=25999.99,"18",IF(I15&lt;=26999.99,"19",IF(I15&lt;=27999.99,"20",IF(I15&lt;=28999.99,"21",IF(I15&lt;=29999.99,"22",IF(I15&lt;=30999.99,"23",IF(I15&gt;=30999.99,"0"))))))))</f>
        <v/>
      </c>
      <c r="BB15" s="270">
        <f>IF(I15&lt;=30999.99,"0",IF(I15&lt;=31999.99,"24",IF(I15&lt;=32999.99,"25",IF(I15&lt;=33999.99,"26",IF(I15&lt;=34999.99,"27",IF(I15&gt;=35000,"28"))))))</f>
        <v/>
      </c>
      <c r="BC15" s="270">
        <f>IF(J15=1,"100",IF(J15=2,"112.50",IF(J15=3,"125",IF(J15=4,"137.50",IF(J15=5,"150",IF(J15=6,"162.50",IF(J15=7,"175",IF(J15=8,"187.50",0))))))))</f>
        <v/>
      </c>
      <c r="BD15" s="270">
        <f>IF(J15=9,"200",IF(J15=10,"212.50",IF(J15=11,"225",IF(J15=12,"237.50",IF(J15=13,"250",IF(J15=14,"262.50",IF(J15=15,"275",IF(J15=16,"287.50",0))))))))</f>
        <v/>
      </c>
      <c r="BE15" s="270">
        <f>IF(J15=17,"300",IF(J15=18,"312.50",IF(J15=19,"325",IF(J15=20,"337.50",IF(J15=21,"350",IF(J15=22,"362.50",IF(J15=23,"375",IF(J15=24,"387.50",0))))))))</f>
        <v/>
      </c>
      <c r="BF15" s="270">
        <f>IF(J15=25,"400",IF(J15=26,"412.50",IF(J15=27,"425",IF(J15=28,"437.50",0))))</f>
        <v/>
      </c>
      <c r="BG15" s="341">
        <f>IF(L15=2008,AK15+AL15+AM15+AN15,IF(L15=2009,AK15+AL15+AM15+AN15,IF(L15=2010,AK15+AL15+AM15+AN15,IF(L15=2011,AK15+AL15+AM15+AN15,IF(L15=2012,AK15+AL15+AM15+AN15,IF(L15=2013,AT15+AU15+AV15+AW15,IF(L15=2014,BC15+BD15+BE15+BF15,IF(L15=2015,BC15+BD15+BE15+BF15))))))))</f>
        <v/>
      </c>
      <c r="BH15" s="341">
        <f>IF(L15=2008,AK15+AL15+AM15+AN15,IF(L15=2009,AK15+AL15+AM15+AN15,IF(L15=2010,AK15+AL15+AM15+AN15,IF(L15=2011,AK15+AL15+AM15+AN15,IF(L15=2012,AK15+AL15+AM15+AN15,IF(L15=2013,AT15+AU15+AV15+AW15,IF(L15=2014,BC15+BD15+BE15+BF15,IF(L15=2015,BC15+BD15+BE15+BF15))))))))</f>
        <v/>
      </c>
      <c r="BI15" s="342">
        <f>IF(BH15=0,0,IF(BH15&lt;=M15,BH15,IF(BH15&gt;=M15,M15)))</f>
        <v/>
      </c>
      <c r="BJ15" s="270">
        <f>CODE(B15:B20)</f>
        <v/>
      </c>
      <c r="BK15" s="270">
        <f>ISBLANK(E15)</f>
        <v/>
      </c>
      <c r="BL15" s="270">
        <f>CODE(E15)</f>
        <v/>
      </c>
      <c r="BM15" s="270">
        <f>CHAR(BL15)</f>
        <v/>
      </c>
      <c r="BN15" s="269">
        <f>ISBLANK(F15)</f>
        <v/>
      </c>
      <c r="BO15" s="343">
        <f>ISBLANK(BS15)</f>
        <v/>
      </c>
      <c r="BP15" s="269">
        <f>ISBLANK(BT15)</f>
        <v/>
      </c>
      <c r="BQ15" s="269">
        <f>ISBLANK(G15)</f>
        <v/>
      </c>
      <c r="BR15" s="269">
        <f>TEXT(BT15,"MMDDYYYY")</f>
        <v/>
      </c>
      <c r="BS15" s="344" t="n"/>
      <c r="BT15" s="345" t="n"/>
      <c r="BU15" s="256" t="n"/>
      <c r="BV15" s="256" t="n"/>
      <c r="BW15" s="256" t="n"/>
      <c r="BX15" s="256" t="n"/>
      <c r="BY15" s="256" t="n"/>
      <c r="BZ15" s="256" t="n"/>
      <c r="CA15" s="256" t="n"/>
      <c r="CB15" s="256" t="n"/>
      <c r="CC15" s="257" t="n"/>
      <c r="DN15" s="253" t="n"/>
      <c r="DO15" s="253" t="n"/>
      <c r="DP15" s="253" t="n"/>
      <c r="DQ15" s="253" t="n"/>
      <c r="DY15" s="253" t="n"/>
      <c r="DZ15" s="253" t="n"/>
      <c r="EA15" s="253" t="n"/>
      <c r="EB15" s="253" t="n"/>
      <c r="EC15" s="253" t="n"/>
      <c r="ED15" s="253" t="n"/>
      <c r="EE15" s="253" t="n"/>
      <c r="EF15" s="253" t="n"/>
      <c r="EG15" s="253" t="n"/>
    </row>
    <row customHeight="1" ht="12.75" r="16" s="334" spans="1:150">
      <c r="A16" s="270">
        <f>A15+1</f>
        <v/>
      </c>
      <c r="B16" s="335" t="n"/>
      <c r="C16" s="335" t="n"/>
      <c r="D16" s="335" t="n"/>
      <c r="E16" s="335" t="n"/>
      <c r="F16" s="336" t="n"/>
      <c r="G16" s="337" t="n"/>
      <c r="H16" s="338" t="n"/>
      <c r="I16" s="339" t="n"/>
      <c r="J16" s="340">
        <f>IF(L16=2008,AF16+AG16+AH16+AI16+AJ16,IF(L16=2009,AF16+AG16+AH16+AI16+AJ16,IF(L16=2010,AF16+AG16+AH16+AI16+AJ16,IF(L16=2011,AF16+AG16+AH16+AI16+AJ16,IF(L16=2012,AF16+AG16+AH16+AI16+AJ16,IF(L16=2013,AO16+AP16+AQ16+AR16+AS16,IF(L16=2014,AX16+AY16+AZ16+BA16+BB16,IF(L16=2015,AX16+AY16+AZ16+BA16+BB16))))))))</f>
        <v/>
      </c>
      <c r="K16" s="340">
        <f>K15</f>
        <v/>
      </c>
      <c r="L16" s="270">
        <f>L15</f>
        <v/>
      </c>
      <c r="M16" s="312">
        <f>M15</f>
        <v/>
      </c>
      <c r="N16" s="270">
        <f>IF(I16=0,"0",IF(I16&lt;=4999.99,"1",IF(I16&lt;=5999.99,"2",IF(I16&lt;=6999.99,"3",IF(I16&lt;=7999.99,"4",IF(I16&lt;=8999.99,"5",IF(I16&lt;=9999.99,"6",IF(I16&gt;=9999.99,"0",0))))))))</f>
        <v/>
      </c>
      <c r="O16" s="270">
        <f>IF(I16&lt;=9999.99,"0",IF(I16&lt;=10999.99,"7",IF(I16&lt;=11999.99,"8",IF(I16&lt;=12999.99,"9",IF(I16&lt;=13999.99,"10",IF(I16&lt;=14999.99,"11",IF(I16&gt;=14999.99,"0")))))))</f>
        <v/>
      </c>
      <c r="P16" s="270">
        <f>IF(I16&lt;=14999.99,"0",IF(I16&gt;=15000,"12"))</f>
        <v/>
      </c>
      <c r="Q16" s="270">
        <f>IF(J16=1,"50",IF(J16=2,"62.50",IF(J16=3,"75",IF(J16=4,"87.5",IF(J16=5,"100",IF(J16=6,"112.50",IF(J16=7,"125",IF(J16=8,"137.50",0))))))))</f>
        <v/>
      </c>
      <c r="R16" s="270">
        <f>IF(J16=9,"150",IF(J16=10,"162.50",IF(J16=11,"175",IF(J16=12,"187.50",0))))</f>
        <v/>
      </c>
      <c r="S16" s="270">
        <f>IF(I16=0,"0",IF(I16&lt;=4999.99,"1",IF(I16&lt;=5999.99,"2",IF(I16&lt;=6999.99,"3",IF(I16&lt;=7999.99,"4",IF(I16&lt;=8999.99,"5",IF(I16&lt;=9999.99,"6",IF(I16&gt;=9999.99,"0",0))))))))</f>
        <v/>
      </c>
      <c r="T16" s="270">
        <f>IF(I16&lt;=9999.99,"0",IF(I16&lt;=10999.99,"7",IF(I16&lt;=11999.99,"8",IF(I16&lt;=12999.99,"9",IF(I16&lt;=13999.99,"10",IF(I16&lt;=14999.99,"11",IF(I16&gt;=14999.99,"0")))))))</f>
        <v/>
      </c>
      <c r="U16" s="270">
        <f>IF(I16&lt;=14999.99,"0",IF(I16&lt;=15999.99,"12",IF(I16&lt;=16999.99,"13",IF(I16&lt;=17999.99,"14",IF(I16&lt;=18999.99,"15",IF(I16&lt;=19999.99,"16",IF(I16&gt;=20000,"17")))))))</f>
        <v/>
      </c>
      <c r="V16" s="341">
        <f>IF(J16=1,"50",IF(J16=2,"62.50",IF(J16=3,"75",IF(J16=4,"87.5",IF(J16=5,"100",IF(J16=6,"112.50",IF(J16=7,"125",IF(J16=8,"137.50",0))))))))</f>
        <v/>
      </c>
      <c r="W16" s="341">
        <f>IF(J16=9,"150",IF(J16=10,"162.50",IF(J16=11,"175",IF(J16=12,"187.50",IF(J16=13,"200",IF(J16=14,"212.5",IF(J16=15,"225",IF(J16=16,"237.5",0))))))))</f>
        <v/>
      </c>
      <c r="X16" s="341">
        <f>IF(J16=17,"250",0)</f>
        <v/>
      </c>
      <c r="Y16" s="270">
        <f>IF(I16=0,"0",IF(I16&lt;=4999.99,"1",IF(I16&lt;=5999.99,"2",IF(I16&lt;=6999.99,"3",IF(I16&lt;=7999.99,"4",IF(I16&lt;=8999.99,"5",IF(I16&lt;=9999.99,"6",IF(I16&gt;=9999.99,"0",0))))))))</f>
        <v/>
      </c>
      <c r="Z16" s="270">
        <f>IF(I16&lt;=9999.99,"0",IF(I16&lt;=10999.99,"7",IF(I16&lt;=11999.99,"8",IF(I16&lt;=12999.99,"9",IF(I16&lt;=13999.99,"10",IF(I16&lt;=14999.99,"11",IF(I16&gt;=14999.99,"0")))))))</f>
        <v/>
      </c>
      <c r="AA16" s="270">
        <f>IF(I16&lt;=14999.99,"0",IF(I16&lt;=15999.99,"12",IF(I16&lt;=16999.99,"13",IF(I16&lt;=17999.99,"14",IF(I16&lt;=18999.99,"15",IF(I16&lt;=19999.99,"16",IF(I16&lt;=20999.99,"17",IF(I16&gt;=20999.99,"0"))))))))</f>
        <v/>
      </c>
      <c r="AB16" s="270">
        <f>IF(I16&lt;=20999.99,"0",IF(I16&lt;=21999.99,"18",IF(I16&lt;=22999.99,"19",IF(I16&lt;=23999.99,"20",IF(I16&lt;=24999.99,"21",IF(I16&gt;=25000,"22"))))))</f>
        <v/>
      </c>
      <c r="AC16" s="341">
        <f>IF(J16=1,"50",IF(J16=2,"62.50",IF(J16=3,"75",IF(J16=4,"87.5",IF(J16=5,"100",IF(J16=6,"112.50",IF(J16=7,"125",IF(J16=8,"137.50",0))))))))</f>
        <v/>
      </c>
      <c r="AD16" s="341">
        <f>IF(J16=9,"150",IF(J16=10,"162.50",IF(J16=11,"175",IF(J16=12,"187.50",IF(J16=13,"200",IF(J16=14,"212.5",IF(J16=15,"225",IF(J16=16,"237.5",0))))))))</f>
        <v/>
      </c>
      <c r="AE16" s="341">
        <f>IF(J16=17,"250",IF(J16=18,"262.50",IF(J16=19,"275",IF(J16=20,"287.50",IF(J16=21,"300",IF(J16=22,"312.50",0))))))</f>
        <v/>
      </c>
      <c r="AF16" s="270">
        <f>IF(I16=0,"0",IF(I16&lt;=4999.99,"1",IF(I16&lt;=5999.99,"2",IF(I16&lt;=6999.99,"3",IF(I16&lt;=7999.99,"4",IF(I16&lt;=8999.99,"5",IF(I16&lt;=9999.99,"6",IF(I16&gt;=9999.99,"0",0))))))))</f>
        <v/>
      </c>
      <c r="AG16" s="270">
        <f>IF(I16&lt;=9999.99,"0",IF(I16&lt;=10999.99,"7",IF(I16&lt;=11999.99,"8",IF(I16&lt;=12999.99,"9",IF(I16&lt;=13999.99,"10",IF(I16&lt;=14999.99,"11",IF(I16&gt;=14999.99,"0")))))))</f>
        <v/>
      </c>
      <c r="AH16" s="270">
        <f>IF(I16&lt;=14999.99,"0",IF(I16&lt;=15999.99,"12",IF(I16&lt;=16999.99,"13",IF(I16&lt;=17999.99,"14",IF(I16&lt;=18999.99,"15",IF(I16&lt;=19999.99,"16",IF(I16&lt;=20999.99,"17",IF(I16&gt;=20999.99,"0"))))))))</f>
        <v/>
      </c>
      <c r="AI16" s="270">
        <f>IF(I16&lt;=20999.99,"0",IF(I16&lt;=21999.99,"18",IF(I16&lt;=22999.99,"19",IF(I16&lt;=23999.99,"20",IF(I16&lt;=24999.99,"21",IF(I16&lt;=25999.99,"22",IF(I16&lt;=26999.99,"23",IF(I16&gt;=26999.99,"0"))))))))</f>
        <v/>
      </c>
      <c r="AJ16" s="270">
        <f>IF(I16&lt;=26999.99,"0",IF(I16&lt;=27999.99,"24",IF(I16&lt;=28999.99,"25",IF(I16&lt;=29999.99,"26",IF(I16&gt;=30000,"27")))))</f>
        <v/>
      </c>
      <c r="AK16" s="341">
        <f>IF(J16=1,"50",IF(J16=2,"62.50",IF(J16=3,"75",IF(J16=4,"87.5",IF(J16=5,"100",IF(J16=6,"112.50",IF(J16=7,"125",IF(J16=8,"137.50",0))))))))</f>
        <v/>
      </c>
      <c r="AL16" s="341">
        <f>IF(J16=9,"150",IF(J16=10,"162.50",IF(J16=11,"175",IF(J16=12,"187.50",IF(J16=13,"200",IF(J16=14,"212.5",IF(J16=15,"225",IF(J16=16,"237.5",0))))))))</f>
        <v/>
      </c>
      <c r="AM16" s="341">
        <f>IF(J16=17,"250",IF(J16=18,"262.50",IF(J16=19,"275",IF(J16=20,"287.50",IF(J16=21,"300",IF(J16=22,"312.50",IF(J16=23,"325",IF(J16=24,"337.50",0))))))))</f>
        <v/>
      </c>
      <c r="AN16" s="341">
        <f>IF(J16=25,"350",IF(J16=26,"362.50",IF(J16=27,"375",0)))</f>
        <v/>
      </c>
      <c r="AO16" s="270">
        <f>IF(I16=0,"0",IF(I16&lt;=7999.99,"1",IF(I16&lt;=8999.99,"2",IF(I16&lt;=9999.99,"3",IF(I16&lt;=10999.99,"4",IF(I16&lt;=11999.99,"5",IF(I16&lt;=12999.99,"6",IF(I16&gt;=12999.99,"0",0))))))))</f>
        <v/>
      </c>
      <c r="AP16" s="270">
        <f>IF(I16&lt;=12999.99,"0",IF(I16&lt;=13999.99,"7",IF(I16&lt;=14999.99,"8",IF(I16&lt;=15999.99,"9",IF(I16&lt;=16999.99,"10",IF(I16&lt;=17999.99,"11",IF(I16&gt;=17999.99,"0")))))))</f>
        <v/>
      </c>
      <c r="AQ16" s="270">
        <f>IF(I16&lt;=17999.99,"0",IF(I16&lt;=18999.99,"12",IF(I16&lt;=19999.99,"13",IF(I16&lt;=20999.99,"14",IF(I16&lt;=21999.99,"15",IF(I16&lt;=22999.99,"16",IF(I16&lt;=23999.99,"17",IF(I16&gt;=23999.99,"0"))))))))</f>
        <v/>
      </c>
      <c r="AR16" s="270">
        <f>IF(I16&lt;=23999.99,"0",IF(I16&lt;=24999.99,"18",IF(I16&lt;=25999.99,"19",IF(I16&lt;=26999.99,"20",IF(I16&lt;=27999.99,"21",IF(I16&lt;=28999.99,"22",IF(I16&lt;=29999.99,"23",IF(I16&gt;=29999.99,"0"))))))))</f>
        <v/>
      </c>
      <c r="AS16" s="270">
        <f>IF(I16&lt;=29999.99,"0",IF(I16&lt;=30999.99,"24",IF(I16&lt;=31999.99,"25",IF(I16&lt;=32999.99,"26",IF(I16&lt;=33999.99,"27",IF(I16&lt;=34999.99,"28",IF(I16&gt;=35000,"29")))))))</f>
        <v/>
      </c>
      <c r="AT16" s="270">
        <f>IF(J16=1,"87.50",IF(J16=2,"100",IF(J16=3,"112.50",IF(J16=4,"125",IF(J16=5,"137.50",IF(J16=6,"150",IF(J16=7,"162.50",IF(J16=8,"175",0))))))))</f>
        <v/>
      </c>
      <c r="AU16" s="270">
        <f>IF(J16=9,"187.50",IF(J16=10,"200",IF(J16=11,"212.50",IF(J16=12,"225",IF(J16=13,"237.50",IF(J16=14,"250",IF(J16=15,"262.50",IF(J16=16,"275",0))))))))</f>
        <v/>
      </c>
      <c r="AV16" s="270">
        <f>IF(J16=17,"287.50",IF(J16=18,"300",IF(J16=19,"312.50",IF(J16=20,"325",IF(J16=21,"337.50",IF(J16=22,"350",IF(J16=23,"362.50",IF(J16=24,"375",0))))))))</f>
        <v/>
      </c>
      <c r="AW16" s="270">
        <f>IF(J16=25,"387.50",IF(J16=26,"400",IF(J16=27,"412.50",IF(J16=28,"425",IF(J16=29,"437.50",0)))))</f>
        <v/>
      </c>
      <c r="AX16" s="270">
        <f>IF(I16=0,"0",IF(I16&lt;=8999.99,"1",IF(I16&lt;=9999.99,"2",IF(I16&lt;=10999.99,"3",IF(I16&lt;=11999.99,"4",IF(I16&lt;=12999.99,"5",IF(I16&lt;=13999.99,"6",IF(I16&gt;=13999.99,"0",0))))))))</f>
        <v/>
      </c>
      <c r="AY16" s="270">
        <f>IF(I16&lt;=13999.99,"0",IF(I16&lt;=14999.99,"7",IF(I16&lt;=15999.99,"8",IF(I16&lt;=16999.99,"9",IF(I16&lt;=17999.99,"10",IF(I16&lt;=18999.99,"11",IF(I16&gt;=18999.99,"0")))))))</f>
        <v/>
      </c>
      <c r="AZ16" s="270">
        <f>IF(I16&lt;=18999.99,"0",IF(I16&lt;=19999.99,"12",IF(I16&lt;=20999.99,"13",IF(I16&lt;=21999.99,"14",IF(I16&lt;=22999.99,"15",IF(I16&lt;=23999.99,"16",IF(I16&lt;=24999.99,"17",IF(I16&gt;=24999.99,"0"))))))))</f>
        <v/>
      </c>
      <c r="BA16" s="270">
        <f>IF(I16&lt;=24999.99,"0",IF(I16&lt;=25999.99,"18",IF(I16&lt;=26999.99,"19",IF(I16&lt;=27999.99,"20",IF(I16&lt;=28999.99,"21",IF(I16&lt;=29999.99,"22",IF(I16&lt;=30999.99,"23",IF(I16&gt;=30999.99,"0"))))))))</f>
        <v/>
      </c>
      <c r="BB16" s="270">
        <f>IF(I16&lt;=30999.99,"0",IF(I16&lt;=31999.99,"24",IF(I16&lt;=32999.99,"25",IF(I16&lt;=33999.99,"26",IF(I16&lt;=34999.99,"27",IF(I16&gt;=35000,"28"))))))</f>
        <v/>
      </c>
      <c r="BC16" s="270">
        <f>IF(J16=1,"100",IF(J16=2,"112.50",IF(J16=3,"125",IF(J16=4,"137.50",IF(J16=5,"150",IF(J16=6,"162.50",IF(J16=7,"175",IF(J16=8,"187.50",0))))))))</f>
        <v/>
      </c>
      <c r="BD16" s="270">
        <f>IF(J16=9,"200",IF(J16=10,"212.50",IF(J16=11,"225",IF(J16=12,"237.50",IF(J16=13,"250",IF(J16=14,"262.50",IF(J16=15,"275",IF(J16=16,"287.50",0))))))))</f>
        <v/>
      </c>
      <c r="BE16" s="270">
        <f>IF(J16=17,"300",IF(J16=18,"312.50",IF(J16=19,"325",IF(J16=20,"337.50",IF(J16=21,"350",IF(J16=22,"362.50",IF(J16=23,"375",IF(J16=24,"387.50",0))))))))</f>
        <v/>
      </c>
      <c r="BF16" s="270">
        <f>IF(J16=25,"400",IF(J16=26,"412.50",IF(J16=27,"425",IF(J16=28,"437.50",0))))</f>
        <v/>
      </c>
      <c r="BG16" s="341">
        <f>IF(L16=2008,AK16+AL16+AM16+AN16,IF(L16=2009,AK16+AL16+AM16+AN16,IF(L16=2010,AK16+AL16+AM16+AN16,IF(L16=2011,AK16+AL16+AM16+AN16,IF(L16=2012,AK16+AL16+AM16+AN16,IF(L16=2013,AT16+AU16+AV16+AW16,IF(L16=2014,BC16+BD16+BE16+BF16,IF(L16=2015,BC16+BD16+BE16+BF16))))))))</f>
        <v/>
      </c>
      <c r="BH16" s="341">
        <f>IF(L16=2008,AK16+AL16+AM16+AN16,IF(L16=2009,AK16+AL16+AM16+AN16,IF(L16=2010,AK16+AL16+AM16+AN16,IF(L16=2011,AK16+AL16+AM16+AN16,IF(L16=2012,AK16+AL16+AM16+AN16,IF(L16=2013,AT16+AU16+AV16+AW16,IF(L16=2014,BC16+BD16+BE16+BF16,IF(L16=2015,BC16+BD16+BE16+BF16))))))))</f>
        <v/>
      </c>
      <c r="BI16" s="342">
        <f>IF(BH16=0,0,IF(BH16&lt;=M16,BH16,IF(BH16&gt;=M16,M16)))</f>
        <v/>
      </c>
      <c r="BJ16" s="270">
        <f>CODE(B16:B20)</f>
        <v/>
      </c>
      <c r="BK16" s="270">
        <f>ISBLANK(E16)</f>
        <v/>
      </c>
      <c r="BL16" s="270">
        <f>CODE(E16)</f>
        <v/>
      </c>
      <c r="BM16" s="270">
        <f>CHAR(BL16)</f>
        <v/>
      </c>
      <c r="BN16" s="269">
        <f>ISBLANK(F16)</f>
        <v/>
      </c>
      <c r="BO16" s="343">
        <f>ISBLANK(BS16)</f>
        <v/>
      </c>
      <c r="BP16" s="269">
        <f>ISBLANK(BT16)</f>
        <v/>
      </c>
      <c r="BQ16" s="269">
        <f>ISBLANK(G16)</f>
        <v/>
      </c>
      <c r="BR16" s="269">
        <f>TEXT(BT16,"MMDDYYYY")</f>
        <v/>
      </c>
      <c r="BS16" s="344" t="n"/>
      <c r="BT16" s="345" t="n"/>
      <c r="BU16" s="256" t="n"/>
      <c r="BV16" s="256" t="n"/>
      <c r="BW16" s="256" t="n"/>
      <c r="BX16" s="256" t="n"/>
      <c r="BY16" s="256" t="n"/>
      <c r="BZ16" s="256" t="n"/>
      <c r="CA16" s="256" t="n"/>
      <c r="CB16" s="256" t="n"/>
      <c r="CC16" s="257" t="n"/>
      <c r="DN16" s="253" t="n"/>
      <c r="DO16" s="253" t="n"/>
      <c r="DP16" s="253" t="n"/>
      <c r="DQ16" s="253" t="n"/>
      <c r="DY16" s="253" t="n"/>
      <c r="DZ16" s="253" t="n"/>
      <c r="EA16" s="253" t="n"/>
      <c r="EB16" s="253" t="n"/>
      <c r="EC16" s="253" t="n"/>
      <c r="ED16" s="253" t="n"/>
      <c r="EE16" s="253" t="n"/>
      <c r="EF16" s="253" t="n"/>
      <c r="EG16" s="253" t="n"/>
    </row>
    <row customHeight="1" ht="12.75" r="17" s="334" spans="1:150">
      <c r="A17" s="270">
        <f>A16+1</f>
        <v/>
      </c>
      <c r="B17" s="335" t="n"/>
      <c r="C17" s="335" t="n"/>
      <c r="D17" s="335" t="n"/>
      <c r="E17" s="335" t="n"/>
      <c r="F17" s="336" t="n"/>
      <c r="G17" s="337" t="n"/>
      <c r="H17" s="338" t="n"/>
      <c r="I17" s="339" t="n"/>
      <c r="J17" s="340">
        <f>IF(L17=2008,AF17+AG17+AH17+AI17+AJ17,IF(L17=2009,AF17+AG17+AH17+AI17+AJ17,IF(L17=2010,AF17+AG17+AH17+AI17+AJ17,IF(L17=2011,AF17+AG17+AH17+AI17+AJ17,IF(L17=2012,AF17+AG17+AH17+AI17+AJ17,IF(L17=2013,AO17+AP17+AQ17+AR17+AS17,IF(L17=2014,AX17+AY17+AZ17+BA17+BB17,IF(L17=2015,AX17+AY17+AZ17+BA17+BB17))))))))</f>
        <v/>
      </c>
      <c r="K17" s="340">
        <f>K16</f>
        <v/>
      </c>
      <c r="L17" s="270">
        <f>L16</f>
        <v/>
      </c>
      <c r="M17" s="312">
        <f>M16</f>
        <v/>
      </c>
      <c r="N17" s="270">
        <f>IF(I17=0,"0",IF(I17&lt;=4999.99,"1",IF(I17&lt;=5999.99,"2",IF(I17&lt;=6999.99,"3",IF(I17&lt;=7999.99,"4",IF(I17&lt;=8999.99,"5",IF(I17&lt;=9999.99,"6",IF(I17&gt;=9999.99,"0",0))))))))</f>
        <v/>
      </c>
      <c r="O17" s="270">
        <f>IF(I17&lt;=9999.99,"0",IF(I17&lt;=10999.99,"7",IF(I17&lt;=11999.99,"8",IF(I17&lt;=12999.99,"9",IF(I17&lt;=13999.99,"10",IF(I17&lt;=14999.99,"11",IF(I17&gt;=14999.99,"0")))))))</f>
        <v/>
      </c>
      <c r="P17" s="270">
        <f>IF(I17&lt;=14999.99,"0",IF(I17&gt;=15000,"12"))</f>
        <v/>
      </c>
      <c r="Q17" s="270">
        <f>IF(J17=1,"50",IF(J17=2,"62.50",IF(J17=3,"75",IF(J17=4,"87.5",IF(J17=5,"100",IF(J17=6,"112.50",IF(J17=7,"125",IF(J17=8,"137.50",0))))))))</f>
        <v/>
      </c>
      <c r="R17" s="270">
        <f>IF(J17=9,"150",IF(J17=10,"162.50",IF(J17=11,"175",IF(J17=12,"187.50",0))))</f>
        <v/>
      </c>
      <c r="S17" s="270">
        <f>IF(I17=0,"0",IF(I17&lt;=4999.99,"1",IF(I17&lt;=5999.99,"2",IF(I17&lt;=6999.99,"3",IF(I17&lt;=7999.99,"4",IF(I17&lt;=8999.99,"5",IF(I17&lt;=9999.99,"6",IF(I17&gt;=9999.99,"0",0))))))))</f>
        <v/>
      </c>
      <c r="T17" s="270">
        <f>IF(I17&lt;=9999.99,"0",IF(I17&lt;=10999.99,"7",IF(I17&lt;=11999.99,"8",IF(I17&lt;=12999.99,"9",IF(I17&lt;=13999.99,"10",IF(I17&lt;=14999.99,"11",IF(I17&gt;=14999.99,"0")))))))</f>
        <v/>
      </c>
      <c r="U17" s="270">
        <f>IF(I17&lt;=14999.99,"0",IF(I17&lt;=15999.99,"12",IF(I17&lt;=16999.99,"13",IF(I17&lt;=17999.99,"14",IF(I17&lt;=18999.99,"15",IF(I17&lt;=19999.99,"16",IF(I17&gt;=20000,"17")))))))</f>
        <v/>
      </c>
      <c r="V17" s="341">
        <f>IF(J17=1,"50",IF(J17=2,"62.50",IF(J17=3,"75",IF(J17=4,"87.5",IF(J17=5,"100",IF(J17=6,"112.50",IF(J17=7,"125",IF(J17=8,"137.50",0))))))))</f>
        <v/>
      </c>
      <c r="W17" s="341">
        <f>IF(J17=9,"150",IF(J17=10,"162.50",IF(J17=11,"175",IF(J17=12,"187.50",IF(J17=13,"200",IF(J17=14,"212.5",IF(J17=15,"225",IF(J17=16,"237.5",0))))))))</f>
        <v/>
      </c>
      <c r="X17" s="341">
        <f>IF(J17=17,"250",0)</f>
        <v/>
      </c>
      <c r="Y17" s="270">
        <f>IF(I17=0,"0",IF(I17&lt;=4999.99,"1",IF(I17&lt;=5999.99,"2",IF(I17&lt;=6999.99,"3",IF(I17&lt;=7999.99,"4",IF(I17&lt;=8999.99,"5",IF(I17&lt;=9999.99,"6",IF(I17&gt;=9999.99,"0",0))))))))</f>
        <v/>
      </c>
      <c r="Z17" s="270">
        <f>IF(I17&lt;=9999.99,"0",IF(I17&lt;=10999.99,"7",IF(I17&lt;=11999.99,"8",IF(I17&lt;=12999.99,"9",IF(I17&lt;=13999.99,"10",IF(I17&lt;=14999.99,"11",IF(I17&gt;=14999.99,"0")))))))</f>
        <v/>
      </c>
      <c r="AA17" s="270">
        <f>IF(I17&lt;=14999.99,"0",IF(I17&lt;=15999.99,"12",IF(I17&lt;=16999.99,"13",IF(I17&lt;=17999.99,"14",IF(I17&lt;=18999.99,"15",IF(I17&lt;=19999.99,"16",IF(I17&lt;=20999.99,"17",IF(I17&gt;=20999.99,"0"))))))))</f>
        <v/>
      </c>
      <c r="AB17" s="270">
        <f>IF(I17&lt;=20999.99,"0",IF(I17&lt;=21999.99,"18",IF(I17&lt;=22999.99,"19",IF(I17&lt;=23999.99,"20",IF(I17&lt;=24999.99,"21",IF(I17&gt;=25000,"22"))))))</f>
        <v/>
      </c>
      <c r="AC17" s="341">
        <f>IF(J17=1,"50",IF(J17=2,"62.50",IF(J17=3,"75",IF(J17=4,"87.5",IF(J17=5,"100",IF(J17=6,"112.50",IF(J17=7,"125",IF(J17=8,"137.50",0))))))))</f>
        <v/>
      </c>
      <c r="AD17" s="341">
        <f>IF(J17=9,"150",IF(J17=10,"162.50",IF(J17=11,"175",IF(J17=12,"187.50",IF(J17=13,"200",IF(J17=14,"212.5",IF(J17=15,"225",IF(J17=16,"237.5",0))))))))</f>
        <v/>
      </c>
      <c r="AE17" s="341">
        <f>IF(J17=17,"250",IF(J17=18,"262.50",IF(J17=19,"275",IF(J17=20,"287.50",IF(J17=21,"300",IF(J17=22,"312.50",0))))))</f>
        <v/>
      </c>
      <c r="AF17" s="270">
        <f>IF(I17=0,"0",IF(I17&lt;=4999.99,"1",IF(I17&lt;=5999.99,"2",IF(I17&lt;=6999.99,"3",IF(I17&lt;=7999.99,"4",IF(I17&lt;=8999.99,"5",IF(I17&lt;=9999.99,"6",IF(I17&gt;=9999.99,"0",0))))))))</f>
        <v/>
      </c>
      <c r="AG17" s="270">
        <f>IF(I17&lt;=9999.99,"0",IF(I17&lt;=10999.99,"7",IF(I17&lt;=11999.99,"8",IF(I17&lt;=12999.99,"9",IF(I17&lt;=13999.99,"10",IF(I17&lt;=14999.99,"11",IF(I17&gt;=14999.99,"0")))))))</f>
        <v/>
      </c>
      <c r="AH17" s="270">
        <f>IF(I17&lt;=14999.99,"0",IF(I17&lt;=15999.99,"12",IF(I17&lt;=16999.99,"13",IF(I17&lt;=17999.99,"14",IF(I17&lt;=18999.99,"15",IF(I17&lt;=19999.99,"16",IF(I17&lt;=20999.99,"17",IF(I17&gt;=20999.99,"0"))))))))</f>
        <v/>
      </c>
      <c r="AI17" s="270">
        <f>IF(I17&lt;=20999.99,"0",IF(I17&lt;=21999.99,"18",IF(I17&lt;=22999.99,"19",IF(I17&lt;=23999.99,"20",IF(I17&lt;=24999.99,"21",IF(I17&lt;=25999.99,"22",IF(I17&lt;=26999.99,"23",IF(I17&gt;=26999.99,"0"))))))))</f>
        <v/>
      </c>
      <c r="AJ17" s="270">
        <f>IF(I17&lt;=26999.99,"0",IF(I17&lt;=27999.99,"24",IF(I17&lt;=28999.99,"25",IF(I17&lt;=29999.99,"26",IF(I17&gt;=30000,"27")))))</f>
        <v/>
      </c>
      <c r="AK17" s="341">
        <f>IF(J17=1,"50",IF(J17=2,"62.50",IF(J17=3,"75",IF(J17=4,"87.5",IF(J17=5,"100",IF(J17=6,"112.50",IF(J17=7,"125",IF(J17=8,"137.50",0))))))))</f>
        <v/>
      </c>
      <c r="AL17" s="341">
        <f>IF(J17=9,"150",IF(J17=10,"162.50",IF(J17=11,"175",IF(J17=12,"187.50",IF(J17=13,"200",IF(J17=14,"212.5",IF(J17=15,"225",IF(J17=16,"237.5",0))))))))</f>
        <v/>
      </c>
      <c r="AM17" s="341">
        <f>IF(J17=17,"250",IF(J17=18,"262.50",IF(J17=19,"275",IF(J17=20,"287.50",IF(J17=21,"300",IF(J17=22,"312.50",IF(J17=23,"325",IF(J17=24,"337.50",0))))))))</f>
        <v/>
      </c>
      <c r="AN17" s="341">
        <f>IF(J17=25,"350",IF(J17=26,"362.50",IF(J17=27,"375",0)))</f>
        <v/>
      </c>
      <c r="AO17" s="270">
        <f>IF(I17=0,"0",IF(I17&lt;=7999.99,"1",IF(I17&lt;=8999.99,"2",IF(I17&lt;=9999.99,"3",IF(I17&lt;=10999.99,"4",IF(I17&lt;=11999.99,"5",IF(I17&lt;=12999.99,"6",IF(I17&gt;=12999.99,"0",0))))))))</f>
        <v/>
      </c>
      <c r="AP17" s="270">
        <f>IF(I17&lt;=12999.99,"0",IF(I17&lt;=13999.99,"7",IF(I17&lt;=14999.99,"8",IF(I17&lt;=15999.99,"9",IF(I17&lt;=16999.99,"10",IF(I17&lt;=17999.99,"11",IF(I17&gt;=17999.99,"0")))))))</f>
        <v/>
      </c>
      <c r="AQ17" s="270">
        <f>IF(I17&lt;=17999.99,"0",IF(I17&lt;=18999.99,"12",IF(I17&lt;=19999.99,"13",IF(I17&lt;=20999.99,"14",IF(I17&lt;=21999.99,"15",IF(I17&lt;=22999.99,"16",IF(I17&lt;=23999.99,"17",IF(I17&gt;=23999.99,"0"))))))))</f>
        <v/>
      </c>
      <c r="AR17" s="270">
        <f>IF(I17&lt;=23999.99,"0",IF(I17&lt;=24999.99,"18",IF(I17&lt;=25999.99,"19",IF(I17&lt;=26999.99,"20",IF(I17&lt;=27999.99,"21",IF(I17&lt;=28999.99,"22",IF(I17&lt;=29999.99,"23",IF(I17&gt;=29999.99,"0"))))))))</f>
        <v/>
      </c>
      <c r="AS17" s="270">
        <f>IF(I17&lt;=29999.99,"0",IF(I17&lt;=30999.99,"24",IF(I17&lt;=31999.99,"25",IF(I17&lt;=32999.99,"26",IF(I17&lt;=33999.99,"27",IF(I17&lt;=34999.99,"28",IF(I17&gt;=35000,"29")))))))</f>
        <v/>
      </c>
      <c r="AT17" s="270">
        <f>IF(J17=1,"87.50",IF(J17=2,"100",IF(J17=3,"112.50",IF(J17=4,"125",IF(J17=5,"137.50",IF(J17=6,"150",IF(J17=7,"162.50",IF(J17=8,"175",0))))))))</f>
        <v/>
      </c>
      <c r="AU17" s="270">
        <f>IF(J17=9,"187.50",IF(J17=10,"200",IF(J17=11,"212.50",IF(J17=12,"225",IF(J17=13,"237.50",IF(J17=14,"250",IF(J17=15,"262.50",IF(J17=16,"275",0))))))))</f>
        <v/>
      </c>
      <c r="AV17" s="270">
        <f>IF(J17=17,"287.50",IF(J17=18,"300",IF(J17=19,"312.50",IF(J17=20,"325",IF(J17=21,"337.50",IF(J17=22,"350",IF(J17=23,"362.50",IF(J17=24,"375",0))))))))</f>
        <v/>
      </c>
      <c r="AW17" s="270">
        <f>IF(J17=25,"387.50",IF(J17=26,"400",IF(J17=27,"412.50",IF(J17=28,"425",IF(J17=29,"437.50",0)))))</f>
        <v/>
      </c>
      <c r="AX17" s="270">
        <f>IF(I17=0,"0",IF(I17&lt;=8999.99,"1",IF(I17&lt;=9999.99,"2",IF(I17&lt;=10999.99,"3",IF(I17&lt;=11999.99,"4",IF(I17&lt;=12999.99,"5",IF(I17&lt;=13999.99,"6",IF(I17&gt;=13999.99,"0",0))))))))</f>
        <v/>
      </c>
      <c r="AY17" s="270">
        <f>IF(I17&lt;=13999.99,"0",IF(I17&lt;=14999.99,"7",IF(I17&lt;=15999.99,"8",IF(I17&lt;=16999.99,"9",IF(I17&lt;=17999.99,"10",IF(I17&lt;=18999.99,"11",IF(I17&gt;=18999.99,"0")))))))</f>
        <v/>
      </c>
      <c r="AZ17" s="270">
        <f>IF(I17&lt;=18999.99,"0",IF(I17&lt;=19999.99,"12",IF(I17&lt;=20999.99,"13",IF(I17&lt;=21999.99,"14",IF(I17&lt;=22999.99,"15",IF(I17&lt;=23999.99,"16",IF(I17&lt;=24999.99,"17",IF(I17&gt;=24999.99,"0"))))))))</f>
        <v/>
      </c>
      <c r="BA17" s="270">
        <f>IF(I17&lt;=24999.99,"0",IF(I17&lt;=25999.99,"18",IF(I17&lt;=26999.99,"19",IF(I17&lt;=27999.99,"20",IF(I17&lt;=28999.99,"21",IF(I17&lt;=29999.99,"22",IF(I17&lt;=30999.99,"23",IF(I17&gt;=30999.99,"0"))))))))</f>
        <v/>
      </c>
      <c r="BB17" s="270">
        <f>IF(I17&lt;=30999.99,"0",IF(I17&lt;=31999.99,"24",IF(I17&lt;=32999.99,"25",IF(I17&lt;=33999.99,"26",IF(I17&lt;=34999.99,"27",IF(I17&gt;=35000,"28"))))))</f>
        <v/>
      </c>
      <c r="BC17" s="270">
        <f>IF(J17=1,"100",IF(J17=2,"112.50",IF(J17=3,"125",IF(J17=4,"137.50",IF(J17=5,"150",IF(J17=6,"162.50",IF(J17=7,"175",IF(J17=8,"187.50",0))))))))</f>
        <v/>
      </c>
      <c r="BD17" s="270">
        <f>IF(J17=9,"200",IF(J17=10,"212.50",IF(J17=11,"225",IF(J17=12,"237.50",IF(J17=13,"250",IF(J17=14,"262.50",IF(J17=15,"275",IF(J17=16,"287.50",0))))))))</f>
        <v/>
      </c>
      <c r="BE17" s="270">
        <f>IF(J17=17,"300",IF(J17=18,"312.50",IF(J17=19,"325",IF(J17=20,"337.50",IF(J17=21,"350",IF(J17=22,"362.50",IF(J17=23,"375",IF(J17=24,"387.50",0))))))))</f>
        <v/>
      </c>
      <c r="BF17" s="270">
        <f>IF(J17=25,"400",IF(J17=26,"412.50",IF(J17=27,"425",IF(J17=28,"437.50",0))))</f>
        <v/>
      </c>
      <c r="BG17" s="341">
        <f>IF(L17=2008,AK17+AL17+AM17+AN17,IF(L17=2009,AK17+AL17+AM17+AN17,IF(L17=2010,AK17+AL17+AM17+AN17,IF(L17=2011,AK17+AL17+AM17+AN17,IF(L17=2012,AK17+AL17+AM17+AN17,IF(L17=2013,AT17+AU17+AV17+AW17,IF(L17=2014,BC17+BD17+BE17+BF17,IF(L17=2015,BC17+BD17+BE17+BF17))))))))</f>
        <v/>
      </c>
      <c r="BH17" s="341">
        <f>IF(L17=2008,AK17+AL17+AM17+AN17,IF(L17=2009,AK17+AL17+AM17+AN17,IF(L17=2010,AK17+AL17+AM17+AN17,IF(L17=2011,AK17+AL17+AM17+AN17,IF(L17=2012,AK17+AL17+AM17+AN17,IF(L17=2013,AT17+AU17+AV17+AW17,IF(L17=2014,BC17+BD17+BE17+BF17,IF(L17=2015,BC17+BD17+BE17+BF17))))))))</f>
        <v/>
      </c>
      <c r="BI17" s="342">
        <f>IF(BH17=0,0,IF(BH17&lt;=M17,BH17,IF(BH17&gt;=M17,M17)))</f>
        <v/>
      </c>
      <c r="BJ17" s="270">
        <f>CODE(B17:B20)</f>
        <v/>
      </c>
      <c r="BK17" s="270">
        <f>ISBLANK(E17)</f>
        <v/>
      </c>
      <c r="BL17" s="270">
        <f>CODE(E17)</f>
        <v/>
      </c>
      <c r="BM17" s="270">
        <f>CHAR(BL17)</f>
        <v/>
      </c>
      <c r="BN17" s="269">
        <f>ISBLANK(F17)</f>
        <v/>
      </c>
      <c r="BO17" s="343">
        <f>ISBLANK(BS17)</f>
        <v/>
      </c>
      <c r="BP17" s="269">
        <f>ISBLANK(BT17)</f>
        <v/>
      </c>
      <c r="BQ17" s="269">
        <f>ISBLANK(G17)</f>
        <v/>
      </c>
      <c r="BR17" s="269">
        <f>TEXT(BT17,"MMDDYYYY")</f>
        <v/>
      </c>
      <c r="BS17" s="344" t="n"/>
      <c r="BT17" s="345" t="n"/>
      <c r="BU17" s="256" t="n"/>
      <c r="BV17" s="256" t="n"/>
      <c r="BW17" s="256" t="n"/>
      <c r="BX17" s="256" t="n"/>
      <c r="BY17" s="256" t="n"/>
      <c r="BZ17" s="256" t="n"/>
      <c r="CA17" s="256" t="n"/>
      <c r="CB17" s="256" t="n"/>
      <c r="CC17" s="257" t="n"/>
      <c r="DN17" s="253" t="n"/>
      <c r="DO17" s="253" t="n"/>
      <c r="DP17" s="253" t="n"/>
      <c r="DQ17" s="253" t="n"/>
      <c r="DY17" s="253" t="n"/>
      <c r="DZ17" s="253" t="n"/>
      <c r="EA17" s="253" t="n"/>
      <c r="EB17" s="253" t="n"/>
      <c r="EC17" s="253" t="n"/>
      <c r="ED17" s="253" t="n"/>
      <c r="EE17" s="253" t="n"/>
      <c r="EF17" s="253" t="n"/>
      <c r="EG17" s="253" t="n"/>
    </row>
    <row customHeight="1" ht="12.75" r="18" s="334" spans="1:150">
      <c r="A18" s="270">
        <f>A17+1</f>
        <v/>
      </c>
      <c r="B18" s="335" t="n"/>
      <c r="C18" s="335" t="n"/>
      <c r="D18" s="335" t="n"/>
      <c r="E18" s="335" t="n"/>
      <c r="F18" s="336" t="n"/>
      <c r="G18" s="337" t="n"/>
      <c r="H18" s="338" t="n"/>
      <c r="I18" s="339" t="n"/>
      <c r="J18" s="340">
        <f>IF(L18=2008,AF18+AG18+AH18+AI18+AJ18,IF(L18=2009,AF18+AG18+AH18+AI18+AJ18,IF(L18=2010,AF18+AG18+AH18+AI18+AJ18,IF(L18=2011,AF18+AG18+AH18+AI18+AJ18,IF(L18=2012,AF18+AG18+AH18+AI18+AJ18,IF(L18=2013,AO18+AP18+AQ18+AR18+AS18,IF(L18=2014,AX18+AY18+AZ18+BA18+BB18,IF(L18=2015,AX18+AY18+AZ18+BA18+BB18))))))))</f>
        <v/>
      </c>
      <c r="K18" s="340">
        <f>K17</f>
        <v/>
      </c>
      <c r="L18" s="270">
        <f>L17</f>
        <v/>
      </c>
      <c r="M18" s="312">
        <f>M17</f>
        <v/>
      </c>
      <c r="N18" s="270">
        <f>IF(I18=0,"0",IF(I18&lt;=4999.99,"1",IF(I18&lt;=5999.99,"2",IF(I18&lt;=6999.99,"3",IF(I18&lt;=7999.99,"4",IF(I18&lt;=8999.99,"5",IF(I18&lt;=9999.99,"6",IF(I18&gt;=9999.99,"0",0))))))))</f>
        <v/>
      </c>
      <c r="O18" s="270">
        <f>IF(I18&lt;=9999.99,"0",IF(I18&lt;=10999.99,"7",IF(I18&lt;=11999.99,"8",IF(I18&lt;=12999.99,"9",IF(I18&lt;=13999.99,"10",IF(I18&lt;=14999.99,"11",IF(I18&gt;=14999.99,"0")))))))</f>
        <v/>
      </c>
      <c r="P18" s="270">
        <f>IF(I18&lt;=14999.99,"0",IF(I18&gt;=15000,"12"))</f>
        <v/>
      </c>
      <c r="Q18" s="270">
        <f>IF(J18=1,"50",IF(J18=2,"62.50",IF(J18=3,"75",IF(J18=4,"87.5",IF(J18=5,"100",IF(J18=6,"112.50",IF(J18=7,"125",IF(J18=8,"137.50",0))))))))</f>
        <v/>
      </c>
      <c r="R18" s="270">
        <f>IF(J18=9,"150",IF(J18=10,"162.50",IF(J18=11,"175",IF(J18=12,"187.50",0))))</f>
        <v/>
      </c>
      <c r="S18" s="270">
        <f>IF(I18=0,"0",IF(I18&lt;=4999.99,"1",IF(I18&lt;=5999.99,"2",IF(I18&lt;=6999.99,"3",IF(I18&lt;=7999.99,"4",IF(I18&lt;=8999.99,"5",IF(I18&lt;=9999.99,"6",IF(I18&gt;=9999.99,"0",0))))))))</f>
        <v/>
      </c>
      <c r="T18" s="270">
        <f>IF(I18&lt;=9999.99,"0",IF(I18&lt;=10999.99,"7",IF(I18&lt;=11999.99,"8",IF(I18&lt;=12999.99,"9",IF(I18&lt;=13999.99,"10",IF(I18&lt;=14999.99,"11",IF(I18&gt;=14999.99,"0")))))))</f>
        <v/>
      </c>
      <c r="U18" s="270">
        <f>IF(I18&lt;=14999.99,"0",IF(I18&lt;=15999.99,"12",IF(I18&lt;=16999.99,"13",IF(I18&lt;=17999.99,"14",IF(I18&lt;=18999.99,"15",IF(I18&lt;=19999.99,"16",IF(I18&gt;=20000,"17")))))))</f>
        <v/>
      </c>
      <c r="V18" s="341">
        <f>IF(J18=1,"50",IF(J18=2,"62.50",IF(J18=3,"75",IF(J18=4,"87.5",IF(J18=5,"100",IF(J18=6,"112.50",IF(J18=7,"125",IF(J18=8,"137.50",0))))))))</f>
        <v/>
      </c>
      <c r="W18" s="341">
        <f>IF(J18=9,"150",IF(J18=10,"162.50",IF(J18=11,"175",IF(J18=12,"187.50",IF(J18=13,"200",IF(J18=14,"212.5",IF(J18=15,"225",IF(J18=16,"237.5",0))))))))</f>
        <v/>
      </c>
      <c r="X18" s="341">
        <f>IF(J18=17,"250",0)</f>
        <v/>
      </c>
      <c r="Y18" s="270">
        <f>IF(I18=0,"0",IF(I18&lt;=4999.99,"1",IF(I18&lt;=5999.99,"2",IF(I18&lt;=6999.99,"3",IF(I18&lt;=7999.99,"4",IF(I18&lt;=8999.99,"5",IF(I18&lt;=9999.99,"6",IF(I18&gt;=9999.99,"0",0))))))))</f>
        <v/>
      </c>
      <c r="Z18" s="270">
        <f>IF(I18&lt;=9999.99,"0",IF(I18&lt;=10999.99,"7",IF(I18&lt;=11999.99,"8",IF(I18&lt;=12999.99,"9",IF(I18&lt;=13999.99,"10",IF(I18&lt;=14999.99,"11",IF(I18&gt;=14999.99,"0")))))))</f>
        <v/>
      </c>
      <c r="AA18" s="270">
        <f>IF(I18&lt;=14999.99,"0",IF(I18&lt;=15999.99,"12",IF(I18&lt;=16999.99,"13",IF(I18&lt;=17999.99,"14",IF(I18&lt;=18999.99,"15",IF(I18&lt;=19999.99,"16",IF(I18&lt;=20999.99,"17",IF(I18&gt;=20999.99,"0"))))))))</f>
        <v/>
      </c>
      <c r="AB18" s="270">
        <f>IF(I18&lt;=20999.99,"0",IF(I18&lt;=21999.99,"18",IF(I18&lt;=22999.99,"19",IF(I18&lt;=23999.99,"20",IF(I18&lt;=24999.99,"21",IF(I18&gt;=25000,"22"))))))</f>
        <v/>
      </c>
      <c r="AC18" s="341">
        <f>IF(J18=1,"50",IF(J18=2,"62.50",IF(J18=3,"75",IF(J18=4,"87.5",IF(J18=5,"100",IF(J18=6,"112.50",IF(J18=7,"125",IF(J18=8,"137.50",0))))))))</f>
        <v/>
      </c>
      <c r="AD18" s="341">
        <f>IF(J18=9,"150",IF(J18=10,"162.50",IF(J18=11,"175",IF(J18=12,"187.50",IF(J18=13,"200",IF(J18=14,"212.5",IF(J18=15,"225",IF(J18=16,"237.5",0))))))))</f>
        <v/>
      </c>
      <c r="AE18" s="341">
        <f>IF(J18=17,"250",IF(J18=18,"262.50",IF(J18=19,"275",IF(J18=20,"287.50",IF(J18=21,"300",IF(J18=22,"312.50",0))))))</f>
        <v/>
      </c>
      <c r="AF18" s="270">
        <f>IF(I18=0,"0",IF(I18&lt;=4999.99,"1",IF(I18&lt;=5999.99,"2",IF(I18&lt;=6999.99,"3",IF(I18&lt;=7999.99,"4",IF(I18&lt;=8999.99,"5",IF(I18&lt;=9999.99,"6",IF(I18&gt;=9999.99,"0",0))))))))</f>
        <v/>
      </c>
      <c r="AG18" s="270">
        <f>IF(I18&lt;=9999.99,"0",IF(I18&lt;=10999.99,"7",IF(I18&lt;=11999.99,"8",IF(I18&lt;=12999.99,"9",IF(I18&lt;=13999.99,"10",IF(I18&lt;=14999.99,"11",IF(I18&gt;=14999.99,"0")))))))</f>
        <v/>
      </c>
      <c r="AH18" s="270">
        <f>IF(I18&lt;=14999.99,"0",IF(I18&lt;=15999.99,"12",IF(I18&lt;=16999.99,"13",IF(I18&lt;=17999.99,"14",IF(I18&lt;=18999.99,"15",IF(I18&lt;=19999.99,"16",IF(I18&lt;=20999.99,"17",IF(I18&gt;=20999.99,"0"))))))))</f>
        <v/>
      </c>
      <c r="AI18" s="270">
        <f>IF(I18&lt;=20999.99,"0",IF(I18&lt;=21999.99,"18",IF(I18&lt;=22999.99,"19",IF(I18&lt;=23999.99,"20",IF(I18&lt;=24999.99,"21",IF(I18&lt;=25999.99,"22",IF(I18&lt;=26999.99,"23",IF(I18&gt;=26999.99,"0"))))))))</f>
        <v/>
      </c>
      <c r="AJ18" s="270">
        <f>IF(I18&lt;=26999.99,"0",IF(I18&lt;=27999.99,"24",IF(I18&lt;=28999.99,"25",IF(I18&lt;=29999.99,"26",IF(I18&gt;=30000,"27")))))</f>
        <v/>
      </c>
      <c r="AK18" s="341">
        <f>IF(J18=1,"50",IF(J18=2,"62.50",IF(J18=3,"75",IF(J18=4,"87.5",IF(J18=5,"100",IF(J18=6,"112.50",IF(J18=7,"125",IF(J18=8,"137.50",0))))))))</f>
        <v/>
      </c>
      <c r="AL18" s="341">
        <f>IF(J18=9,"150",IF(J18=10,"162.50",IF(J18=11,"175",IF(J18=12,"187.50",IF(J18=13,"200",IF(J18=14,"212.5",IF(J18=15,"225",IF(J18=16,"237.5",0))))))))</f>
        <v/>
      </c>
      <c r="AM18" s="341">
        <f>IF(J18=17,"250",IF(J18=18,"262.50",IF(J18=19,"275",IF(J18=20,"287.50",IF(J18=21,"300",IF(J18=22,"312.50",IF(J18=23,"325",IF(J18=24,"337.50",0))))))))</f>
        <v/>
      </c>
      <c r="AN18" s="341">
        <f>IF(J18=25,"350",IF(J18=26,"362.50",IF(J18=27,"375",0)))</f>
        <v/>
      </c>
      <c r="AO18" s="270">
        <f>IF(I18=0,"0",IF(I18&lt;=7999.99,"1",IF(I18&lt;=8999.99,"2",IF(I18&lt;=9999.99,"3",IF(I18&lt;=10999.99,"4",IF(I18&lt;=11999.99,"5",IF(I18&lt;=12999.99,"6",IF(I18&gt;=12999.99,"0",0))))))))</f>
        <v/>
      </c>
      <c r="AP18" s="270">
        <f>IF(I18&lt;=12999.99,"0",IF(I18&lt;=13999.99,"7",IF(I18&lt;=14999.99,"8",IF(I18&lt;=15999.99,"9",IF(I18&lt;=16999.99,"10",IF(I18&lt;=17999.99,"11",IF(I18&gt;=17999.99,"0")))))))</f>
        <v/>
      </c>
      <c r="AQ18" s="270">
        <f>IF(I18&lt;=17999.99,"0",IF(I18&lt;=18999.99,"12",IF(I18&lt;=19999.99,"13",IF(I18&lt;=20999.99,"14",IF(I18&lt;=21999.99,"15",IF(I18&lt;=22999.99,"16",IF(I18&lt;=23999.99,"17",IF(I18&gt;=23999.99,"0"))))))))</f>
        <v/>
      </c>
      <c r="AR18" s="270">
        <f>IF(I18&lt;=23999.99,"0",IF(I18&lt;=24999.99,"18",IF(I18&lt;=25999.99,"19",IF(I18&lt;=26999.99,"20",IF(I18&lt;=27999.99,"21",IF(I18&lt;=28999.99,"22",IF(I18&lt;=29999.99,"23",IF(I18&gt;=29999.99,"0"))))))))</f>
        <v/>
      </c>
      <c r="AS18" s="270">
        <f>IF(I18&lt;=29999.99,"0",IF(I18&lt;=30999.99,"24",IF(I18&lt;=31999.99,"25",IF(I18&lt;=32999.99,"26",IF(I18&lt;=33999.99,"27",IF(I18&lt;=34999.99,"28",IF(I18&gt;=35000,"29")))))))</f>
        <v/>
      </c>
      <c r="AT18" s="270">
        <f>IF(J18=1,"87.50",IF(J18=2,"100",IF(J18=3,"112.50",IF(J18=4,"125",IF(J18=5,"137.50",IF(J18=6,"150",IF(J18=7,"162.50",IF(J18=8,"175",0))))))))</f>
        <v/>
      </c>
      <c r="AU18" s="270">
        <f>IF(J18=9,"187.50",IF(J18=10,"200",IF(J18=11,"212.50",IF(J18=12,"225",IF(J18=13,"237.50",IF(J18=14,"250",IF(J18=15,"262.50",IF(J18=16,"275",0))))))))</f>
        <v/>
      </c>
      <c r="AV18" s="270">
        <f>IF(J18=17,"287.50",IF(J18=18,"300",IF(J18=19,"312.50",IF(J18=20,"325",IF(J18=21,"337.50",IF(J18=22,"350",IF(J18=23,"362.50",IF(J18=24,"375",0))))))))</f>
        <v/>
      </c>
      <c r="AW18" s="270">
        <f>IF(J18=25,"387.50",IF(J18=26,"400",IF(J18=27,"412.50",IF(J18=28,"425",IF(J18=29,"437.50",0)))))</f>
        <v/>
      </c>
      <c r="AX18" s="270">
        <f>IF(I18=0,"0",IF(I18&lt;=8999.99,"1",IF(I18&lt;=9999.99,"2",IF(I18&lt;=10999.99,"3",IF(I18&lt;=11999.99,"4",IF(I18&lt;=12999.99,"5",IF(I18&lt;=13999.99,"6",IF(I18&gt;=13999.99,"0",0))))))))</f>
        <v/>
      </c>
      <c r="AY18" s="270">
        <f>IF(I18&lt;=13999.99,"0",IF(I18&lt;=14999.99,"7",IF(I18&lt;=15999.99,"8",IF(I18&lt;=16999.99,"9",IF(I18&lt;=17999.99,"10",IF(I18&lt;=18999.99,"11",IF(I18&gt;=18999.99,"0")))))))</f>
        <v/>
      </c>
      <c r="AZ18" s="270">
        <f>IF(I18&lt;=18999.99,"0",IF(I18&lt;=19999.99,"12",IF(I18&lt;=20999.99,"13",IF(I18&lt;=21999.99,"14",IF(I18&lt;=22999.99,"15",IF(I18&lt;=23999.99,"16",IF(I18&lt;=24999.99,"17",IF(I18&gt;=24999.99,"0"))))))))</f>
        <v/>
      </c>
      <c r="BA18" s="270">
        <f>IF(I18&lt;=24999.99,"0",IF(I18&lt;=25999.99,"18",IF(I18&lt;=26999.99,"19",IF(I18&lt;=27999.99,"20",IF(I18&lt;=28999.99,"21",IF(I18&lt;=29999.99,"22",IF(I18&lt;=30999.99,"23",IF(I18&gt;=30999.99,"0"))))))))</f>
        <v/>
      </c>
      <c r="BB18" s="270">
        <f>IF(I18&lt;=30999.99,"0",IF(I18&lt;=31999.99,"24",IF(I18&lt;=32999.99,"25",IF(I18&lt;=33999.99,"26",IF(I18&lt;=34999.99,"27",IF(I18&gt;=35000,"28"))))))</f>
        <v/>
      </c>
      <c r="BC18" s="270">
        <f>IF(J18=1,"100",IF(J18=2,"112.50",IF(J18=3,"125",IF(J18=4,"137.50",IF(J18=5,"150",IF(J18=6,"162.50",IF(J18=7,"175",IF(J18=8,"187.50",0))))))))</f>
        <v/>
      </c>
      <c r="BD18" s="270">
        <f>IF(J18=9,"200",IF(J18=10,"212.50",IF(J18=11,"225",IF(J18=12,"237.50",IF(J18=13,"250",IF(J18=14,"262.50",IF(J18=15,"275",IF(J18=16,"287.50",0))))))))</f>
        <v/>
      </c>
      <c r="BE18" s="270">
        <f>IF(J18=17,"300",IF(J18=18,"312.50",IF(J18=19,"325",IF(J18=20,"337.50",IF(J18=21,"350",IF(J18=22,"362.50",IF(J18=23,"375",IF(J18=24,"387.50",0))))))))</f>
        <v/>
      </c>
      <c r="BF18" s="270">
        <f>IF(J18=25,"400",IF(J18=26,"412.50",IF(J18=27,"425",IF(J18=28,"437.50",0))))</f>
        <v/>
      </c>
      <c r="BG18" s="341">
        <f>IF(L18=2008,AK18+AL18+AM18+AN18,IF(L18=2009,AK18+AL18+AM18+AN18,IF(L18=2010,AK18+AL18+AM18+AN18,IF(L18=2011,AK18+AL18+AM18+AN18,IF(L18=2012,AK18+AL18+AM18+AN18,IF(L18=2013,AT18+AU18+AV18+AW18,IF(L18=2014,BC18+BD18+BE18+BF18,IF(L18=2015,BC18+BD18+BE18+BF18))))))))</f>
        <v/>
      </c>
      <c r="BH18" s="341">
        <f>IF(L18=2008,AK18+AL18+AM18+AN18,IF(L18=2009,AK18+AL18+AM18+AN18,IF(L18=2010,AK18+AL18+AM18+AN18,IF(L18=2011,AK18+AL18+AM18+AN18,IF(L18=2012,AK18+AL18+AM18+AN18,IF(L18=2013,AT18+AU18+AV18+AW18,IF(L18=2014,BC18+BD18+BE18+BF18,IF(L18=2015,BC18+BD18+BE18+BF18))))))))</f>
        <v/>
      </c>
      <c r="BI18" s="342">
        <f>IF(BH18=0,0,IF(BH18&lt;=M18,BH18,IF(BH18&gt;=M18,M18)))</f>
        <v/>
      </c>
      <c r="BJ18" s="270">
        <f>CODE(B18:B20)</f>
        <v/>
      </c>
      <c r="BK18" s="270">
        <f>ISBLANK(E18)</f>
        <v/>
      </c>
      <c r="BL18" s="270">
        <f>CODE(E18)</f>
        <v/>
      </c>
      <c r="BM18" s="270">
        <f>CHAR(BL18)</f>
        <v/>
      </c>
      <c r="BN18" s="269">
        <f>ISBLANK(F18)</f>
        <v/>
      </c>
      <c r="BO18" s="343">
        <f>ISBLANK(BS18)</f>
        <v/>
      </c>
      <c r="BP18" s="269">
        <f>ISBLANK(BT18)</f>
        <v/>
      </c>
      <c r="BQ18" s="269">
        <f>ISBLANK(G18)</f>
        <v/>
      </c>
      <c r="BR18" s="269">
        <f>TEXT(BT18,"MMDDYYYY")</f>
        <v/>
      </c>
      <c r="BS18" s="344" t="n"/>
      <c r="BT18" s="345" t="n"/>
      <c r="BU18" s="256" t="n"/>
      <c r="BV18" s="256" t="n"/>
      <c r="BW18" s="256" t="n"/>
      <c r="BX18" s="256" t="n"/>
      <c r="BY18" s="256" t="n"/>
      <c r="BZ18" s="256" t="n"/>
      <c r="CA18" s="256" t="n"/>
      <c r="CB18" s="256" t="n"/>
      <c r="CC18" s="257" t="n"/>
      <c r="DN18" s="253" t="n"/>
      <c r="DO18" s="253" t="n"/>
      <c r="DP18" s="253" t="n"/>
      <c r="DQ18" s="253" t="n"/>
      <c r="DY18" s="253" t="n"/>
      <c r="DZ18" s="253" t="n"/>
      <c r="EA18" s="253" t="n"/>
      <c r="EB18" s="253" t="n"/>
      <c r="EC18" s="253" t="n"/>
      <c r="ED18" s="253" t="n"/>
      <c r="EE18" s="253" t="n"/>
      <c r="EF18" s="253" t="n"/>
      <c r="EG18" s="253" t="n"/>
    </row>
    <row customHeight="1" ht="12.75" r="19" s="334" spans="1:150">
      <c r="A19" s="270">
        <f>A18+1</f>
        <v/>
      </c>
      <c r="B19" s="335" t="n"/>
      <c r="C19" s="335" t="n"/>
      <c r="D19" s="335" t="n"/>
      <c r="E19" s="335" t="n"/>
      <c r="F19" s="336" t="n"/>
      <c r="G19" s="337" t="n"/>
      <c r="H19" s="338" t="n"/>
      <c r="I19" s="339" t="n"/>
      <c r="J19" s="340">
        <f>IF(L19=2008,AF19+AG19+AH19+AI19+AJ19,IF(L19=2009,AF19+AG19+AH19+AI19+AJ19,IF(L19=2010,AF19+AG19+AH19+AI19+AJ19,IF(L19=2011,AF19+AG19+AH19+AI19+AJ19,IF(L19=2012,AF19+AG19+AH19+AI19+AJ19,IF(L19=2013,AO19+AP19+AQ19+AR19+AS19,IF(L19=2014,AX19+AY19+AZ19+BA19+BB19,IF(L19=2015,AX19+AY19+AZ19+BA19+BB19))))))))</f>
        <v/>
      </c>
      <c r="K19" s="340">
        <f>K18</f>
        <v/>
      </c>
      <c r="L19" s="270">
        <f>L18</f>
        <v/>
      </c>
      <c r="M19" s="312">
        <f>M18</f>
        <v/>
      </c>
      <c r="N19" s="270">
        <f>IF(I19=0,"0",IF(I19&lt;=4999.99,"1",IF(I19&lt;=5999.99,"2",IF(I19&lt;=6999.99,"3",IF(I19&lt;=7999.99,"4",IF(I19&lt;=8999.99,"5",IF(I19&lt;=9999.99,"6",IF(I19&gt;=9999.99,"0",0))))))))</f>
        <v/>
      </c>
      <c r="O19" s="270">
        <f>IF(I19&lt;=9999.99,"0",IF(I19&lt;=10999.99,"7",IF(I19&lt;=11999.99,"8",IF(I19&lt;=12999.99,"9",IF(I19&lt;=13999.99,"10",IF(I19&lt;=14999.99,"11",IF(I19&gt;=14999.99,"0")))))))</f>
        <v/>
      </c>
      <c r="P19" s="270">
        <f>IF(I19&lt;=14999.99,"0",IF(I19&gt;=15000,"12"))</f>
        <v/>
      </c>
      <c r="Q19" s="270">
        <f>IF(J19=1,"50",IF(J19=2,"62.50",IF(J19=3,"75",IF(J19=4,"87.5",IF(J19=5,"100",IF(J19=6,"112.50",IF(J19=7,"125",IF(J19=8,"137.50",0))))))))</f>
        <v/>
      </c>
      <c r="R19" s="270">
        <f>IF(J19=9,"150",IF(J19=10,"162.50",IF(J19=11,"175",IF(J19=12,"187.50",0))))</f>
        <v/>
      </c>
      <c r="S19" s="270">
        <f>IF(I19=0,"0",IF(I19&lt;=4999.99,"1",IF(I19&lt;=5999.99,"2",IF(I19&lt;=6999.99,"3",IF(I19&lt;=7999.99,"4",IF(I19&lt;=8999.99,"5",IF(I19&lt;=9999.99,"6",IF(I19&gt;=9999.99,"0",0))))))))</f>
        <v/>
      </c>
      <c r="T19" s="270">
        <f>IF(I19&lt;=9999.99,"0",IF(I19&lt;=10999.99,"7",IF(I19&lt;=11999.99,"8",IF(I19&lt;=12999.99,"9",IF(I19&lt;=13999.99,"10",IF(I19&lt;=14999.99,"11",IF(I19&gt;=14999.99,"0")))))))</f>
        <v/>
      </c>
      <c r="U19" s="270">
        <f>IF(I19&lt;=14999.99,"0",IF(I19&lt;=15999.99,"12",IF(I19&lt;=16999.99,"13",IF(I19&lt;=17999.99,"14",IF(I19&lt;=18999.99,"15",IF(I19&lt;=19999.99,"16",IF(I19&gt;=20000,"17")))))))</f>
        <v/>
      </c>
      <c r="V19" s="341">
        <f>IF(J19=1,"50",IF(J19=2,"62.50",IF(J19=3,"75",IF(J19=4,"87.5",IF(J19=5,"100",IF(J19=6,"112.50",IF(J19=7,"125",IF(J19=8,"137.50",0))))))))</f>
        <v/>
      </c>
      <c r="W19" s="341">
        <f>IF(J19=9,"150",IF(J19=10,"162.50",IF(J19=11,"175",IF(J19=12,"187.50",IF(J19=13,"200",IF(J19=14,"212.5",IF(J19=15,"225",IF(J19=16,"237.5",0))))))))</f>
        <v/>
      </c>
      <c r="X19" s="341">
        <f>IF(J19=17,"250",0)</f>
        <v/>
      </c>
      <c r="Y19" s="270">
        <f>IF(I19=0,"0",IF(I19&lt;=4999.99,"1",IF(I19&lt;=5999.99,"2",IF(I19&lt;=6999.99,"3",IF(I19&lt;=7999.99,"4",IF(I19&lt;=8999.99,"5",IF(I19&lt;=9999.99,"6",IF(I19&gt;=9999.99,"0",0))))))))</f>
        <v/>
      </c>
      <c r="Z19" s="270">
        <f>IF(I19&lt;=9999.99,"0",IF(I19&lt;=10999.99,"7",IF(I19&lt;=11999.99,"8",IF(I19&lt;=12999.99,"9",IF(I19&lt;=13999.99,"10",IF(I19&lt;=14999.99,"11",IF(I19&gt;=14999.99,"0")))))))</f>
        <v/>
      </c>
      <c r="AA19" s="270">
        <f>IF(I19&lt;=14999.99,"0",IF(I19&lt;=15999.99,"12",IF(I19&lt;=16999.99,"13",IF(I19&lt;=17999.99,"14",IF(I19&lt;=18999.99,"15",IF(I19&lt;=19999.99,"16",IF(I19&lt;=20999.99,"17",IF(I19&gt;=20999.99,"0"))))))))</f>
        <v/>
      </c>
      <c r="AB19" s="270">
        <f>IF(I19&lt;=20999.99,"0",IF(I19&lt;=21999.99,"18",IF(I19&lt;=22999.99,"19",IF(I19&lt;=23999.99,"20",IF(I19&lt;=24999.99,"21",IF(I19&gt;=25000,"22"))))))</f>
        <v/>
      </c>
      <c r="AC19" s="341">
        <f>IF(J19=1,"50",IF(J19=2,"62.50",IF(J19=3,"75",IF(J19=4,"87.5",IF(J19=5,"100",IF(J19=6,"112.50",IF(J19=7,"125",IF(J19=8,"137.50",0))))))))</f>
        <v/>
      </c>
      <c r="AD19" s="341">
        <f>IF(J19=9,"150",IF(J19=10,"162.50",IF(J19=11,"175",IF(J19=12,"187.50",IF(J19=13,"200",IF(J19=14,"212.5",IF(J19=15,"225",IF(J19=16,"237.5",0))))))))</f>
        <v/>
      </c>
      <c r="AE19" s="341">
        <f>IF(J19=17,"250",IF(J19=18,"262.50",IF(J19=19,"275",IF(J19=20,"287.50",IF(J19=21,"300",IF(J19=22,"312.50",0))))))</f>
        <v/>
      </c>
      <c r="AF19" s="270">
        <f>IF(I19=0,"0",IF(I19&lt;=4999.99,"1",IF(I19&lt;=5999.99,"2",IF(I19&lt;=6999.99,"3",IF(I19&lt;=7999.99,"4",IF(I19&lt;=8999.99,"5",IF(I19&lt;=9999.99,"6",IF(I19&gt;=9999.99,"0",0))))))))</f>
        <v/>
      </c>
      <c r="AG19" s="270">
        <f>IF(I19&lt;=9999.99,"0",IF(I19&lt;=10999.99,"7",IF(I19&lt;=11999.99,"8",IF(I19&lt;=12999.99,"9",IF(I19&lt;=13999.99,"10",IF(I19&lt;=14999.99,"11",IF(I19&gt;=14999.99,"0")))))))</f>
        <v/>
      </c>
      <c r="AH19" s="270">
        <f>IF(I19&lt;=14999.99,"0",IF(I19&lt;=15999.99,"12",IF(I19&lt;=16999.99,"13",IF(I19&lt;=17999.99,"14",IF(I19&lt;=18999.99,"15",IF(I19&lt;=19999.99,"16",IF(I19&lt;=20999.99,"17",IF(I19&gt;=20999.99,"0"))))))))</f>
        <v/>
      </c>
      <c r="AI19" s="270">
        <f>IF(I19&lt;=20999.99,"0",IF(I19&lt;=21999.99,"18",IF(I19&lt;=22999.99,"19",IF(I19&lt;=23999.99,"20",IF(I19&lt;=24999.99,"21",IF(I19&lt;=25999.99,"22",IF(I19&lt;=26999.99,"23",IF(I19&gt;=26999.99,"0"))))))))</f>
        <v/>
      </c>
      <c r="AJ19" s="270">
        <f>IF(I19&lt;=26999.99,"0",IF(I19&lt;=27999.99,"24",IF(I19&lt;=28999.99,"25",IF(I19&lt;=29999.99,"26",IF(I19&gt;=30000,"27")))))</f>
        <v/>
      </c>
      <c r="AK19" s="341">
        <f>IF(J19=1,"50",IF(J19=2,"62.50",IF(J19=3,"75",IF(J19=4,"87.5",IF(J19=5,"100",IF(J19=6,"112.50",IF(J19=7,"125",IF(J19=8,"137.50",0))))))))</f>
        <v/>
      </c>
      <c r="AL19" s="341">
        <f>IF(J19=9,"150",IF(J19=10,"162.50",IF(J19=11,"175",IF(J19=12,"187.50",IF(J19=13,"200",IF(J19=14,"212.5",IF(J19=15,"225",IF(J19=16,"237.5",0))))))))</f>
        <v/>
      </c>
      <c r="AM19" s="341">
        <f>IF(J19=17,"250",IF(J19=18,"262.50",IF(J19=19,"275",IF(J19=20,"287.50",IF(J19=21,"300",IF(J19=22,"312.50",IF(J19=23,"325",IF(J19=24,"337.50",0))))))))</f>
        <v/>
      </c>
      <c r="AN19" s="341">
        <f>IF(J19=25,"350",IF(J19=26,"362.50",IF(J19=27,"375",0)))</f>
        <v/>
      </c>
      <c r="AO19" s="270">
        <f>IF(I19=0,"0",IF(I19&lt;=7999.99,"1",IF(I19&lt;=8999.99,"2",IF(I19&lt;=9999.99,"3",IF(I19&lt;=10999.99,"4",IF(I19&lt;=11999.99,"5",IF(I19&lt;=12999.99,"6",IF(I19&gt;=12999.99,"0",0))))))))</f>
        <v/>
      </c>
      <c r="AP19" s="270">
        <f>IF(I19&lt;=12999.99,"0",IF(I19&lt;=13999.99,"7",IF(I19&lt;=14999.99,"8",IF(I19&lt;=15999.99,"9",IF(I19&lt;=16999.99,"10",IF(I19&lt;=17999.99,"11",IF(I19&gt;=17999.99,"0")))))))</f>
        <v/>
      </c>
      <c r="AQ19" s="270">
        <f>IF(I19&lt;=17999.99,"0",IF(I19&lt;=18999.99,"12",IF(I19&lt;=19999.99,"13",IF(I19&lt;=20999.99,"14",IF(I19&lt;=21999.99,"15",IF(I19&lt;=22999.99,"16",IF(I19&lt;=23999.99,"17",IF(I19&gt;=23999.99,"0"))))))))</f>
        <v/>
      </c>
      <c r="AR19" s="270">
        <f>IF(I19&lt;=23999.99,"0",IF(I19&lt;=24999.99,"18",IF(I19&lt;=25999.99,"19",IF(I19&lt;=26999.99,"20",IF(I19&lt;=27999.99,"21",IF(I19&lt;=28999.99,"22",IF(I19&lt;=29999.99,"23",IF(I19&gt;=29999.99,"0"))))))))</f>
        <v/>
      </c>
      <c r="AS19" s="270">
        <f>IF(I19&lt;=29999.99,"0",IF(I19&lt;=30999.99,"24",IF(I19&lt;=31999.99,"25",IF(I19&lt;=32999.99,"26",IF(I19&lt;=33999.99,"27",IF(I19&lt;=34999.99,"28",IF(I19&gt;=35000,"29")))))))</f>
        <v/>
      </c>
      <c r="AT19" s="270">
        <f>IF(J19=1,"87.50",IF(J19=2,"100",IF(J19=3,"112.50",IF(J19=4,"125",IF(J19=5,"137.50",IF(J19=6,"150",IF(J19=7,"162.50",IF(J19=8,"175",0))))))))</f>
        <v/>
      </c>
      <c r="AU19" s="270">
        <f>IF(J19=9,"187.50",IF(J19=10,"200",IF(J19=11,"212.50",IF(J19=12,"225",IF(J19=13,"237.50",IF(J19=14,"250",IF(J19=15,"262.50",IF(J19=16,"275",0))))))))</f>
        <v/>
      </c>
      <c r="AV19" s="270">
        <f>IF(J19=17,"287.50",IF(J19=18,"300",IF(J19=19,"312.50",IF(J19=20,"325",IF(J19=21,"337.50",IF(J19=22,"350",IF(J19=23,"362.50",IF(J19=24,"375",0))))))))</f>
        <v/>
      </c>
      <c r="AW19" s="270">
        <f>IF(J19=25,"387.50",IF(J19=26,"400",IF(J19=27,"412.50",IF(J19=28,"425",IF(J19=29,"437.50",0)))))</f>
        <v/>
      </c>
      <c r="AX19" s="270">
        <f>IF(I19=0,"0",IF(I19&lt;=8999.99,"1",IF(I19&lt;=9999.99,"2",IF(I19&lt;=10999.99,"3",IF(I19&lt;=11999.99,"4",IF(I19&lt;=12999.99,"5",IF(I19&lt;=13999.99,"6",IF(I19&gt;=13999.99,"0",0))))))))</f>
        <v/>
      </c>
      <c r="AY19" s="270">
        <f>IF(I19&lt;=13999.99,"0",IF(I19&lt;=14999.99,"7",IF(I19&lt;=15999.99,"8",IF(I19&lt;=16999.99,"9",IF(I19&lt;=17999.99,"10",IF(I19&lt;=18999.99,"11",IF(I19&gt;=18999.99,"0")))))))</f>
        <v/>
      </c>
      <c r="AZ19" s="270">
        <f>IF(I19&lt;=18999.99,"0",IF(I19&lt;=19999.99,"12",IF(I19&lt;=20999.99,"13",IF(I19&lt;=21999.99,"14",IF(I19&lt;=22999.99,"15",IF(I19&lt;=23999.99,"16",IF(I19&lt;=24999.99,"17",IF(I19&gt;=24999.99,"0"))))))))</f>
        <v/>
      </c>
      <c r="BA19" s="270">
        <f>IF(I19&lt;=24999.99,"0",IF(I19&lt;=25999.99,"18",IF(I19&lt;=26999.99,"19",IF(I19&lt;=27999.99,"20",IF(I19&lt;=28999.99,"21",IF(I19&lt;=29999.99,"22",IF(I19&lt;=30999.99,"23",IF(I19&gt;=30999.99,"0"))))))))</f>
        <v/>
      </c>
      <c r="BB19" s="270">
        <f>IF(I19&lt;=30999.99,"0",IF(I19&lt;=31999.99,"24",IF(I19&lt;=32999.99,"25",IF(I19&lt;=33999.99,"26",IF(I19&lt;=34999.99,"27",IF(I19&gt;=35000,"28"))))))</f>
        <v/>
      </c>
      <c r="BC19" s="270">
        <f>IF(J19=1,"100",IF(J19=2,"112.50",IF(J19=3,"125",IF(J19=4,"137.50",IF(J19=5,"150",IF(J19=6,"162.50",IF(J19=7,"175",IF(J19=8,"187.50",0))))))))</f>
        <v/>
      </c>
      <c r="BD19" s="270">
        <f>IF(J19=9,"200",IF(J19=10,"212.50",IF(J19=11,"225",IF(J19=12,"237.50",IF(J19=13,"250",IF(J19=14,"262.50",IF(J19=15,"275",IF(J19=16,"287.50",0))))))))</f>
        <v/>
      </c>
      <c r="BE19" s="270">
        <f>IF(J19=17,"300",IF(J19=18,"312.50",IF(J19=19,"325",IF(J19=20,"337.50",IF(J19=21,"350",IF(J19=22,"362.50",IF(J19=23,"375",IF(J19=24,"387.50",0))))))))</f>
        <v/>
      </c>
      <c r="BF19" s="270">
        <f>IF(J19=25,"400",IF(J19=26,"412.50",IF(J19=27,"425",IF(J19=28,"437.50",0))))</f>
        <v/>
      </c>
      <c r="BG19" s="341">
        <f>IF(L19=2008,AK19+AL19+AM19+AN19,IF(L19=2009,AK19+AL19+AM19+AN19,IF(L19=2010,AK19+AL19+AM19+AN19,IF(L19=2011,AK19+AL19+AM19+AN19,IF(L19=2012,AK19+AL19+AM19+AN19,IF(L19=2013,AT19+AU19+AV19+AW19,IF(L19=2014,BC19+BD19+BE19+BF19,IF(L19=2015,BC19+BD19+BE19+BF19))))))))</f>
        <v/>
      </c>
      <c r="BH19" s="341">
        <f>IF(L19=2008,AK19+AL19+AM19+AN19,IF(L19=2009,AK19+AL19+AM19+AN19,IF(L19=2010,AK19+AL19+AM19+AN19,IF(L19=2011,AK19+AL19+AM19+AN19,IF(L19=2012,AK19+AL19+AM19+AN19,IF(L19=2013,AT19+AU19+AV19+AW19,IF(L19=2014,BC19+BD19+BE19+BF19,IF(L19=2015,BC19+BD19+BE19+BF19))))))))</f>
        <v/>
      </c>
      <c r="BI19" s="342">
        <f>IF(BH19=0,0,IF(BH19&lt;=M19,BH19,IF(BH19&gt;=M19,M19)))</f>
        <v/>
      </c>
      <c r="BJ19" s="270">
        <f>CODE(B19:B20)</f>
        <v/>
      </c>
      <c r="BK19" s="270">
        <f>ISBLANK(E19)</f>
        <v/>
      </c>
      <c r="BL19" s="270">
        <f>CODE(E19)</f>
        <v/>
      </c>
      <c r="BM19" s="270">
        <f>CHAR(BL19)</f>
        <v/>
      </c>
      <c r="BN19" s="269">
        <f>ISBLANK(F19)</f>
        <v/>
      </c>
      <c r="BO19" s="343">
        <f>ISBLANK(BS19)</f>
        <v/>
      </c>
      <c r="BP19" s="269">
        <f>ISBLANK(BT19)</f>
        <v/>
      </c>
      <c r="BQ19" s="269">
        <f>ISBLANK(G19)</f>
        <v/>
      </c>
      <c r="BR19" s="269">
        <f>TEXT(BT19,"MMDDYYYY")</f>
        <v/>
      </c>
      <c r="BS19" s="344" t="n"/>
      <c r="BT19" s="345" t="n"/>
      <c r="BU19" s="256" t="n"/>
    </row>
    <row customHeight="1" ht="12.75" r="20" s="334" spans="1:150">
      <c r="A20" s="270">
        <f>A19+1</f>
        <v/>
      </c>
      <c r="B20" s="335" t="n"/>
      <c r="C20" s="335" t="n"/>
      <c r="D20" s="335" t="n"/>
      <c r="E20" s="335" t="n"/>
      <c r="F20" s="336" t="n"/>
      <c r="G20" s="337" t="n"/>
      <c r="H20" s="338" t="n"/>
      <c r="I20" s="339" t="n"/>
      <c r="J20" s="340">
        <f>IF(L20=2008,AF20+AG20+AH20+AI20+AJ20,IF(L20=2009,AF20+AG20+AH20+AI20+AJ20,IF(L20=2010,AF20+AG20+AH20+AI20+AJ20,IF(L20=2011,AF20+AG20+AH20+AI20+AJ20,IF(L20=2012,AF20+AG20+AH20+AI20+AJ20,IF(L20=2013,AO20+AP20+AQ20+AR20+AS20,IF(L20=2014,AX20+AY20+AZ20+BA20+BB20,IF(L20=2015,AX20+AY20+AZ20+BA20+BB20))))))))</f>
        <v/>
      </c>
      <c r="K20" s="340">
        <f>K19</f>
        <v/>
      </c>
      <c r="L20" s="270">
        <f>L19</f>
        <v/>
      </c>
      <c r="M20" s="312">
        <f>M19</f>
        <v/>
      </c>
      <c r="N20" s="270">
        <f>IF(I20=0,"0",IF(I20&lt;=4999.99,"1",IF(I20&lt;=5999.99,"2",IF(I20&lt;=6999.99,"3",IF(I20&lt;=7999.99,"4",IF(I20&lt;=8999.99,"5",IF(I20&lt;=9999.99,"6",IF(I20&gt;=9999.99,"0",0))))))))</f>
        <v/>
      </c>
      <c r="O20" s="270">
        <f>IF(I20&lt;=9999.99,"0",IF(I20&lt;=10999.99,"7",IF(I20&lt;=11999.99,"8",IF(I20&lt;=12999.99,"9",IF(I20&lt;=13999.99,"10",IF(I20&lt;=14999.99,"11",IF(I20&gt;=14999.99,"0")))))))</f>
        <v/>
      </c>
      <c r="P20" s="270">
        <f>IF(I20&lt;=14999.99,"0",IF(I20&gt;=15000,"12"))</f>
        <v/>
      </c>
      <c r="Q20" s="270">
        <f>IF(J20=1,"50",IF(J20=2,"62.50",IF(J20=3,"75",IF(J20=4,"87.5",IF(J20=5,"100",IF(J20=6,"112.50",IF(J20=7,"125",IF(J20=8,"137.50",0))))))))</f>
        <v/>
      </c>
      <c r="R20" s="270">
        <f>IF(J20=9,"150",IF(J20=10,"162.50",IF(J20=11,"175",IF(J20=12,"187.50",0))))</f>
        <v/>
      </c>
      <c r="S20" s="270">
        <f>IF(I20=0,"0",IF(I20&lt;=4999.99,"1",IF(I20&lt;=5999.99,"2",IF(I20&lt;=6999.99,"3",IF(I20&lt;=7999.99,"4",IF(I20&lt;=8999.99,"5",IF(I20&lt;=9999.99,"6",IF(I20&gt;=9999.99,"0",0))))))))</f>
        <v/>
      </c>
      <c r="T20" s="270">
        <f>IF(I20&lt;=9999.99,"0",IF(I20&lt;=10999.99,"7",IF(I20&lt;=11999.99,"8",IF(I20&lt;=12999.99,"9",IF(I20&lt;=13999.99,"10",IF(I20&lt;=14999.99,"11",IF(I20&gt;=14999.99,"0")))))))</f>
        <v/>
      </c>
      <c r="U20" s="270">
        <f>IF(I20&lt;=14999.99,"0",IF(I20&lt;=15999.99,"12",IF(I20&lt;=16999.99,"13",IF(I20&lt;=17999.99,"14",IF(I20&lt;=18999.99,"15",IF(I20&lt;=19999.99,"16",IF(I20&gt;=20000,"17")))))))</f>
        <v/>
      </c>
      <c r="V20" s="341">
        <f>IF(J20=1,"50",IF(J20=2,"62.50",IF(J20=3,"75",IF(J20=4,"87.5",IF(J20=5,"100",IF(J20=6,"112.50",IF(J20=7,"125",IF(J20=8,"137.50",0))))))))</f>
        <v/>
      </c>
      <c r="W20" s="341">
        <f>IF(J20=9,"150",IF(J20=10,"162.50",IF(J20=11,"175",IF(J20=12,"187.50",IF(J20=13,"200",IF(J20=14,"212.5",IF(J20=15,"225",IF(J20=16,"237.5",0))))))))</f>
        <v/>
      </c>
      <c r="X20" s="341">
        <f>IF(J20=17,"250",0)</f>
        <v/>
      </c>
      <c r="Y20" s="270">
        <f>IF(I20=0,"0",IF(I20&lt;=4999.99,"1",IF(I20&lt;=5999.99,"2",IF(I20&lt;=6999.99,"3",IF(I20&lt;=7999.99,"4",IF(I20&lt;=8999.99,"5",IF(I20&lt;=9999.99,"6",IF(I20&gt;=9999.99,"0",0))))))))</f>
        <v/>
      </c>
      <c r="Z20" s="270">
        <f>IF(I20&lt;=9999.99,"0",IF(I20&lt;=10999.99,"7",IF(I20&lt;=11999.99,"8",IF(I20&lt;=12999.99,"9",IF(I20&lt;=13999.99,"10",IF(I20&lt;=14999.99,"11",IF(I20&gt;=14999.99,"0")))))))</f>
        <v/>
      </c>
      <c r="AA20" s="270">
        <f>IF(I20&lt;=14999.99,"0",IF(I20&lt;=15999.99,"12",IF(I20&lt;=16999.99,"13",IF(I20&lt;=17999.99,"14",IF(I20&lt;=18999.99,"15",IF(I20&lt;=19999.99,"16",IF(I20&lt;=20999.99,"17",IF(I20&gt;=20999.99,"0"))))))))</f>
        <v/>
      </c>
      <c r="AB20" s="270">
        <f>IF(I20&lt;=20999.99,"0",IF(I20&lt;=21999.99,"18",IF(I20&lt;=22999.99,"19",IF(I20&lt;=23999.99,"20",IF(I20&lt;=24999.99,"21",IF(I20&gt;=25000,"22"))))))</f>
        <v/>
      </c>
      <c r="AC20" s="341">
        <f>IF(J20=1,"50",IF(J20=2,"62.50",IF(J20=3,"75",IF(J20=4,"87.5",IF(J20=5,"100",IF(J20=6,"112.50",IF(J20=7,"125",IF(J20=8,"137.50",0))))))))</f>
        <v/>
      </c>
      <c r="AD20" s="341">
        <f>IF(J20=9,"150",IF(J20=10,"162.50",IF(J20=11,"175",IF(J20=12,"187.50",IF(J20=13,"200",IF(J20=14,"212.5",IF(J20=15,"225",IF(J20=16,"237.5",0))))))))</f>
        <v/>
      </c>
      <c r="AE20" s="341">
        <f>IF(J20=17,"250",IF(J20=18,"262.50",IF(J20=19,"275",IF(J20=20,"287.50",IF(J20=21,"300",IF(J20=22,"312.50",0))))))</f>
        <v/>
      </c>
      <c r="AF20" s="270">
        <f>IF(I20=0,"0",IF(I20&lt;=4999.99,"1",IF(I20&lt;=5999.99,"2",IF(I20&lt;=6999.99,"3",IF(I20&lt;=7999.99,"4",IF(I20&lt;=8999.99,"5",IF(I20&lt;=9999.99,"6",IF(I20&gt;=9999.99,"0",0))))))))</f>
        <v/>
      </c>
      <c r="AG20" s="270">
        <f>IF(I20&lt;=9999.99,"0",IF(I20&lt;=10999.99,"7",IF(I20&lt;=11999.99,"8",IF(I20&lt;=12999.99,"9",IF(I20&lt;=13999.99,"10",IF(I20&lt;=14999.99,"11",IF(I20&gt;=14999.99,"0")))))))</f>
        <v/>
      </c>
      <c r="AH20" s="270">
        <f>IF(I20&lt;=14999.99,"0",IF(I20&lt;=15999.99,"12",IF(I20&lt;=16999.99,"13",IF(I20&lt;=17999.99,"14",IF(I20&lt;=18999.99,"15",IF(I20&lt;=19999.99,"16",IF(I20&lt;=20999.99,"17",IF(I20&gt;=20999.99,"0"))))))))</f>
        <v/>
      </c>
      <c r="AI20" s="270">
        <f>IF(I20&lt;=20999.99,"0",IF(I20&lt;=21999.99,"18",IF(I20&lt;=22999.99,"19",IF(I20&lt;=23999.99,"20",IF(I20&lt;=24999.99,"21",IF(I20&lt;=25999.99,"22",IF(I20&lt;=26999.99,"23",IF(I20&gt;=26999.99,"0"))))))))</f>
        <v/>
      </c>
      <c r="AJ20" s="270">
        <f>IF(I20&lt;=26999.99,"0",IF(I20&lt;=27999.99,"24",IF(I20&lt;=28999.99,"25",IF(I20&lt;=29999.99,"26",IF(I20&gt;=30000,"27")))))</f>
        <v/>
      </c>
      <c r="AK20" s="341">
        <f>IF(J20=1,"50",IF(J20=2,"62.50",IF(J20=3,"75",IF(J20=4,"87.5",IF(J20=5,"100",IF(J20=6,"112.50",IF(J20=7,"125",IF(J20=8,"137.50",0))))))))</f>
        <v/>
      </c>
      <c r="AL20" s="341">
        <f>IF(J20=9,"150",IF(J20=10,"162.50",IF(J20=11,"175",IF(J20=12,"187.50",IF(J20=13,"200",IF(J20=14,"212.5",IF(J20=15,"225",IF(J20=16,"237.5",0))))))))</f>
        <v/>
      </c>
      <c r="AM20" s="341">
        <f>IF(J20=17,"250",IF(J20=18,"262.50",IF(J20=19,"275",IF(J20=20,"287.50",IF(J20=21,"300",IF(J20=22,"312.50",IF(J20=23,"325",IF(J20=24,"337.50",0))))))))</f>
        <v/>
      </c>
      <c r="AN20" s="341">
        <f>IF(J20=25,"350",IF(J20=26,"362.50",IF(J20=27,"375",0)))</f>
        <v/>
      </c>
      <c r="AO20" s="270">
        <f>IF(I20=0,"0",IF(I20&lt;=7999.99,"1",IF(I20&lt;=8999.99,"2",IF(I20&lt;=9999.99,"3",IF(I20&lt;=10999.99,"4",IF(I20&lt;=11999.99,"5",IF(I20&lt;=12999.99,"6",IF(I20&gt;=12999.99,"0",0))))))))</f>
        <v/>
      </c>
      <c r="AP20" s="270">
        <f>IF(I20&lt;=12999.99,"0",IF(I20&lt;=13999.99,"7",IF(I20&lt;=14999.99,"8",IF(I20&lt;=15999.99,"9",IF(I20&lt;=16999.99,"10",IF(I20&lt;=17999.99,"11",IF(I20&gt;=17999.99,"0")))))))</f>
        <v/>
      </c>
      <c r="AQ20" s="270">
        <f>IF(I20&lt;=17999.99,"0",IF(I20&lt;=18999.99,"12",IF(I20&lt;=19999.99,"13",IF(I20&lt;=20999.99,"14",IF(I20&lt;=21999.99,"15",IF(I20&lt;=22999.99,"16",IF(I20&lt;=23999.99,"17",IF(I20&gt;=23999.99,"0"))))))))</f>
        <v/>
      </c>
      <c r="AR20" s="270">
        <f>IF(I20&lt;=23999.99,"0",IF(I20&lt;=24999.99,"18",IF(I20&lt;=25999.99,"19",IF(I20&lt;=26999.99,"20",IF(I20&lt;=27999.99,"21",IF(I20&lt;=28999.99,"22",IF(I20&lt;=29999.99,"23",IF(I20&gt;=29999.99,"0"))))))))</f>
        <v/>
      </c>
      <c r="AS20" s="270">
        <f>IF(I20&lt;=29999.99,"0",IF(I20&lt;=30999.99,"24",IF(I20&lt;=31999.99,"25",IF(I20&lt;=32999.99,"26",IF(I20&lt;=33999.99,"27",IF(I20&lt;=34999.99,"28",IF(I20&gt;=35000,"29")))))))</f>
        <v/>
      </c>
      <c r="AT20" s="270">
        <f>IF(J20=1,"87.50",IF(J20=2,"100",IF(J20=3,"112.50",IF(J20=4,"125",IF(J20=5,"137.50",IF(J20=6,"150",IF(J20=7,"162.50",IF(J20=8,"175",0))))))))</f>
        <v/>
      </c>
      <c r="AU20" s="270">
        <f>IF(J20=9,"187.50",IF(J20=10,"200",IF(J20=11,"212.50",IF(J20=12,"225",IF(J20=13,"237.50",IF(J20=14,"250",IF(J20=15,"262.50",IF(J20=16,"275",0))))))))</f>
        <v/>
      </c>
      <c r="AV20" s="270">
        <f>IF(J20=17,"287.50",IF(J20=18,"300",IF(J20=19,"312.50",IF(J20=20,"325",IF(J20=21,"337.50",IF(J20=22,"350",IF(J20=23,"362.50",IF(J20=24,"375",0))))))))</f>
        <v/>
      </c>
      <c r="AW20" s="270">
        <f>IF(J20=25,"387.50",IF(J20=26,"400",IF(J20=27,"412.50",IF(J20=28,"425",IF(J20=29,"437.50",0)))))</f>
        <v/>
      </c>
      <c r="AX20" s="270">
        <f>IF(I20=0,"0",IF(I20&lt;=8999.99,"1",IF(I20&lt;=9999.99,"2",IF(I20&lt;=10999.99,"3",IF(I20&lt;=11999.99,"4",IF(I20&lt;=12999.99,"5",IF(I20&lt;=13999.99,"6",IF(I20&gt;=13999.99,"0",0))))))))</f>
        <v/>
      </c>
      <c r="AY20" s="270">
        <f>IF(I20&lt;=13999.99,"0",IF(I20&lt;=14999.99,"7",IF(I20&lt;=15999.99,"8",IF(I20&lt;=16999.99,"9",IF(I20&lt;=17999.99,"10",IF(I20&lt;=18999.99,"11",IF(I20&gt;=18999.99,"0")))))))</f>
        <v/>
      </c>
      <c r="AZ20" s="270">
        <f>IF(I20&lt;=18999.99,"0",IF(I20&lt;=19999.99,"12",IF(I20&lt;=20999.99,"13",IF(I20&lt;=21999.99,"14",IF(I20&lt;=22999.99,"15",IF(I20&lt;=23999.99,"16",IF(I20&lt;=24999.99,"17",IF(I20&gt;=24999.99,"0"))))))))</f>
        <v/>
      </c>
      <c r="BA20" s="270">
        <f>IF(I20&lt;=24999.99,"0",IF(I20&lt;=25999.99,"18",IF(I20&lt;=26999.99,"19",IF(I20&lt;=27999.99,"20",IF(I20&lt;=28999.99,"21",IF(I20&lt;=29999.99,"22",IF(I20&lt;=30999.99,"23",IF(I20&gt;=30999.99,"0"))))))))</f>
        <v/>
      </c>
      <c r="BB20" s="270">
        <f>IF(I20&lt;=30999.99,"0",IF(I20&lt;=31999.99,"24",IF(I20&lt;=32999.99,"25",IF(I20&lt;=33999.99,"26",IF(I20&lt;=34999.99,"27",IF(I20&gt;=35000,"28"))))))</f>
        <v/>
      </c>
      <c r="BC20" s="270">
        <f>IF(J20=1,"100",IF(J20=2,"112.50",IF(J20=3,"125",IF(J20=4,"137.50",IF(J20=5,"150",IF(J20=6,"162.50",IF(J20=7,"175",IF(J20=8,"187.50",0))))))))</f>
        <v/>
      </c>
      <c r="BD20" s="270">
        <f>IF(J20=9,"200",IF(J20=10,"212.50",IF(J20=11,"225",IF(J20=12,"237.50",IF(J20=13,"250",IF(J20=14,"262.50",IF(J20=15,"275",IF(J20=16,"287.50",0))))))))</f>
        <v/>
      </c>
      <c r="BE20" s="270">
        <f>IF(J20=17,"300",IF(J20=18,"312.50",IF(J20=19,"325",IF(J20=20,"337.50",IF(J20=21,"350",IF(J20=22,"362.50",IF(J20=23,"375",IF(J20=24,"387.50",0))))))))</f>
        <v/>
      </c>
      <c r="BF20" s="270">
        <f>IF(J20=25,"400",IF(J20=26,"412.50",IF(J20=27,"425",IF(J20=28,"437.50",0))))</f>
        <v/>
      </c>
      <c r="BG20" s="341">
        <f>IF(L20=2008,AK20+AL20+AM20+AN20,IF(L20=2009,AK20+AL20+AM20+AN20,IF(L20=2010,AK20+AL20+AM20+AN20,IF(L20=2011,AK20+AL20+AM20+AN20,IF(L20=2012,AK20+AL20+AM20+AN20,IF(L20=2013,AT20+AU20+AV20+AW20,IF(L20=2014,BC20+BD20+BE20+BF20,IF(L20=2015,BC20+BD20+BE20+BF20))))))))</f>
        <v/>
      </c>
      <c r="BH20" s="341">
        <f>IF(L20=2008,AK20+AL20+AM20+AN20,IF(L20=2009,AK20+AL20+AM20+AN20,IF(L20=2010,AK20+AL20+AM20+AN20,IF(L20=2011,AK20+AL20+AM20+AN20,IF(L20=2012,AK20+AL20+AM20+AN20,IF(L20=2013,AT20+AU20+AV20+AW20,IF(L20=2014,BC20+BD20+BE20+BF20,IF(L20=2015,BC20+BD20+BE20+BF20))))))))</f>
        <v/>
      </c>
      <c r="BI20" s="342">
        <f>IF(BH20=0,0,IF(BH20&lt;=M20,BH20,IF(BH20&gt;=M20,M20)))</f>
        <v/>
      </c>
      <c r="BJ20" s="270">
        <f>CODE(B20:B20)</f>
        <v/>
      </c>
      <c r="BK20" s="270">
        <f>ISBLANK(E20)</f>
        <v/>
      </c>
      <c r="BL20" s="270">
        <f>CODE(E20)</f>
        <v/>
      </c>
      <c r="BM20" s="270">
        <f>CHAR(BL20)</f>
        <v/>
      </c>
      <c r="BN20" s="269">
        <f>ISBLANK(F20)</f>
        <v/>
      </c>
      <c r="BO20" s="343">
        <f>ISBLANK(BS20)</f>
        <v/>
      </c>
      <c r="BP20" s="269">
        <f>ISBLANK(BT20)</f>
        <v/>
      </c>
      <c r="BQ20" s="269">
        <f>ISBLANK(G20)</f>
        <v/>
      </c>
      <c r="BR20" s="269">
        <f>TEXT(BT20,"MMDDYYYY")</f>
        <v/>
      </c>
      <c r="BS20" s="344" t="n"/>
      <c r="BT20" s="345" t="n"/>
      <c r="BU20" s="256" t="n"/>
    </row>
  </sheetData>
  <sheetProtection autoFilter="1" deleteColumns="1" deleteRows="1" formatCells="1" formatColumns="1" formatRows="1" insertColumns="1" insertHyperlinks="1" insertRows="1" objects="0" password="b816" pivotTables="1" scenarios="0" selectLockedCells="1" selectUnlockedCells="0" sheet="1" sort="0"/>
  <mergeCells count="62">
    <mergeCell ref="B1:D1"/>
    <mergeCell ref="G1:H1"/>
    <mergeCell ref="I1:J1"/>
    <mergeCell ref="K1:L1"/>
    <mergeCell ref="N1:O1"/>
    <mergeCell ref="P1:Q1"/>
    <mergeCell ref="R1:S1"/>
    <mergeCell ref="BG1:BH1"/>
    <mergeCell ref="BS1:BT1"/>
    <mergeCell ref="B2:D2"/>
    <mergeCell ref="G2:H2"/>
    <mergeCell ref="I2:J2"/>
    <mergeCell ref="N2:O2"/>
    <mergeCell ref="P2:Q2"/>
    <mergeCell ref="R2:S2"/>
    <mergeCell ref="BG2:BH2"/>
    <mergeCell ref="BS2:BT2"/>
    <mergeCell ref="B3:C3"/>
    <mergeCell ref="G3:H3"/>
    <mergeCell ref="I3:J3"/>
    <mergeCell ref="N3:O3"/>
    <mergeCell ref="P3:Q3"/>
    <mergeCell ref="R3:S3"/>
    <mergeCell ref="Y3:Z3"/>
    <mergeCell ref="BG3:BH3"/>
    <mergeCell ref="BS3:BT3"/>
    <mergeCell ref="B4:C4"/>
    <mergeCell ref="G4:H4"/>
    <mergeCell ref="I4:J4"/>
    <mergeCell ref="N4:O4"/>
    <mergeCell ref="P4:Q4"/>
    <mergeCell ref="R4:S4"/>
    <mergeCell ref="Y4:Z4"/>
    <mergeCell ref="BG4:BH4"/>
    <mergeCell ref="BS4:BT4"/>
    <mergeCell ref="B5:C5"/>
    <mergeCell ref="G5:H5"/>
    <mergeCell ref="I5:J5"/>
    <mergeCell ref="P5:Q5"/>
    <mergeCell ref="R5:S5"/>
    <mergeCell ref="BG5:BH5"/>
    <mergeCell ref="BS5:BT5"/>
    <mergeCell ref="B6:C6"/>
    <mergeCell ref="G6:H6"/>
    <mergeCell ref="I6:J6"/>
    <mergeCell ref="P6:Q6"/>
    <mergeCell ref="R6:S6"/>
    <mergeCell ref="BG6:BH6"/>
    <mergeCell ref="BS6:BT6"/>
    <mergeCell ref="B7:C7"/>
    <mergeCell ref="F7:F8"/>
    <mergeCell ref="G7:G8"/>
    <mergeCell ref="H7:H8"/>
    <mergeCell ref="I7:I8"/>
    <mergeCell ref="J7:J8"/>
    <mergeCell ref="BG7:BG8"/>
    <mergeCell ref="BH7:BH8"/>
    <mergeCell ref="BI7:BI8"/>
    <mergeCell ref="BS7:BS8"/>
    <mergeCell ref="BT7:BT8"/>
    <mergeCell ref="BJ8:BN8"/>
    <mergeCell ref="BO8:BP8"/>
  </mergeCells>
  <dataValidations count="18">
    <dataValidation allowBlank="0" error="NE = NO EARNINGS&#10;NH = NEWLY HIRED&#10;SP = SEPARATED" errorTitle="INVALID REMARKS" operator="equal" prompt="NE = NO EARNINGS&#10;NH = NEWLY HIRED&#10;SP = SEPARATED" promptTitle="REMARKS" showDropDown="0" showErrorMessage="1" showInputMessage="1" sqref="BS9:BS20" type="list">
      <formula1>$BP$1:$BP$4</formula1>
      <formula2>0</formula2>
    </dataValidation>
    <dataValidation allowBlank="0" operator="between" prompt="DBM ALLOTMENT" promptTitle="FOR GOVERNMENT AGENCIES ONLY" showDropDown="0" showErrorMessage="1" showInputMessage="1" sqref="BS3:BT3">
      <formula1>0</formula1>
      <formula2>0</formula2>
    </dataValidation>
    <dataValidation allowBlank="0" operator="between" prompt="ARREARS TO BE PAID" promptTitle="FOR GOVERNMENT AGENCIES ONLY" showDropDown="0" showErrorMessage="1" showInputMessage="1" sqref="BS4:BT4">
      <formula1>0</formula1>
      <formula2>0</formula2>
    </dataValidation>
    <dataValidation allowBlank="0" operator="between" prompt="TOTAL PS + DBM ALLOTMENT" promptTitle="FOR GOVERNMENT AGENCIES ONLY" showDropDown="0" showErrorMessage="1" showInputMessage="1" sqref="BS6:BT6">
      <formula1>0</formula1>
      <formula2>0</formula2>
    </dataValidation>
    <dataValidation allowBlank="0" errorTitle="INVALID EMPLOYER TYPE" operator="between" prompt="PRIVATE&#10;GOVERNMENT&#10;HOUSEHOLD" promptTitle="EMPLOYER TYPE" showDropDown="0" showErrorMessage="1" showInputMessage="1" sqref="E3" type="list">
      <formula1>$V$3:$V$5</formula1>
      <formula2>0</formula2>
    </dataValidation>
    <dataValidation allowBlank="0" error="1   = JAN&#10;2   = FEB&#10;3   = MAR&#10;4   = APR&#10;5   = MAY&#10;6   = JUN&#10;7   = JUL&#10;8   = AUG&#10;9   = SEP&#10;10 = OCT&#10;11 = NOV&#10;12 = DEC" errorTitle="MONTH COVERAGE INVALID" operator="between" prompt="1   = JAN&#10;2   = FEB&#10;3   = MAR&#10;4   = APR&#10;5   = MAY&#10;6   = JUN&#10;7   = JUL&#10;8   = AUG&#10;9   = SEP&#10;10 = OCT&#10;11 = NOV&#10;12 = DEC" promptTitle="MONTH COVERAGE" showDropDown="0" showErrorMessage="1" showInputMessage="1" sqref="E5" type="list">
      <formula1>$A$9:$A$20</formula1>
      <formula2>0</formula2>
    </dataValidation>
    <dataValidation allowBlank="0" error="R = REGULAR&#10;A = ADDITIONAL&#10;" errorTitle="INVALID REPORT TYPE" operator="equal" prompt="R = REGULAR REPORT&#10;A = ADDITIONAL REPORT" promptTitle="REPORT TYPE" showDropDown="0" showErrorMessage="1" showInputMessage="1" sqref="E6" type="list">
      <formula1>$U$1:$V$1</formula1>
      <formula2>0</formula2>
    </dataValidation>
    <dataValidation allowBlank="0" errorTitle="INVALID NUMBER" operator="lessThanOrEqual" promptTitle="PHILHEALTH EMPLOYER NUMBER" showDropDown="0" showErrorMessage="1" showInputMessage="1" sqref="B3:C3" type="textLength">
      <formula1>12</formula1>
      <formula2>0</formula2>
    </dataValidation>
    <dataValidation allowBlank="0" error="PHILHEALTH NUMBER IS 12 DIGITS&#10;IF MEMBER NO PHILHEALTH NUMBER AVAILABLE YET USE SSS NUMBER AND INDICATE MIDDLENAME OF MEMBER" errorTitle="INVALID PHILHEALTH NUMBER" operator="equal" prompt="NO DASHES PLEASE&#10;EX. 031234567890" promptTitle="PHILHEALTH IDENTIFICATION NUMBER" showDropDown="0" showErrorMessage="1" showInputMessage="1" sqref="F9:F20" type="textLength">
      <formula1>12</formula1>
      <formula2>0</formula2>
    </dataValidation>
    <dataValidation allowBlank="0" error="2008&#10;2009&#10;2010&#10;2011&#10;2012&#10;2013&#10;2014&#10;2015" errorTitle="INVALID YEAR COVERAGE" operator="between" prompt="2008&#10;2009&#10;2010&#10;2011&#10;2012&#10;2013&#10;2014&#10;2015" promptTitle="YEAR COVERAGE" showDropDown="0" showErrorMessage="1" showInputMessage="1" sqref="E4" type="list">
      <formula1>$AA$2:$AH$2</formula1>
      <formula2>0</formula2>
    </dataValidation>
    <dataValidation allowBlank="0" error="SALARY SHOULD BE GREATER THAN ZERO&#10;IF NO SALARY LEAVE IT BLANK" errorTitle="SALARY ERROR" operator="greaterThan" showDropDown="0" showErrorMessage="1" showInputMessage="0" sqref="I10:I20" type="decimal">
      <formula1>0</formula1>
      <formula2>0</formula2>
    </dataValidation>
    <dataValidation allowBlank="0" operator="between" prompt="JR&#10;SR&#10;III&#10;IV" promptTitle="SUFFIX" showDropDown="0" showErrorMessage="1" showInputMessage="1" sqref="C9:C20">
      <formula1>0</formula1>
      <formula2>0</formula2>
    </dataValidation>
    <dataValidation allowBlank="0" error="SALARY SHOULD BE GREATER THAN ZERO&#10;IF NO SALARY LEAVE IT BLANK " errorTitle="SALARY ERROR" operator="greaterThan" showDropDown="0" showErrorMessage="1" showInputMessage="0" sqref="I9" type="decimal">
      <formula1>0</formula1>
      <formula2>0</formula2>
    </dataValidation>
    <dataValidation allowBlank="0" error="PLEASE INDICATE IF M OR F" errorTitle="INVALID CHARACTER" operator="equal" prompt="M FOR MALE F FOR FEMALE" promptTitle="SEX" showDropDown="0" showErrorMessage="1" showInputMessage="1" sqref="H9:H20" type="list">
      <formula1>$W$1:$X$1</formula1>
      <formula2>0</formula2>
    </dataValidation>
    <dataValidation allowBlank="0" operator="between" showDropDown="0" showErrorMessage="1" showInputMessage="0" sqref="G6:H6">
      <formula1>0</formula1>
      <formula2>0</formula2>
    </dataValidation>
    <dataValidation allowBlank="0" error="PLEASE INPUT A VALID BIRTHDAY MM/DD/YYYY" errorTitle="INVALID BIRTHDAY" operator="lessThan" prompt="PLEASE INPUT A VALID BIRTHDAY MM/DD/YYYY" promptTitle="BIRTHDAY" showDropDown="0" showErrorMessage="1" showInputMessage="1" sqref="G9:G20" type="date">
      <formula1>TODAY()</formula1>
      <formula2>0</formula2>
    </dataValidation>
    <dataValidation allowBlank="0" operator="between" prompt="DBM ALLOTMENT&#10;" promptTitle="FOR GOVERNMENT AGENCIES ONLY" showDropDown="0" showErrorMessage="1" showInputMessage="1" sqref="G3:H3">
      <formula1>0</formula1>
      <formula2>0</formula2>
    </dataValidation>
    <dataValidation allowBlank="0" error="VALID DATES:&#10;1/1/2008 TO 12/31/2015" errorTitle="INVALID DATE FORMAT" operator="between" prompt="MM/DD/YYYY&#10;MM-DD-YYYY" promptTitle="DATE FORMAT" showDropDown="0" showErrorMessage="1" showInputMessage="1" sqref="BT9:BT20" type="date">
      <formula1>39448</formula1>
      <formula2>42369</formula2>
    </dataValidation>
  </dataValidations>
  <hyperlinks>
    <hyperlink display="PRINT OUT RF1" location="RF1s!A1" ref="BU2"/>
    <hyperlink display="SAVE TXT" location="TXT!A1" ref="BU3"/>
    <hyperlink display="PRINT OUT RF1a" location="RF1sa!A1" ref="BU4"/>
    <hyperlink display="SAVE TXTa" location="TXTa!A1" ref="BU5"/>
  </hyperlinks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1" scale="100" useFirstPageNumber="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colorId="64" defaultGridColor="1" rightToLeft="0" showFormulas="0" showGridLines="1" showOutlineSymbols="1" showRowColHeaders="1" showZeros="1" tabSelected="0" topLeftCell="A1" view="normal" workbookViewId="0" zoomScale="100" zoomScaleNormal="100" zoomScalePageLayoutView="100">
      <selection activeCell="A1" activeCellId="0" pane="topLeft" sqref="A1"/>
    </sheetView>
  </sheetViews>
  <sheetFormatPr baseColWidth="8" defaultRowHeight="11.25" outlineLevelCol="0" outlineLevelRow="0" zeroHeight="0"/>
  <cols>
    <col customWidth="1" max="1" min="1" style="346" width="12.69"/>
    <col customWidth="1" max="3" min="2" style="346" width="30.67"/>
    <col customWidth="1" max="4" min="4" style="346" width="1.7"/>
    <col customWidth="1" max="5" min="5" style="347" width="8.69"/>
    <col customWidth="1" max="11" min="6" style="348" width="6.69"/>
    <col customWidth="1" max="12" min="12" style="346" width="10.69"/>
    <col customWidth="1" max="257" min="13" style="346" width="9.130000000000001"/>
    <col customWidth="1" max="1025" min="258" style="256" width="9.130000000000001"/>
  </cols>
  <sheetData>
    <row customHeight="1" ht="11.25" r="1" s="334" spans="1:12">
      <c r="A1" s="346" t="s">
        <v>85</v>
      </c>
    </row>
    <row customHeight="1" ht="11.25" r="2" s="334" spans="1:12">
      <c r="A2" s="346">
        <f>UPPER(DATA!B1)</f>
        <v/>
      </c>
    </row>
    <row customHeight="1" ht="11.25" r="3" s="334" spans="1:12">
      <c r="A3" s="346">
        <f>UPPER(DATA!B2)</f>
        <v/>
      </c>
    </row>
    <row customHeight="1" ht="11.25" r="4" s="334" spans="1:12">
      <c r="A4" s="349">
        <f>DATA!B3</f>
        <v/>
      </c>
      <c r="B4" s="346">
        <f>CONCATENATE(DATA!K2,DATA!L9,DATA!E6)</f>
        <v/>
      </c>
    </row>
    <row customHeight="1" ht="11.25" r="5" s="334" spans="1:12">
      <c r="A5" s="346" t="s">
        <v>86</v>
      </c>
    </row>
    <row customHeight="1" ht="11.25" r="6" s="334" spans="1:12">
      <c r="A6" s="347">
        <f>IF(DATA!BN9=FALSE(),DATA!F9,IF(DATA!BN9=TRUE()," "))</f>
        <v/>
      </c>
      <c r="B6" s="346">
        <f>CONCATENATE(UPPER(DATA!B9)," ",UPPER(DATA!C9))</f>
        <v/>
      </c>
      <c r="C6" s="346">
        <f>UPPER(DATA!D9)</f>
        <v/>
      </c>
      <c r="D6" s="350">
        <f>UPPER(IF(DATA!BK9=TRUE(),"  ",IF(DATA!BK9=FALSE(),DATA!BM9)))</f>
        <v/>
      </c>
      <c r="E6" s="347">
        <f>DATA!I9*100</f>
        <v/>
      </c>
      <c r="F6" s="348">
        <f>IF(DATA!BG9=0,0,IF(DATA!BG9&gt;0,DATA!BG9*100))</f>
        <v/>
      </c>
      <c r="G6" s="348">
        <f>IF(DATA!BH9=0,0,IF(DATA!BH9&gt;0,DATA!BH9*100))</f>
        <v/>
      </c>
      <c r="H6" s="348" t="n">
        <v>0</v>
      </c>
      <c r="I6" s="348" t="n">
        <v>0</v>
      </c>
      <c r="J6" s="348" t="n">
        <v>0</v>
      </c>
      <c r="K6" s="348" t="n">
        <v>0</v>
      </c>
      <c r="L6" s="346">
        <f>UPPER(IF(DATA!BO9=TRUE(),"  ",IF(DATA!BO9=FALSE(),CONCATENATE(DATA!BS9,DATA!BR9))))</f>
        <v/>
      </c>
    </row>
    <row customHeight="1" ht="11.25" r="7" s="334" spans="1:12">
      <c r="A7" s="347">
        <f>IF(DATA!BN10=FALSE(),DATA!F10,IF(DATA!BN10=TRUE()," "))</f>
        <v/>
      </c>
      <c r="B7" s="346">
        <f>CONCATENATE(UPPER(DATA!B10)," ",UPPER(DATA!C10))</f>
        <v/>
      </c>
      <c r="C7" s="346">
        <f>UPPER(DATA!D10)</f>
        <v/>
      </c>
      <c r="D7" s="350">
        <f>UPPER(IF(DATA!BK10=TRUE(),"  ",IF(DATA!BK10=FALSE(),DATA!BM10)))</f>
        <v/>
      </c>
      <c r="E7" s="347">
        <f>DATA!I10*100</f>
        <v/>
      </c>
      <c r="F7" s="348">
        <f>IF(DATA!BG10=0,0,IF(DATA!BG10&gt;0,DATA!BG10*100))</f>
        <v/>
      </c>
      <c r="G7" s="348">
        <f>IF(DATA!BH10=0,0,IF(DATA!BH10&gt;0,DATA!BH10*100))</f>
        <v/>
      </c>
      <c r="H7" s="348" t="n">
        <v>0</v>
      </c>
      <c r="I7" s="348" t="n">
        <v>0</v>
      </c>
      <c r="J7" s="348" t="n">
        <v>0</v>
      </c>
      <c r="K7" s="348" t="n">
        <v>0</v>
      </c>
      <c r="L7" s="346">
        <f>UPPER(IF(DATA!BO10=TRUE(),"  ",IF(DATA!BO10=FALSE(),CONCATENATE(DATA!BS10,DATA!BR10))))</f>
        <v/>
      </c>
    </row>
    <row customHeight="1" ht="11.25" r="8" s="334" spans="1:12">
      <c r="A8" s="347">
        <f>IF(DATA!BN11=FALSE(),DATA!F11,IF(DATA!BN11=TRUE()," "))</f>
        <v/>
      </c>
      <c r="B8" s="346">
        <f>CONCATENATE(UPPER(DATA!B11)," ",UPPER(DATA!C11))</f>
        <v/>
      </c>
      <c r="C8" s="346">
        <f>UPPER(DATA!D11)</f>
        <v/>
      </c>
      <c r="D8" s="350">
        <f>UPPER(IF(DATA!BK11=TRUE(),"  ",IF(DATA!BK11=FALSE(),DATA!BM11)))</f>
        <v/>
      </c>
      <c r="E8" s="347">
        <f>DATA!I11*100</f>
        <v/>
      </c>
      <c r="F8" s="348">
        <f>IF(DATA!BG11=0,0,IF(DATA!BG11&gt;0,DATA!BG11*100))</f>
        <v/>
      </c>
      <c r="G8" s="348">
        <f>IF(DATA!BH11=0,0,IF(DATA!BH11&gt;0,DATA!BH11*100))</f>
        <v/>
      </c>
      <c r="H8" s="348" t="n">
        <v>0</v>
      </c>
      <c r="I8" s="348" t="n">
        <v>0</v>
      </c>
      <c r="J8" s="348" t="n">
        <v>0</v>
      </c>
      <c r="K8" s="348" t="n">
        <v>0</v>
      </c>
      <c r="L8" s="346">
        <f>UPPER(IF(DATA!BO11=TRUE(),"  ",IF(DATA!BO11=FALSE(),CONCATENATE(DATA!BS11,DATA!BR11))))</f>
        <v/>
      </c>
    </row>
    <row customHeight="1" ht="11.25" r="9" s="334" spans="1:12">
      <c r="A9" s="347">
        <f>IF(DATA!BN12=FALSE(),DATA!F12,IF(DATA!BN12=TRUE()," "))</f>
        <v/>
      </c>
      <c r="B9" s="346">
        <f>CONCATENATE(UPPER(DATA!B12)," ",UPPER(DATA!C12))</f>
        <v/>
      </c>
      <c r="C9" s="346">
        <f>UPPER(DATA!D12)</f>
        <v/>
      </c>
      <c r="D9" s="350">
        <f>UPPER(IF(DATA!BK12=TRUE(),"  ",IF(DATA!BK12=FALSE(),DATA!BM12)))</f>
        <v/>
      </c>
      <c r="E9" s="347">
        <f>DATA!I12*100</f>
        <v/>
      </c>
      <c r="F9" s="348">
        <f>IF(DATA!BG12=0,0,IF(DATA!BG12&gt;0,DATA!BG12*100))</f>
        <v/>
      </c>
      <c r="G9" s="348">
        <f>IF(DATA!BH12=0,0,IF(DATA!BH12&gt;0,DATA!BH12*100))</f>
        <v/>
      </c>
      <c r="H9" s="348" t="n">
        <v>0</v>
      </c>
      <c r="I9" s="348" t="n">
        <v>0</v>
      </c>
      <c r="J9" s="348" t="n">
        <v>0</v>
      </c>
      <c r="K9" s="348" t="n">
        <v>0</v>
      </c>
      <c r="L9" s="346">
        <f>UPPER(IF(DATA!BO12=TRUE(),"  ",IF(DATA!BO12=FALSE(),CONCATENATE(DATA!BS12,DATA!BR12))))</f>
        <v/>
      </c>
    </row>
    <row customHeight="1" ht="11.25" r="10" s="334" spans="1:12">
      <c r="A10" s="347">
        <f>IF(DATA!BN13=FALSE(),DATA!F13,IF(DATA!BN13=TRUE()," "))</f>
        <v/>
      </c>
      <c r="B10" s="346">
        <f>CONCATENATE(UPPER(DATA!B13)," ",UPPER(DATA!C13))</f>
        <v/>
      </c>
      <c r="C10" s="346">
        <f>UPPER(DATA!D13)</f>
        <v/>
      </c>
      <c r="D10" s="350">
        <f>UPPER(IF(DATA!BK13=TRUE(),"  ",IF(DATA!BK13=FALSE(),DATA!BM13)))</f>
        <v/>
      </c>
      <c r="E10" s="347">
        <f>DATA!I13*100</f>
        <v/>
      </c>
      <c r="F10" s="348">
        <f>IF(DATA!BG13=0,0,IF(DATA!BG13&gt;0,DATA!BG13*100))</f>
        <v/>
      </c>
      <c r="G10" s="348">
        <f>IF(DATA!BH13=0,0,IF(DATA!BH13&gt;0,DATA!BH13*100))</f>
        <v/>
      </c>
      <c r="H10" s="348" t="n">
        <v>0</v>
      </c>
      <c r="I10" s="348" t="n">
        <v>0</v>
      </c>
      <c r="J10" s="348" t="n">
        <v>0</v>
      </c>
      <c r="K10" s="348" t="n">
        <v>0</v>
      </c>
      <c r="L10" s="346">
        <f>UPPER(IF(DATA!BO13=TRUE(),"  ",IF(DATA!BO13=FALSE(),CONCATENATE(DATA!BS13,DATA!BR13))))</f>
        <v/>
      </c>
    </row>
    <row customHeight="1" ht="11.25" r="11" s="334" spans="1:12">
      <c r="A11" s="347">
        <f>IF(DATA!BN14=FALSE(),DATA!F14,IF(DATA!BN14=TRUE()," "))</f>
        <v/>
      </c>
      <c r="B11" s="346">
        <f>CONCATENATE(UPPER(DATA!B14)," ",UPPER(DATA!C14))</f>
        <v/>
      </c>
      <c r="C11" s="346">
        <f>UPPER(DATA!D14)</f>
        <v/>
      </c>
      <c r="D11" s="350">
        <f>UPPER(IF(DATA!BK14=TRUE(),"  ",IF(DATA!BK14=FALSE(),DATA!BM14)))</f>
        <v/>
      </c>
      <c r="E11" s="347">
        <f>DATA!I14*100</f>
        <v/>
      </c>
      <c r="F11" s="348">
        <f>IF(DATA!BG14=0,0,IF(DATA!BG14&gt;0,DATA!BG14*100))</f>
        <v/>
      </c>
      <c r="G11" s="348">
        <f>IF(DATA!BH14=0,0,IF(DATA!BH14&gt;0,DATA!BH14*100))</f>
        <v/>
      </c>
      <c r="H11" s="348" t="n">
        <v>0</v>
      </c>
      <c r="I11" s="348" t="n">
        <v>0</v>
      </c>
      <c r="J11" s="348" t="n">
        <v>0</v>
      </c>
      <c r="K11" s="348" t="n">
        <v>0</v>
      </c>
      <c r="L11" s="346">
        <f>UPPER(IF(DATA!BO14=TRUE(),"  ",IF(DATA!BO14=FALSE(),CONCATENATE(DATA!BS14,DATA!BR14))))</f>
        <v/>
      </c>
    </row>
    <row customHeight="1" ht="11.25" r="12" s="334" spans="1:12">
      <c r="A12" s="347">
        <f>IF(DATA!BN15=FALSE(),DATA!F15,IF(DATA!BN15=TRUE()," "))</f>
        <v/>
      </c>
      <c r="B12" s="346">
        <f>CONCATENATE(UPPER(DATA!B15)," ",UPPER(DATA!C15))</f>
        <v/>
      </c>
      <c r="C12" s="346">
        <f>UPPER(DATA!D15)</f>
        <v/>
      </c>
      <c r="D12" s="350">
        <f>UPPER(IF(DATA!BK15=TRUE(),"  ",IF(DATA!BK15=FALSE(),DATA!BM15)))</f>
        <v/>
      </c>
      <c r="E12" s="347">
        <f>DATA!I15*100</f>
        <v/>
      </c>
      <c r="F12" s="348">
        <f>IF(DATA!BG15=0,0,IF(DATA!BG15&gt;0,DATA!BG15*100))</f>
        <v/>
      </c>
      <c r="G12" s="348">
        <f>IF(DATA!BH15=0,0,IF(DATA!BH15&gt;0,DATA!BH15*100))</f>
        <v/>
      </c>
      <c r="H12" s="348" t="n">
        <v>0</v>
      </c>
      <c r="I12" s="348" t="n">
        <v>0</v>
      </c>
      <c r="J12" s="348" t="n">
        <v>0</v>
      </c>
      <c r="K12" s="348" t="n">
        <v>0</v>
      </c>
      <c r="L12" s="346">
        <f>UPPER(IF(DATA!BO15=TRUE(),"  ",IF(DATA!BO15=FALSE(),CONCATENATE(DATA!BS15,DATA!BR15))))</f>
        <v/>
      </c>
    </row>
    <row customHeight="1" ht="11.25" r="13" s="334" spans="1:12">
      <c r="A13" s="347">
        <f>IF(DATA!BN16=FALSE(),DATA!F16,IF(DATA!BN16=TRUE()," "))</f>
        <v/>
      </c>
      <c r="B13" s="346">
        <f>CONCATENATE(UPPER(DATA!B16)," ",UPPER(DATA!C16))</f>
        <v/>
      </c>
      <c r="C13" s="346">
        <f>UPPER(DATA!D16)</f>
        <v/>
      </c>
      <c r="D13" s="350">
        <f>UPPER(IF(DATA!BK16=TRUE(),"  ",IF(DATA!BK16=FALSE(),DATA!BM16)))</f>
        <v/>
      </c>
      <c r="E13" s="347">
        <f>DATA!I16*100</f>
        <v/>
      </c>
      <c r="F13" s="348">
        <f>IF(DATA!BG16=0,0,IF(DATA!BG16&gt;0,DATA!BG16*100))</f>
        <v/>
      </c>
      <c r="G13" s="348">
        <f>IF(DATA!BH16=0,0,IF(DATA!BH16&gt;0,DATA!BH16*100))</f>
        <v/>
      </c>
      <c r="H13" s="348" t="n">
        <v>0</v>
      </c>
      <c r="I13" s="348" t="n">
        <v>0</v>
      </c>
      <c r="J13" s="348" t="n">
        <v>0</v>
      </c>
      <c r="K13" s="348" t="n">
        <v>0</v>
      </c>
      <c r="L13" s="346">
        <f>UPPER(IF(DATA!BO16=TRUE(),"  ",IF(DATA!BO16=FALSE(),CONCATENATE(DATA!BS16,DATA!BR16))))</f>
        <v/>
      </c>
    </row>
    <row customHeight="1" ht="11.25" r="14" s="334" spans="1:12">
      <c r="A14" s="347">
        <f>IF(DATA!BN17=FALSE(),DATA!F17,IF(DATA!BN17=TRUE()," "))</f>
        <v/>
      </c>
      <c r="B14" s="346">
        <f>CONCATENATE(UPPER(DATA!B17)," ",UPPER(DATA!C17))</f>
        <v/>
      </c>
      <c r="C14" s="346">
        <f>UPPER(DATA!D17)</f>
        <v/>
      </c>
      <c r="D14" s="350">
        <f>UPPER(IF(DATA!BK17=TRUE(),"  ",IF(DATA!BK17=FALSE(),DATA!BM17)))</f>
        <v/>
      </c>
      <c r="E14" s="347">
        <f>DATA!I17*100</f>
        <v/>
      </c>
      <c r="F14" s="348">
        <f>IF(DATA!BG17=0,0,IF(DATA!BG17&gt;0,DATA!BG17*100))</f>
        <v/>
      </c>
      <c r="G14" s="348">
        <f>IF(DATA!BH17=0,0,IF(DATA!BH17&gt;0,DATA!BH17*100))</f>
        <v/>
      </c>
      <c r="H14" s="348" t="n">
        <v>0</v>
      </c>
      <c r="I14" s="348" t="n">
        <v>0</v>
      </c>
      <c r="J14" s="348" t="n">
        <v>0</v>
      </c>
      <c r="K14" s="348" t="n">
        <v>0</v>
      </c>
      <c r="L14" s="346">
        <f>UPPER(IF(DATA!BO17=TRUE(),"  ",IF(DATA!BO17=FALSE(),CONCATENATE(DATA!BS17,DATA!BR17))))</f>
        <v/>
      </c>
    </row>
    <row customHeight="1" ht="11.25" r="15" s="334" spans="1:12">
      <c r="A15" s="347">
        <f>IF(DATA!BN18=FALSE(),DATA!F18,IF(DATA!BN18=TRUE()," "))</f>
        <v/>
      </c>
      <c r="B15" s="346">
        <f>CONCATENATE(UPPER(DATA!B18)," ",UPPER(DATA!C18))</f>
        <v/>
      </c>
      <c r="C15" s="346">
        <f>UPPER(DATA!D18)</f>
        <v/>
      </c>
      <c r="D15" s="350">
        <f>UPPER(IF(DATA!BK18=TRUE(),"  ",IF(DATA!BK18=FALSE(),DATA!BM18)))</f>
        <v/>
      </c>
      <c r="E15" s="347">
        <f>DATA!I18*100</f>
        <v/>
      </c>
      <c r="F15" s="348">
        <f>IF(DATA!BG18=0,0,IF(DATA!BG18&gt;0,DATA!BG18*100))</f>
        <v/>
      </c>
      <c r="G15" s="348">
        <f>IF(DATA!BH18=0,0,IF(DATA!BH18&gt;0,DATA!BH18*100))</f>
        <v/>
      </c>
      <c r="H15" s="348" t="n">
        <v>0</v>
      </c>
      <c r="I15" s="348" t="n">
        <v>0</v>
      </c>
      <c r="J15" s="348" t="n">
        <v>0</v>
      </c>
      <c r="K15" s="348" t="n">
        <v>0</v>
      </c>
      <c r="L15" s="346">
        <f>UPPER(IF(DATA!BO18=TRUE(),"  ",IF(DATA!BO18=FALSE(),CONCATENATE(DATA!BS18,DATA!BR18))))</f>
        <v/>
      </c>
    </row>
    <row customHeight="1" ht="11.25" r="16" s="334" spans="1:12">
      <c r="A16" s="347">
        <f>IF(DATA!BN19=FALSE(),DATA!F19,IF(DATA!BN19=TRUE()," "))</f>
        <v/>
      </c>
      <c r="B16" s="346">
        <f>CONCATENATE(UPPER(DATA!B19)," ",UPPER(DATA!C19))</f>
        <v/>
      </c>
      <c r="C16" s="346">
        <f>UPPER(DATA!D19)</f>
        <v/>
      </c>
      <c r="D16" s="350">
        <f>UPPER(IF(DATA!BK19=TRUE(),"  ",IF(DATA!BK19=FALSE(),DATA!BM19)))</f>
        <v/>
      </c>
      <c r="E16" s="347">
        <f>DATA!I19*100</f>
        <v/>
      </c>
      <c r="F16" s="348">
        <f>IF(DATA!BG19=0,0,IF(DATA!BG19&gt;0,DATA!BG19*100))</f>
        <v/>
      </c>
      <c r="G16" s="348">
        <f>IF(DATA!BH19=0,0,IF(DATA!BH19&gt;0,DATA!BH19*100))</f>
        <v/>
      </c>
      <c r="H16" s="348" t="n">
        <v>0</v>
      </c>
      <c r="I16" s="348" t="n">
        <v>0</v>
      </c>
      <c r="J16" s="348" t="n">
        <v>0</v>
      </c>
      <c r="K16" s="348" t="n">
        <v>0</v>
      </c>
      <c r="L16" s="346">
        <f>UPPER(IF(DATA!BO19=TRUE(),"  ",IF(DATA!BO19=FALSE(),CONCATENATE(DATA!BS19,DATA!BR19))))</f>
        <v/>
      </c>
    </row>
    <row customHeight="1" ht="11.25" r="17" s="334" spans="1:12">
      <c r="A17" s="347">
        <f>IF(DATA!BN20=FALSE(),DATA!F20,IF(DATA!BN20=TRUE()," "))</f>
        <v/>
      </c>
      <c r="B17" s="346">
        <f>CONCATENATE(UPPER(DATA!B20)," ",UPPER(DATA!C20))</f>
        <v/>
      </c>
      <c r="C17" s="346">
        <f>UPPER(DATA!D20)</f>
        <v/>
      </c>
      <c r="D17" s="350">
        <f>UPPER(IF(DATA!BK20=TRUE(),"  ",IF(DATA!BK20=FALSE(),DATA!BM20)))</f>
        <v/>
      </c>
      <c r="E17" s="347">
        <f>DATA!I20*100</f>
        <v/>
      </c>
      <c r="F17" s="348">
        <f>IF(DATA!BG20=0,0,IF(DATA!BG20&gt;0,DATA!BG20*100))</f>
        <v/>
      </c>
      <c r="G17" s="348">
        <f>IF(DATA!BH20=0,0,IF(DATA!BH20&gt;0,DATA!BH20*100))</f>
        <v/>
      </c>
      <c r="H17" s="348" t="n">
        <v>0</v>
      </c>
      <c r="I17" s="348" t="n">
        <v>0</v>
      </c>
      <c r="J17" s="348" t="n">
        <v>0</v>
      </c>
      <c r="K17" s="348" t="n">
        <v>0</v>
      </c>
      <c r="L17" s="346">
        <f>UPPER(IF(DATA!BO20=TRUE(),"  ",IF(DATA!BO20=FALSE(),CONCATENATE(DATA!BS20,DATA!BR20))))</f>
        <v/>
      </c>
    </row>
    <row customHeight="1" ht="11.25" r="18" s="334" spans="1:12">
      <c r="A18" s="346" t="s">
        <v>87</v>
      </c>
    </row>
    <row customHeight="1" ht="11.25" r="19" s="334" spans="1:12">
      <c r="A19" s="351">
        <f>DATA!BG2*100</f>
        <v/>
      </c>
      <c r="B19" s="347">
        <f>DATA!BG1</f>
        <v/>
      </c>
      <c r="C19" s="352">
        <f>DATA!BG3</f>
        <v/>
      </c>
      <c r="D19" s="346">
        <f>COUNT(DATA!BJ9:BJ25548)</f>
        <v/>
      </c>
    </row>
    <row customHeight="1" ht="11.25" r="20" s="334" spans="1:12">
      <c r="A20" s="353">
        <f>DATA!BG5</f>
        <v/>
      </c>
    </row>
    <row customHeight="1" ht="11.25" r="21" s="334" spans="1:12">
      <c r="A21" s="346">
        <f>UPPER(CONCATENATE(DATA!B5,"                  ",DATA!B6))</f>
        <v/>
      </c>
    </row>
  </sheetData>
  <sheetProtection autoFilter="1" deleteColumns="1" deleteRows="1" formatCells="1" formatColumns="1" formatRows="1" insertColumns="1" insertHyperlinks="1" insertRows="1" objects="0" password="b816" pivotTables="1" scenarios="0" selectLockedCells="1" selectUnlockedCells="1" sheet="1" sort="1"/>
  <mergeCells count="9">
    <mergeCell ref="A1:L1"/>
    <mergeCell ref="A2:L2"/>
    <mergeCell ref="A3:L3"/>
    <mergeCell ref="B4:L4"/>
    <mergeCell ref="A5:L5"/>
    <mergeCell ref="A18:L18"/>
    <mergeCell ref="D19:L19"/>
    <mergeCell ref="A20:L20"/>
    <mergeCell ref="A21:L21"/>
  </mergeCells>
  <printOptions gridLines="0" gridLinesSet="1" headings="0" horizontalCentered="0" verticalCentered="0"/>
  <pageMargins bottom="1" footer="0.511805555555555" header="0.511805555555555" left="1.25" right="1.25" top="1"/>
  <pageSetup blackAndWhite="0" copies="1" draft="0" firstPageNumber="0" fitToHeight="1" fitToWidth="1" horizontalDpi="300" orientation="landscape" pageOrder="downThenOver" paperSize="5" scale="100" useFirstPageNumber="0" verticalDpi="300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colorId="64" defaultGridColor="1" rightToLeft="0" showFormulas="0" showGridLines="1" showOutlineSymbols="1" showRowColHeaders="1" showZeros="1" tabSelected="0" topLeftCell="A1" view="normal" workbookViewId="0" zoomScale="100" zoomScaleNormal="100" zoomScalePageLayoutView="100">
      <selection activeCell="A1" activeCellId="0" pane="topLeft" sqref="A1"/>
    </sheetView>
  </sheetViews>
  <sheetFormatPr baseColWidth="8" defaultRowHeight="11.25" outlineLevelCol="0" outlineLevelRow="0" zeroHeight="0"/>
  <cols>
    <col customWidth="1" max="1" min="1" style="346" width="12.69"/>
    <col customWidth="1" max="3" min="2" style="346" width="30.67"/>
    <col customWidth="1" max="4" min="4" style="346" width="1.7"/>
    <col customWidth="1" max="5" min="5" style="347" width="8.69"/>
    <col customWidth="1" max="11" min="6" style="348" width="6.69"/>
    <col customWidth="1" max="12" min="12" style="346" width="10.69"/>
    <col customWidth="1" max="257" min="13" style="346" width="9.130000000000001"/>
    <col customWidth="1" max="1025" min="258" style="256" width="9.130000000000001"/>
  </cols>
  <sheetData>
    <row customHeight="1" ht="11.25" r="1" s="334" spans="1:12">
      <c r="A1" s="346" t="s">
        <v>85</v>
      </c>
    </row>
    <row customHeight="1" ht="11.25" r="2" s="334" spans="1:12">
      <c r="A2" s="346">
        <f>UPPER(DATA!B1)</f>
        <v/>
      </c>
    </row>
    <row customHeight="1" ht="11.25" r="3" s="334" spans="1:12">
      <c r="A3" s="346">
        <f>UPPER(DATA!B2)</f>
        <v/>
      </c>
    </row>
    <row customHeight="1" ht="11.25" r="4" s="334" spans="1:12">
      <c r="A4" s="349">
        <f>DATA!B3</f>
        <v/>
      </c>
      <c r="B4" s="346">
        <f>CONCATENATE(DATA!K2,DATA!L9,DATA!E6)</f>
        <v/>
      </c>
    </row>
    <row customHeight="1" ht="11.25" r="5" s="334" spans="1:12">
      <c r="A5" s="346" t="s">
        <v>86</v>
      </c>
    </row>
    <row customHeight="1" ht="11.25" r="6" s="334" spans="1:12">
      <c r="A6" s="347">
        <f>IF(DATA!BN9=FALSE(),DATA!F9,IF(DATA!BN9=TRUE()," "))</f>
        <v/>
      </c>
      <c r="B6" s="346">
        <f>CONCATENATE(UPPER(DATA!B9)," ",UPPER(DATA!C9))</f>
        <v/>
      </c>
      <c r="C6" s="346">
        <f>UPPER(DATA!D9)</f>
        <v/>
      </c>
      <c r="D6" s="350">
        <f>UPPER(IF(DATA!BK9=TRUE(),"  ",IF(DATA!BK9=FALSE(),DATA!BM9)))</f>
        <v/>
      </c>
      <c r="E6" s="347">
        <f>DATA!I9*100</f>
        <v/>
      </c>
      <c r="F6" s="348">
        <f>IF(DATA!BG9=0,0,IF(DATA!BG9&gt;0,DATA!BG9*100))</f>
        <v/>
      </c>
      <c r="G6" s="348">
        <f>IF(DATA!BI9=0,0,IF(DATA!BI9&gt;0,DATA!BI9*100))</f>
        <v/>
      </c>
      <c r="H6" s="348" t="n">
        <v>0</v>
      </c>
      <c r="I6" s="348" t="n">
        <v>0</v>
      </c>
      <c r="J6" s="348" t="n">
        <v>0</v>
      </c>
      <c r="K6" s="348" t="n">
        <v>0</v>
      </c>
      <c r="L6" s="346">
        <f>UPPER(IF(DATA!BO9=TRUE(),"  ",IF(DATA!BO9=FALSE(),CONCATENATE(DATA!BS9,DATA!BR9))))</f>
        <v/>
      </c>
    </row>
    <row customHeight="1" ht="11.25" r="7" s="334" spans="1:12">
      <c r="A7" s="347">
        <f>IF(DATA!BN10=FALSE(),DATA!F10,IF(DATA!BN10=TRUE()," "))</f>
        <v/>
      </c>
      <c r="B7" s="346">
        <f>CONCATENATE(UPPER(DATA!B10)," ",UPPER(DATA!C10))</f>
        <v/>
      </c>
      <c r="C7" s="346">
        <f>UPPER(DATA!D10)</f>
        <v/>
      </c>
      <c r="D7" s="350">
        <f>UPPER(IF(DATA!BK10=TRUE(),"  ",IF(DATA!BK10=FALSE(),DATA!BM10)))</f>
        <v/>
      </c>
      <c r="E7" s="347">
        <f>DATA!I10*100</f>
        <v/>
      </c>
      <c r="F7" s="348">
        <f>IF(DATA!BG10=0,0,IF(DATA!BG10&gt;0,DATA!BG10*100))</f>
        <v/>
      </c>
      <c r="G7" s="348">
        <f>IF(DATA!BI10=0,0,IF(DATA!BI10&gt;0,DATA!BI10*100))</f>
        <v/>
      </c>
      <c r="H7" s="348" t="n">
        <v>0</v>
      </c>
      <c r="I7" s="348" t="n">
        <v>0</v>
      </c>
      <c r="J7" s="348" t="n">
        <v>0</v>
      </c>
      <c r="K7" s="348" t="n">
        <v>0</v>
      </c>
      <c r="L7" s="346">
        <f>UPPER(IF(DATA!BO10=TRUE(),"  ",IF(DATA!BO10=FALSE(),CONCATENATE(DATA!BS10,DATA!BR10))))</f>
        <v/>
      </c>
    </row>
    <row customHeight="1" ht="11.25" r="8" s="334" spans="1:12">
      <c r="A8" s="347">
        <f>IF(DATA!BN11=FALSE(),DATA!F11,IF(DATA!BN11=TRUE()," "))</f>
        <v/>
      </c>
      <c r="B8" s="346">
        <f>CONCATENATE(UPPER(DATA!B11)," ",UPPER(DATA!C11))</f>
        <v/>
      </c>
      <c r="C8" s="346">
        <f>UPPER(DATA!D11)</f>
        <v/>
      </c>
      <c r="D8" s="350">
        <f>UPPER(IF(DATA!BK11=TRUE(),"  ",IF(DATA!BK11=FALSE(),DATA!BM11)))</f>
        <v/>
      </c>
      <c r="E8" s="347">
        <f>DATA!I11*100</f>
        <v/>
      </c>
      <c r="F8" s="348">
        <f>IF(DATA!BG11=0,0,IF(DATA!BG11&gt;0,DATA!BG11*100))</f>
        <v/>
      </c>
      <c r="G8" s="348">
        <f>IF(DATA!BI11=0,0,IF(DATA!BI11&gt;0,DATA!BI11*100))</f>
        <v/>
      </c>
      <c r="H8" s="348" t="n">
        <v>0</v>
      </c>
      <c r="I8" s="348" t="n">
        <v>0</v>
      </c>
      <c r="J8" s="348" t="n">
        <v>0</v>
      </c>
      <c r="K8" s="348" t="n">
        <v>0</v>
      </c>
      <c r="L8" s="346">
        <f>UPPER(IF(DATA!BO11=TRUE(),"  ",IF(DATA!BO11=FALSE(),CONCATENATE(DATA!BS11,DATA!BR11))))</f>
        <v/>
      </c>
    </row>
    <row customHeight="1" ht="11.25" r="9" s="334" spans="1:12">
      <c r="A9" s="347">
        <f>IF(DATA!BN12=FALSE(),DATA!F12,IF(DATA!BN12=TRUE()," "))</f>
        <v/>
      </c>
      <c r="B9" s="346">
        <f>CONCATENATE(UPPER(DATA!B12)," ",UPPER(DATA!C12))</f>
        <v/>
      </c>
      <c r="C9" s="346">
        <f>UPPER(DATA!D12)</f>
        <v/>
      </c>
      <c r="D9" s="350">
        <f>UPPER(IF(DATA!BK12=TRUE(),"  ",IF(DATA!BK12=FALSE(),DATA!BM12)))</f>
        <v/>
      </c>
      <c r="E9" s="347">
        <f>DATA!I12*100</f>
        <v/>
      </c>
      <c r="F9" s="348">
        <f>IF(DATA!BG12=0,0,IF(DATA!BG12&gt;0,DATA!BG12*100))</f>
        <v/>
      </c>
      <c r="G9" s="348">
        <f>IF(DATA!BI12=0,0,IF(DATA!BI12&gt;0,DATA!BI12*100))</f>
        <v/>
      </c>
      <c r="H9" s="348" t="n">
        <v>0</v>
      </c>
      <c r="I9" s="348" t="n">
        <v>0</v>
      </c>
      <c r="J9" s="348" t="n">
        <v>0</v>
      </c>
      <c r="K9" s="348" t="n">
        <v>0</v>
      </c>
      <c r="L9" s="346">
        <f>UPPER(IF(DATA!BO12=TRUE(),"  ",IF(DATA!BO12=FALSE(),CONCATENATE(DATA!BS12,DATA!BR12))))</f>
        <v/>
      </c>
    </row>
    <row customHeight="1" ht="11.25" r="10" s="334" spans="1:12">
      <c r="A10" s="347">
        <f>IF(DATA!BN13=FALSE(),DATA!F13,IF(DATA!BN13=TRUE()," "))</f>
        <v/>
      </c>
      <c r="B10" s="346">
        <f>CONCATENATE(UPPER(DATA!B13)," ",UPPER(DATA!C13))</f>
        <v/>
      </c>
      <c r="C10" s="346">
        <f>UPPER(DATA!D13)</f>
        <v/>
      </c>
      <c r="D10" s="350">
        <f>UPPER(IF(DATA!BK13=TRUE(),"  ",IF(DATA!BK13=FALSE(),DATA!BM13)))</f>
        <v/>
      </c>
      <c r="E10" s="347">
        <f>DATA!I13*100</f>
        <v/>
      </c>
      <c r="F10" s="348">
        <f>IF(DATA!BG13=0,0,IF(DATA!BG13&gt;0,DATA!BG13*100))</f>
        <v/>
      </c>
      <c r="G10" s="348">
        <f>IF(DATA!BI13=0,0,IF(DATA!BI13&gt;0,DATA!BI13*100))</f>
        <v/>
      </c>
      <c r="H10" s="348" t="n">
        <v>0</v>
      </c>
      <c r="I10" s="348" t="n">
        <v>0</v>
      </c>
      <c r="J10" s="348" t="n">
        <v>0</v>
      </c>
      <c r="K10" s="348" t="n">
        <v>0</v>
      </c>
      <c r="L10" s="346">
        <f>UPPER(IF(DATA!BO13=TRUE(),"  ",IF(DATA!BO13=FALSE(),CONCATENATE(DATA!BS13,DATA!BR13))))</f>
        <v/>
      </c>
    </row>
    <row customHeight="1" ht="11.25" r="11" s="334" spans="1:12">
      <c r="A11" s="347">
        <f>IF(DATA!BN14=FALSE(),DATA!F14,IF(DATA!BN14=TRUE()," "))</f>
        <v/>
      </c>
      <c r="B11" s="346">
        <f>CONCATENATE(UPPER(DATA!B14)," ",UPPER(DATA!C14))</f>
        <v/>
      </c>
      <c r="C11" s="346">
        <f>UPPER(DATA!D14)</f>
        <v/>
      </c>
      <c r="D11" s="350">
        <f>UPPER(IF(DATA!BK14=TRUE(),"  ",IF(DATA!BK14=FALSE(),DATA!BM14)))</f>
        <v/>
      </c>
      <c r="E11" s="347">
        <f>DATA!I14*100</f>
        <v/>
      </c>
      <c r="F11" s="348">
        <f>IF(DATA!BG14=0,0,IF(DATA!BG14&gt;0,DATA!BG14*100))</f>
        <v/>
      </c>
      <c r="G11" s="348">
        <f>IF(DATA!BI14=0,0,IF(DATA!BI14&gt;0,DATA!BI14*100))</f>
        <v/>
      </c>
      <c r="H11" s="348" t="n">
        <v>0</v>
      </c>
      <c r="I11" s="348" t="n">
        <v>0</v>
      </c>
      <c r="J11" s="348" t="n">
        <v>0</v>
      </c>
      <c r="K11" s="348" t="n">
        <v>0</v>
      </c>
      <c r="L11" s="346">
        <f>UPPER(IF(DATA!BO14=TRUE(),"  ",IF(DATA!BO14=FALSE(),CONCATENATE(DATA!BS14,DATA!BR14))))</f>
        <v/>
      </c>
    </row>
    <row customHeight="1" ht="11.25" r="12" s="334" spans="1:12">
      <c r="A12" s="347">
        <f>IF(DATA!BN15=FALSE(),DATA!F15,IF(DATA!BN15=TRUE()," "))</f>
        <v/>
      </c>
      <c r="B12" s="346">
        <f>CONCATENATE(UPPER(DATA!B15)," ",UPPER(DATA!C15))</f>
        <v/>
      </c>
      <c r="C12" s="346">
        <f>UPPER(DATA!D15)</f>
        <v/>
      </c>
      <c r="D12" s="350">
        <f>UPPER(IF(DATA!BK15=TRUE(),"  ",IF(DATA!BK15=FALSE(),DATA!BM15)))</f>
        <v/>
      </c>
      <c r="E12" s="347">
        <f>DATA!I15*100</f>
        <v/>
      </c>
      <c r="F12" s="348">
        <f>IF(DATA!BG15=0,0,IF(DATA!BG15&gt;0,DATA!BG15*100))</f>
        <v/>
      </c>
      <c r="G12" s="348">
        <f>IF(DATA!BI15=0,0,IF(DATA!BI15&gt;0,DATA!BI15*100))</f>
        <v/>
      </c>
      <c r="H12" s="348" t="n">
        <v>0</v>
      </c>
      <c r="I12" s="348" t="n">
        <v>0</v>
      </c>
      <c r="J12" s="348" t="n">
        <v>0</v>
      </c>
      <c r="K12" s="348" t="n">
        <v>0</v>
      </c>
      <c r="L12" s="346">
        <f>UPPER(IF(DATA!BO15=TRUE(),"  ",IF(DATA!BO15=FALSE(),CONCATENATE(DATA!BS15,DATA!BR15))))</f>
        <v/>
      </c>
    </row>
    <row customHeight="1" ht="11.25" r="13" s="334" spans="1:12">
      <c r="A13" s="347">
        <f>IF(DATA!BN16=FALSE(),DATA!F16,IF(DATA!BN16=TRUE()," "))</f>
        <v/>
      </c>
      <c r="B13" s="346">
        <f>CONCATENATE(UPPER(DATA!B16)," ",UPPER(DATA!C16))</f>
        <v/>
      </c>
      <c r="C13" s="346">
        <f>UPPER(DATA!D16)</f>
        <v/>
      </c>
      <c r="D13" s="350">
        <f>UPPER(IF(DATA!BK16=TRUE(),"  ",IF(DATA!BK16=FALSE(),DATA!BM16)))</f>
        <v/>
      </c>
      <c r="E13" s="347">
        <f>DATA!I16*100</f>
        <v/>
      </c>
      <c r="F13" s="348">
        <f>IF(DATA!BG16=0,0,IF(DATA!BG16&gt;0,DATA!BG16*100))</f>
        <v/>
      </c>
      <c r="G13" s="348">
        <f>IF(DATA!BI16=0,0,IF(DATA!BI16&gt;0,DATA!BI16*100))</f>
        <v/>
      </c>
      <c r="H13" s="348" t="n">
        <v>0</v>
      </c>
      <c r="I13" s="348" t="n">
        <v>0</v>
      </c>
      <c r="J13" s="348" t="n">
        <v>0</v>
      </c>
      <c r="K13" s="348" t="n">
        <v>0</v>
      </c>
      <c r="L13" s="346">
        <f>UPPER(IF(DATA!BO16=TRUE(),"  ",IF(DATA!BO16=FALSE(),CONCATENATE(DATA!BS16,DATA!BR16))))</f>
        <v/>
      </c>
    </row>
    <row customHeight="1" ht="11.25" r="14" s="334" spans="1:12">
      <c r="A14" s="347">
        <f>IF(DATA!BN17=FALSE(),DATA!F17,IF(DATA!BN17=TRUE()," "))</f>
        <v/>
      </c>
      <c r="B14" s="346">
        <f>CONCATENATE(UPPER(DATA!B17)," ",UPPER(DATA!C17))</f>
        <v/>
      </c>
      <c r="C14" s="346">
        <f>UPPER(DATA!D17)</f>
        <v/>
      </c>
      <c r="D14" s="350">
        <f>UPPER(IF(DATA!BK17=TRUE(),"  ",IF(DATA!BK17=FALSE(),DATA!BM17)))</f>
        <v/>
      </c>
      <c r="E14" s="347">
        <f>DATA!I17*100</f>
        <v/>
      </c>
      <c r="F14" s="348">
        <f>IF(DATA!BG17=0,0,IF(DATA!BG17&gt;0,DATA!BG17*100))</f>
        <v/>
      </c>
      <c r="G14" s="348">
        <f>IF(DATA!BI17=0,0,IF(DATA!BI17&gt;0,DATA!BI17*100))</f>
        <v/>
      </c>
      <c r="H14" s="348" t="n">
        <v>0</v>
      </c>
      <c r="I14" s="348" t="n">
        <v>0</v>
      </c>
      <c r="J14" s="348" t="n">
        <v>0</v>
      </c>
      <c r="K14" s="348" t="n">
        <v>0</v>
      </c>
      <c r="L14" s="346">
        <f>UPPER(IF(DATA!BO17=TRUE(),"  ",IF(DATA!BO17=FALSE(),CONCATENATE(DATA!BS17,DATA!BR17))))</f>
        <v/>
      </c>
    </row>
    <row customHeight="1" ht="11.25" r="15" s="334" spans="1:12">
      <c r="A15" s="347">
        <f>IF(DATA!BN18=FALSE(),DATA!F18,IF(DATA!BN18=TRUE()," "))</f>
        <v/>
      </c>
      <c r="B15" s="346">
        <f>CONCATENATE(UPPER(DATA!B18)," ",UPPER(DATA!C18))</f>
        <v/>
      </c>
      <c r="C15" s="346">
        <f>UPPER(DATA!D18)</f>
        <v/>
      </c>
      <c r="D15" s="350">
        <f>UPPER(IF(DATA!BK18=TRUE(),"  ",IF(DATA!BK18=FALSE(),DATA!BM18)))</f>
        <v/>
      </c>
      <c r="E15" s="347">
        <f>DATA!I18*100</f>
        <v/>
      </c>
      <c r="F15" s="348">
        <f>IF(DATA!BG18=0,0,IF(DATA!BG18&gt;0,DATA!BG18*100))</f>
        <v/>
      </c>
      <c r="G15" s="348">
        <f>IF(DATA!BI18=0,0,IF(DATA!BI18&gt;0,DATA!BI18*100))</f>
        <v/>
      </c>
      <c r="H15" s="348" t="n">
        <v>0</v>
      </c>
      <c r="I15" s="348" t="n">
        <v>0</v>
      </c>
      <c r="J15" s="348" t="n">
        <v>0</v>
      </c>
      <c r="K15" s="348" t="n">
        <v>0</v>
      </c>
      <c r="L15" s="346">
        <f>UPPER(IF(DATA!BO18=TRUE(),"  ",IF(DATA!BO18=FALSE(),CONCATENATE(DATA!BS18,DATA!BR18))))</f>
        <v/>
      </c>
    </row>
    <row customHeight="1" ht="11.25" r="16" s="334" spans="1:12">
      <c r="A16" s="347">
        <f>IF(DATA!BN19=FALSE(),DATA!F19,IF(DATA!BN19=TRUE()," "))</f>
        <v/>
      </c>
      <c r="B16" s="346">
        <f>CONCATENATE(UPPER(DATA!B19)," ",UPPER(DATA!C19))</f>
        <v/>
      </c>
      <c r="C16" s="346">
        <f>UPPER(DATA!D19)</f>
        <v/>
      </c>
      <c r="D16" s="350">
        <f>UPPER(IF(DATA!BK19=TRUE(),"  ",IF(DATA!BK19=FALSE(),DATA!BM19)))</f>
        <v/>
      </c>
      <c r="E16" s="347">
        <f>DATA!I19*100</f>
        <v/>
      </c>
      <c r="F16" s="348">
        <f>IF(DATA!BG19=0,0,IF(DATA!BG19&gt;0,DATA!BG19*100))</f>
        <v/>
      </c>
      <c r="G16" s="348">
        <f>IF(DATA!BI19=0,0,IF(DATA!BI19&gt;0,DATA!BI19*100))</f>
        <v/>
      </c>
      <c r="H16" s="348" t="n">
        <v>0</v>
      </c>
      <c r="I16" s="348" t="n">
        <v>0</v>
      </c>
      <c r="J16" s="348" t="n">
        <v>0</v>
      </c>
      <c r="K16" s="348" t="n">
        <v>0</v>
      </c>
      <c r="L16" s="346">
        <f>UPPER(IF(DATA!BO19=TRUE(),"  ",IF(DATA!BO19=FALSE(),CONCATENATE(DATA!BS19,DATA!BR19))))</f>
        <v/>
      </c>
    </row>
    <row customHeight="1" ht="11.25" r="17" s="334" spans="1:12">
      <c r="A17" s="347">
        <f>IF(DATA!BN20=FALSE(),DATA!F20,IF(DATA!BN20=TRUE()," "))</f>
        <v/>
      </c>
      <c r="B17" s="346">
        <f>CONCATENATE(UPPER(DATA!B20)," ",UPPER(DATA!C20))</f>
        <v/>
      </c>
      <c r="C17" s="346">
        <f>UPPER(DATA!D20)</f>
        <v/>
      </c>
      <c r="D17" s="350">
        <f>UPPER(IF(DATA!BK20=TRUE(),"  ",IF(DATA!BK20=FALSE(),DATA!BM20)))</f>
        <v/>
      </c>
      <c r="E17" s="347">
        <f>DATA!I20*100</f>
        <v/>
      </c>
      <c r="F17" s="348">
        <f>IF(DATA!BG20=0,0,IF(DATA!BG20&gt;0,DATA!BG20*100))</f>
        <v/>
      </c>
      <c r="G17" s="348">
        <f>IF(DATA!BI20=0,0,IF(DATA!BI20&gt;0,DATA!BI20*100))</f>
        <v/>
      </c>
      <c r="H17" s="348" t="n">
        <v>0</v>
      </c>
      <c r="I17" s="348" t="n">
        <v>0</v>
      </c>
      <c r="J17" s="348" t="n">
        <v>0</v>
      </c>
      <c r="K17" s="348" t="n">
        <v>0</v>
      </c>
      <c r="L17" s="346">
        <f>UPPER(IF(DATA!BO20=TRUE(),"  ",IF(DATA!BO20=FALSE(),CONCATENATE(DATA!BS20,DATA!BR20))))</f>
        <v/>
      </c>
    </row>
    <row customHeight="1" ht="11.25" r="18" s="334" spans="1:12">
      <c r="A18" s="346" t="s">
        <v>87</v>
      </c>
    </row>
    <row customHeight="1" ht="11.25" r="19" s="334" spans="1:12">
      <c r="A19" s="351">
        <f>DATA!BG2*100</f>
        <v/>
      </c>
      <c r="B19" s="347">
        <f>DATA!BG1</f>
        <v/>
      </c>
      <c r="C19" s="352">
        <f>DATA!BG3</f>
        <v/>
      </c>
      <c r="D19" s="346">
        <f>COUNT(DATA!BJ9:BJ25548)</f>
        <v/>
      </c>
    </row>
    <row customHeight="1" ht="11.25" r="20" s="334" spans="1:12">
      <c r="A20" s="353">
        <f>DATA!BG5</f>
        <v/>
      </c>
    </row>
    <row customHeight="1" ht="11.25" r="21" s="334" spans="1:12">
      <c r="A21" s="346">
        <f>UPPER(CONCATENATE(DATA!B5,"                  ",DATA!B6))</f>
        <v/>
      </c>
    </row>
  </sheetData>
  <sheetProtection autoFilter="1" deleteColumns="1" deleteRows="1" formatCells="1" formatColumns="1" formatRows="1" insertColumns="1" insertHyperlinks="1" insertRows="1" objects="0" password="b816" pivotTables="1" scenarios="0" selectLockedCells="1" selectUnlockedCells="1" sheet="1" sort="1"/>
  <mergeCells count="9">
    <mergeCell ref="A1:L1"/>
    <mergeCell ref="A2:L2"/>
    <mergeCell ref="A3:L3"/>
    <mergeCell ref="B4:L4"/>
    <mergeCell ref="A5:L5"/>
    <mergeCell ref="A18:L18"/>
    <mergeCell ref="D19:L19"/>
    <mergeCell ref="A20:L20"/>
    <mergeCell ref="A21:L21"/>
  </mergeCells>
  <printOptions gridLines="0" gridLinesSet="1" headings="0" horizontalCentered="0" verticalCentered="0"/>
  <pageMargins bottom="1" footer="0.511805555555555" header="0.511805555555555" left="1.25" right="1.25" top="1"/>
  <pageSetup blackAndWhite="0" copies="1" draft="0" firstPageNumber="0" fitToHeight="1" fitToWidth="1" horizontalDpi="300" orientation="landscape" pageOrder="downThenOver" paperSize="5" scale="100" useFirstPageNumber="0" verticalDpi="300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G30"/>
  <sheetViews>
    <sheetView colorId="64" defaultGridColor="1" rightToLeft="0" showFormulas="0" showGridLines="0" showOutlineSymbols="1" showRowColHeaders="1" showZeros="1" tabSelected="0" topLeftCell="A1" view="normal" workbookViewId="0" zoomScale="100" zoomScaleNormal="100" zoomScalePageLayoutView="100">
      <selection activeCell="Q11" activeCellId="0" pane="topLeft" sqref="Q11"/>
    </sheetView>
  </sheetViews>
  <sheetFormatPr baseColWidth="8" defaultRowHeight="12.75" outlineLevelCol="0" outlineLevelRow="0" zeroHeight="0"/>
  <cols>
    <col customWidth="1" max="1" min="1" style="256" width="3.98"/>
    <col customWidth="1" max="2" min="2" style="256" width="0.28"/>
    <col customWidth="1" max="4" min="3" style="256" width="1.7"/>
    <col customWidth="1" max="5" min="5" style="256" width="0.28"/>
    <col customWidth="1" max="14" min="6" style="256" width="1.7"/>
    <col customWidth="1" max="15" min="15" style="256" width="0.28"/>
    <col customWidth="1" max="16" min="16" style="256" width="1.7"/>
    <col customWidth="1" max="17" min="17" style="256" width="24.68"/>
    <col customWidth="1" max="18" min="18" style="256" width="5.84"/>
    <col customWidth="1" max="19" min="19" style="256" width="24.68"/>
    <col customWidth="1" max="20" min="20" style="256" width="24.82"/>
    <col customWidth="1" max="21" min="21" style="256" width="0.28"/>
    <col customWidth="1" max="22" min="22" style="256" width="3.98"/>
    <col customWidth="1" max="23" min="23" style="256" width="7.84"/>
    <col customWidth="1" max="24" min="24" style="256" width="6.84"/>
    <col customWidth="1" max="25" min="25" style="256" width="0.28"/>
    <col customWidth="1" max="26" min="26" style="256" width="5.7"/>
    <col customWidth="1" max="27" min="27" style="256" width="0.28"/>
    <col customWidth="1" max="28" min="28" style="256" width="3.98"/>
    <col customWidth="1" max="29" min="29" style="256" width="7.41"/>
    <col customWidth="1" max="30" min="30" style="256" width="10.69"/>
    <col customWidth="1" max="31" min="31" style="256" width="0.28"/>
    <col customWidth="1" max="32" min="32" style="256" width="4.41"/>
    <col customWidth="1" max="33" min="33" style="256" width="13.4"/>
    <col customWidth="1" max="1025" min="34" style="256" width="8.84"/>
  </cols>
  <sheetData>
    <row customHeight="1" ht="57.75" r="1" s="334" spans="1:33">
      <c r="A1" s="354" t="s">
        <v>88</v>
      </c>
      <c r="E1" s="355" t="s">
        <v>89</v>
      </c>
      <c r="U1" s="356" t="s">
        <v>90</v>
      </c>
    </row>
    <row customHeight="1" ht="25.5" r="2" s="334" spans="1:33">
      <c r="A2" s="357" t="s">
        <v>91</v>
      </c>
      <c r="Q2" s="358">
        <f>DATA!B3</f>
        <v/>
      </c>
      <c r="U2" s="359" t="n"/>
    </row>
    <row customHeight="1" ht="25.5" r="3" s="334" spans="1:33">
      <c r="A3" s="360" t="s">
        <v>92</v>
      </c>
      <c r="Q3" s="361">
        <f>DATA!G2</f>
        <v/>
      </c>
    </row>
    <row customHeight="1" ht="15" r="4" s="334" spans="1:33">
      <c r="A4" s="362" t="s">
        <v>93</v>
      </c>
      <c r="Q4" s="363">
        <f>UPPER(DATA!B1)</f>
        <v/>
      </c>
      <c r="U4" s="364" t="n"/>
      <c r="V4" s="365" t="n"/>
      <c r="W4" s="366" t="s">
        <v>24</v>
      </c>
      <c r="Y4" s="367" t="n"/>
      <c r="Z4" s="368" t="n"/>
      <c r="AA4" s="369" t="s">
        <v>94</v>
      </c>
      <c r="AF4" s="368" t="n"/>
      <c r="AG4" s="370" t="s">
        <v>95</v>
      </c>
    </row>
    <row customHeight="1" ht="15" r="5" s="334" spans="1:33">
      <c r="U5" s="371" t="n"/>
      <c r="Y5" s="372" t="n"/>
    </row>
    <row customHeight="1" ht="14.25" r="6" s="334" spans="1:33">
      <c r="A6" s="373" t="s">
        <v>96</v>
      </c>
      <c r="Q6" s="374">
        <f>UPPER(DATA!B2)</f>
        <v/>
      </c>
      <c r="U6" s="371" t="n"/>
      <c r="V6" s="375" t="n"/>
      <c r="Y6" s="372" t="n"/>
      <c r="Z6" s="376" t="n"/>
      <c r="AE6" s="372" t="n"/>
      <c r="AF6" s="377">
        <f>CONCATENATE(DATA!BG4," ",DATA!E4)</f>
        <v/>
      </c>
    </row>
    <row customHeight="1" ht="12" r="7" s="334" spans="1:33">
      <c r="U7" s="371" t="n"/>
      <c r="Y7" s="372" t="n"/>
      <c r="AE7" s="372" t="n"/>
    </row>
    <row customHeight="1" ht="15" r="8" s="334" spans="1:33">
      <c r="A8" s="378" t="s">
        <v>97</v>
      </c>
      <c r="L8" s="379">
        <f>DATA!B4</f>
        <v/>
      </c>
      <c r="S8" s="380" t="s">
        <v>98</v>
      </c>
      <c r="T8" s="381">
        <f>DATA!B7</f>
        <v/>
      </c>
      <c r="U8" s="382" t="n"/>
      <c r="Y8" s="383" t="n"/>
      <c r="AE8" s="383" t="n"/>
    </row>
    <row customHeight="1" ht="24" r="9" s="334" spans="1:33">
      <c r="A9" s="384" t="s">
        <v>99</v>
      </c>
      <c r="B9" s="385" t="s">
        <v>99</v>
      </c>
      <c r="Q9" s="386" t="s">
        <v>100</v>
      </c>
      <c r="U9" s="387" t="n"/>
      <c r="V9" s="388" t="n"/>
      <c r="W9" s="389" t="s">
        <v>101</v>
      </c>
      <c r="Y9" s="387" t="n"/>
      <c r="Z9" s="390" t="n"/>
      <c r="AA9" s="387" t="n"/>
      <c r="AB9" s="388" t="n"/>
      <c r="AC9" s="391" t="s">
        <v>102</v>
      </c>
      <c r="AE9" s="387" t="n"/>
      <c r="AF9" s="392" t="n"/>
      <c r="AG9" s="393" t="s">
        <v>103</v>
      </c>
    </row>
    <row customHeight="1" ht="26.25" r="10" s="334" spans="1:33">
      <c r="A10" s="394" t="n"/>
      <c r="Q10" s="395" t="s">
        <v>61</v>
      </c>
      <c r="R10" s="396" t="s">
        <v>104</v>
      </c>
      <c r="S10" s="397" t="s">
        <v>63</v>
      </c>
      <c r="T10" s="398" t="s">
        <v>64</v>
      </c>
      <c r="U10" s="399" t="s">
        <v>105</v>
      </c>
      <c r="V10" s="400" t="s">
        <v>105</v>
      </c>
      <c r="X10" s="401" t="s">
        <v>106</v>
      </c>
      <c r="Y10" s="402" t="n"/>
      <c r="Z10" s="403" t="s">
        <v>107</v>
      </c>
      <c r="AA10" s="402" t="n"/>
      <c r="AB10" s="395" t="s">
        <v>56</v>
      </c>
      <c r="AD10" s="398" t="s">
        <v>108</v>
      </c>
      <c r="AE10" s="402" t="n"/>
      <c r="AF10" s="404" t="s">
        <v>109</v>
      </c>
    </row>
    <row customHeight="1" ht="12.75" r="11" s="334" spans="1:33">
      <c r="A11" s="405">
        <f>DATA!A9</f>
        <v/>
      </c>
      <c r="B11" s="406" t="n"/>
      <c r="C11" s="406">
        <f>LEFT(DATA!F9,1)</f>
        <v/>
      </c>
      <c r="D11" s="406">
        <f>MID(DATA!F9,2,1)</f>
        <v/>
      </c>
      <c r="E11" s="406" t="n"/>
      <c r="F11" s="406">
        <f>MID(DATA!F9,3,1)</f>
        <v/>
      </c>
      <c r="G11" s="406">
        <f>MID(DATA!F9,4,1)</f>
        <v/>
      </c>
      <c r="H11" s="406">
        <f>MID(DATA!F9,5,1)</f>
        <v/>
      </c>
      <c r="I11" s="406">
        <f>MID(DATA!F9,6,1)</f>
        <v/>
      </c>
      <c r="J11" s="406">
        <f>MID(DATA!F9,7,1)</f>
        <v/>
      </c>
      <c r="K11" s="406">
        <f>MID(DATA!F9,8,1)</f>
        <v/>
      </c>
      <c r="L11" s="406">
        <f>MID(DATA!F9,9,1)</f>
        <v/>
      </c>
      <c r="M11" s="406">
        <f>MID(DATA!F9,10,1)</f>
        <v/>
      </c>
      <c r="N11" s="406">
        <f>MID(DATA!F9,11,1)</f>
        <v/>
      </c>
      <c r="O11" s="406" t="n"/>
      <c r="P11" s="406">
        <f>MID(DATA!F9,12,1)</f>
        <v/>
      </c>
      <c r="Q11" s="406">
        <f>UPPER(DATA!B9)</f>
        <v/>
      </c>
      <c r="R11" s="406">
        <f>UPPER(DATA!C9)</f>
        <v/>
      </c>
      <c r="S11" s="406">
        <f>UPPER(DATA!D9)</f>
        <v/>
      </c>
      <c r="T11" s="406">
        <f>UPPER(IF(DATA!BK9=TRUE(),"  ",IF(DATA!BK9=FALSE(),DATA!E9)))</f>
        <v/>
      </c>
      <c r="U11" s="406" t="n"/>
      <c r="V11" s="407">
        <f>IF(DATA!BQ9=TRUE()," ",IF(DATA!BQ9=FALSE(),DATA!G9))</f>
        <v/>
      </c>
      <c r="X11" s="408">
        <f>DATA!H9</f>
        <v/>
      </c>
      <c r="Y11" s="406" t="n"/>
      <c r="Z11" s="409">
        <f>DATA!J9</f>
        <v/>
      </c>
      <c r="AA11" s="410" t="n"/>
      <c r="AB11" s="411">
        <f>IF(Z11&gt;0,DATA!BG9,IF(Z11=0," "))</f>
        <v/>
      </c>
      <c r="AD11" s="412">
        <f>IF(Z11&gt;0,DATA!BH9,IF(Z11=0," "))</f>
        <v/>
      </c>
      <c r="AE11" s="410" t="n"/>
      <c r="AF11" s="413">
        <f>UPPER(IF(DATA!BO9=TRUE()," ",IF(DATA!BO9=FALSE(),DATA!BS9)))</f>
        <v/>
      </c>
      <c r="AG11" s="414">
        <f>IF(DATA!BP9=TRUE()," ",IF(DATA!BP9=FALSE(),DATA!BT9))</f>
        <v/>
      </c>
    </row>
    <row customHeight="1" ht="12.75" r="12" s="334" spans="1:33">
      <c r="A12" s="415">
        <f>DATA!A10</f>
        <v/>
      </c>
      <c r="B12" s="416" t="n"/>
      <c r="C12" s="416">
        <f>LEFT(DATA!F10,1)</f>
        <v/>
      </c>
      <c r="D12" s="416">
        <f>MID(DATA!F10,2,1)</f>
        <v/>
      </c>
      <c r="E12" s="416" t="n"/>
      <c r="F12" s="416">
        <f>MID(DATA!F10,3,1)</f>
        <v/>
      </c>
      <c r="G12" s="416">
        <f>MID(DATA!F10,4,1)</f>
        <v/>
      </c>
      <c r="H12" s="416">
        <f>MID(DATA!F10,5,1)</f>
        <v/>
      </c>
      <c r="I12" s="416">
        <f>MID(DATA!F10,6,1)</f>
        <v/>
      </c>
      <c r="J12" s="416">
        <f>MID(DATA!F10,7,1)</f>
        <v/>
      </c>
      <c r="K12" s="416">
        <f>MID(DATA!F10,8,1)</f>
        <v/>
      </c>
      <c r="L12" s="416">
        <f>MID(DATA!F10,9,1)</f>
        <v/>
      </c>
      <c r="M12" s="416">
        <f>MID(DATA!F10,10,1)</f>
        <v/>
      </c>
      <c r="N12" s="416">
        <f>MID(DATA!F10,11,1)</f>
        <v/>
      </c>
      <c r="O12" s="416" t="n"/>
      <c r="P12" s="416">
        <f>MID(DATA!F10,12,1)</f>
        <v/>
      </c>
      <c r="Q12" s="416">
        <f>UPPER(DATA!B10)</f>
        <v/>
      </c>
      <c r="R12" s="416">
        <f>UPPER(DATA!C10)</f>
        <v/>
      </c>
      <c r="S12" s="416">
        <f>UPPER(DATA!D10)</f>
        <v/>
      </c>
      <c r="T12" s="416">
        <f>UPPER(IF(DATA!BK10=TRUE(),"  ",IF(DATA!BK10=FALSE(),DATA!E10)))</f>
        <v/>
      </c>
      <c r="U12" s="416" t="n"/>
      <c r="V12" s="417">
        <f>IF(DATA!BQ10=TRUE()," ",IF(DATA!BQ10=FALSE(),DATA!G10))</f>
        <v/>
      </c>
      <c r="X12" s="418">
        <f>DATA!H10</f>
        <v/>
      </c>
      <c r="Y12" s="416" t="n"/>
      <c r="Z12" s="419">
        <f>DATA!J10</f>
        <v/>
      </c>
      <c r="AA12" s="416" t="n"/>
      <c r="AB12" s="286">
        <f>IF(Z12&gt;0,DATA!BG10,IF(Z12=0," "))</f>
        <v/>
      </c>
      <c r="AD12" s="420">
        <f>IF(Z12&gt;0,DATA!BH10,IF(Z12=0," "))</f>
        <v/>
      </c>
      <c r="AE12" s="416" t="n"/>
      <c r="AF12" s="421">
        <f>UPPER(IF(DATA!BO10=TRUE()," ",IF(DATA!BO10=FALSE(),DATA!BS10)))</f>
        <v/>
      </c>
      <c r="AG12" s="422">
        <f>IF(DATA!BP10=TRUE()," ",IF(DATA!BP10=FALSE(),DATA!BT10))</f>
        <v/>
      </c>
    </row>
    <row customHeight="1" ht="12.75" r="13" s="334" spans="1:33">
      <c r="A13" s="415">
        <f>DATA!A11</f>
        <v/>
      </c>
      <c r="B13" s="416" t="n"/>
      <c r="C13" s="416">
        <f>LEFT(DATA!F11,1)</f>
        <v/>
      </c>
      <c r="D13" s="416">
        <f>MID(DATA!F11,2,1)</f>
        <v/>
      </c>
      <c r="E13" s="416" t="n"/>
      <c r="F13" s="416">
        <f>MID(DATA!F11,3,1)</f>
        <v/>
      </c>
      <c r="G13" s="416">
        <f>MID(DATA!F11,4,1)</f>
        <v/>
      </c>
      <c r="H13" s="416">
        <f>MID(DATA!F11,5,1)</f>
        <v/>
      </c>
      <c r="I13" s="416">
        <f>MID(DATA!F11,6,1)</f>
        <v/>
      </c>
      <c r="J13" s="416">
        <f>MID(DATA!F11,7,1)</f>
        <v/>
      </c>
      <c r="K13" s="416">
        <f>MID(DATA!F11,8,1)</f>
        <v/>
      </c>
      <c r="L13" s="416">
        <f>MID(DATA!F11,9,1)</f>
        <v/>
      </c>
      <c r="M13" s="416">
        <f>MID(DATA!F11,10,1)</f>
        <v/>
      </c>
      <c r="N13" s="416">
        <f>MID(DATA!F11,11,1)</f>
        <v/>
      </c>
      <c r="O13" s="416" t="n"/>
      <c r="P13" s="416">
        <f>MID(DATA!F11,12,1)</f>
        <v/>
      </c>
      <c r="Q13" s="416">
        <f>UPPER(DATA!B11)</f>
        <v/>
      </c>
      <c r="R13" s="416">
        <f>UPPER(DATA!C11)</f>
        <v/>
      </c>
      <c r="S13" s="416">
        <f>UPPER(DATA!D11)</f>
        <v/>
      </c>
      <c r="T13" s="416">
        <f>UPPER(IF(DATA!BK11=TRUE(),"  ",IF(DATA!BK11=FALSE(),DATA!E11)))</f>
        <v/>
      </c>
      <c r="U13" s="416" t="n"/>
      <c r="V13" s="417">
        <f>IF(DATA!BQ11=TRUE()," ",IF(DATA!BQ11=FALSE(),DATA!G11))</f>
        <v/>
      </c>
      <c r="X13" s="418">
        <f>DATA!H11</f>
        <v/>
      </c>
      <c r="Y13" s="416" t="n"/>
      <c r="Z13" s="419">
        <f>DATA!J11</f>
        <v/>
      </c>
      <c r="AA13" s="416" t="n"/>
      <c r="AB13" s="286">
        <f>IF(Z13&gt;0,DATA!BG11,IF(Z13=0," "))</f>
        <v/>
      </c>
      <c r="AD13" s="420">
        <f>IF(Z13&gt;0,DATA!BH11,IF(Z13=0," "))</f>
        <v/>
      </c>
      <c r="AE13" s="416" t="n"/>
      <c r="AF13" s="421">
        <f>UPPER(IF(DATA!BO11=TRUE()," ",IF(DATA!BO11=FALSE(),DATA!BS11)))</f>
        <v/>
      </c>
      <c r="AG13" s="422">
        <f>IF(DATA!BP11=TRUE()," ",IF(DATA!BP11=FALSE(),DATA!BT11))</f>
        <v/>
      </c>
    </row>
    <row customHeight="1" ht="12.75" r="14" s="334" spans="1:33">
      <c r="A14" s="415">
        <f>DATA!A12</f>
        <v/>
      </c>
      <c r="B14" s="416" t="n"/>
      <c r="C14" s="416">
        <f>LEFT(DATA!F12,1)</f>
        <v/>
      </c>
      <c r="D14" s="416">
        <f>MID(DATA!F12,2,1)</f>
        <v/>
      </c>
      <c r="E14" s="416" t="n"/>
      <c r="F14" s="416">
        <f>MID(DATA!F12,3,1)</f>
        <v/>
      </c>
      <c r="G14" s="416">
        <f>MID(DATA!F12,4,1)</f>
        <v/>
      </c>
      <c r="H14" s="416">
        <f>MID(DATA!F12,5,1)</f>
        <v/>
      </c>
      <c r="I14" s="416">
        <f>MID(DATA!F12,6,1)</f>
        <v/>
      </c>
      <c r="J14" s="416">
        <f>MID(DATA!F12,7,1)</f>
        <v/>
      </c>
      <c r="K14" s="416">
        <f>MID(DATA!F12,8,1)</f>
        <v/>
      </c>
      <c r="L14" s="416">
        <f>MID(DATA!F12,9,1)</f>
        <v/>
      </c>
      <c r="M14" s="416">
        <f>MID(DATA!F12,10,1)</f>
        <v/>
      </c>
      <c r="N14" s="416">
        <f>MID(DATA!F12,11,1)</f>
        <v/>
      </c>
      <c r="O14" s="416" t="n"/>
      <c r="P14" s="416">
        <f>MID(DATA!F12,12,1)</f>
        <v/>
      </c>
      <c r="Q14" s="416">
        <f>UPPER(DATA!B12)</f>
        <v/>
      </c>
      <c r="R14" s="416">
        <f>UPPER(DATA!C12)</f>
        <v/>
      </c>
      <c r="S14" s="416">
        <f>UPPER(DATA!D12)</f>
        <v/>
      </c>
      <c r="T14" s="416">
        <f>UPPER(IF(DATA!BK12=TRUE(),"  ",IF(DATA!BK12=FALSE(),DATA!E12)))</f>
        <v/>
      </c>
      <c r="U14" s="416" t="n"/>
      <c r="V14" s="417">
        <f>IF(DATA!BQ12=TRUE()," ",IF(DATA!BQ12=FALSE(),DATA!G12))</f>
        <v/>
      </c>
      <c r="X14" s="418">
        <f>DATA!H12</f>
        <v/>
      </c>
      <c r="Y14" s="416" t="n"/>
      <c r="Z14" s="419">
        <f>DATA!J12</f>
        <v/>
      </c>
      <c r="AA14" s="416" t="n"/>
      <c r="AB14" s="286">
        <f>IF(Z14&gt;0,DATA!BG12,IF(Z14=0," "))</f>
        <v/>
      </c>
      <c r="AD14" s="420">
        <f>IF(Z14&gt;0,DATA!BH12,IF(Z14=0," "))</f>
        <v/>
      </c>
      <c r="AE14" s="416" t="n"/>
      <c r="AF14" s="421">
        <f>UPPER(IF(DATA!BO12=TRUE()," ",IF(DATA!BO12=FALSE(),DATA!BS12)))</f>
        <v/>
      </c>
      <c r="AG14" s="422">
        <f>IF(DATA!BP12=TRUE()," ",IF(DATA!BP12=FALSE(),DATA!BT12))</f>
        <v/>
      </c>
    </row>
    <row customHeight="1" ht="12.75" r="15" s="334" spans="1:33">
      <c r="A15" s="415">
        <f>DATA!A13</f>
        <v/>
      </c>
      <c r="B15" s="416" t="n"/>
      <c r="C15" s="416">
        <f>LEFT(DATA!F13,1)</f>
        <v/>
      </c>
      <c r="D15" s="416">
        <f>MID(DATA!F13,2,1)</f>
        <v/>
      </c>
      <c r="E15" s="416" t="n"/>
      <c r="F15" s="416">
        <f>MID(DATA!F13,3,1)</f>
        <v/>
      </c>
      <c r="G15" s="416">
        <f>MID(DATA!F13,4,1)</f>
        <v/>
      </c>
      <c r="H15" s="416">
        <f>MID(DATA!F13,5,1)</f>
        <v/>
      </c>
      <c r="I15" s="416">
        <f>MID(DATA!F13,6,1)</f>
        <v/>
      </c>
      <c r="J15" s="416">
        <f>MID(DATA!F13,7,1)</f>
        <v/>
      </c>
      <c r="K15" s="416">
        <f>MID(DATA!F13,8,1)</f>
        <v/>
      </c>
      <c r="L15" s="416">
        <f>MID(DATA!F13,9,1)</f>
        <v/>
      </c>
      <c r="M15" s="416">
        <f>MID(DATA!F13,10,1)</f>
        <v/>
      </c>
      <c r="N15" s="416">
        <f>MID(DATA!F13,11,1)</f>
        <v/>
      </c>
      <c r="O15" s="416" t="n"/>
      <c r="P15" s="416">
        <f>MID(DATA!F13,12,1)</f>
        <v/>
      </c>
      <c r="Q15" s="416">
        <f>UPPER(DATA!B13)</f>
        <v/>
      </c>
      <c r="R15" s="416">
        <f>UPPER(DATA!C13)</f>
        <v/>
      </c>
      <c r="S15" s="416">
        <f>UPPER(DATA!D13)</f>
        <v/>
      </c>
      <c r="T15" s="416">
        <f>UPPER(IF(DATA!BK13=TRUE(),"  ",IF(DATA!BK13=FALSE(),DATA!E13)))</f>
        <v/>
      </c>
      <c r="U15" s="416" t="n"/>
      <c r="V15" s="417">
        <f>IF(DATA!BQ13=TRUE()," ",IF(DATA!BQ13=FALSE(),DATA!G13))</f>
        <v/>
      </c>
      <c r="X15" s="418">
        <f>DATA!H13</f>
        <v/>
      </c>
      <c r="Y15" s="416" t="n"/>
      <c r="Z15" s="419">
        <f>DATA!J13</f>
        <v/>
      </c>
      <c r="AA15" s="416" t="n"/>
      <c r="AB15" s="286">
        <f>IF(Z15&gt;0,DATA!BG13,IF(Z15=0," "))</f>
        <v/>
      </c>
      <c r="AD15" s="420">
        <f>IF(Z15&gt;0,DATA!BH13,IF(Z15=0," "))</f>
        <v/>
      </c>
      <c r="AE15" s="416" t="n"/>
      <c r="AF15" s="421">
        <f>UPPER(IF(DATA!BO13=TRUE()," ",IF(DATA!BO13=FALSE(),DATA!BS13)))</f>
        <v/>
      </c>
      <c r="AG15" s="422">
        <f>IF(DATA!BP13=TRUE()," ",IF(DATA!BP13=FALSE(),DATA!BT13))</f>
        <v/>
      </c>
    </row>
    <row customHeight="1" ht="12.75" r="16" s="334" spans="1:33">
      <c r="A16" s="415">
        <f>DATA!A14</f>
        <v/>
      </c>
      <c r="B16" s="416" t="n"/>
      <c r="C16" s="416">
        <f>LEFT(DATA!F14,1)</f>
        <v/>
      </c>
      <c r="D16" s="416">
        <f>MID(DATA!F14,2,1)</f>
        <v/>
      </c>
      <c r="E16" s="416" t="n"/>
      <c r="F16" s="416">
        <f>MID(DATA!F14,3,1)</f>
        <v/>
      </c>
      <c r="G16" s="416">
        <f>MID(DATA!F14,4,1)</f>
        <v/>
      </c>
      <c r="H16" s="416">
        <f>MID(DATA!F14,5,1)</f>
        <v/>
      </c>
      <c r="I16" s="416">
        <f>MID(DATA!F14,6,1)</f>
        <v/>
      </c>
      <c r="J16" s="416">
        <f>MID(DATA!F14,7,1)</f>
        <v/>
      </c>
      <c r="K16" s="416">
        <f>MID(DATA!F14,8,1)</f>
        <v/>
      </c>
      <c r="L16" s="416">
        <f>MID(DATA!F14,9,1)</f>
        <v/>
      </c>
      <c r="M16" s="416">
        <f>MID(DATA!F14,10,1)</f>
        <v/>
      </c>
      <c r="N16" s="416">
        <f>MID(DATA!F14,11,1)</f>
        <v/>
      </c>
      <c r="O16" s="416" t="n"/>
      <c r="P16" s="416">
        <f>MID(DATA!F14,12,1)</f>
        <v/>
      </c>
      <c r="Q16" s="416">
        <f>UPPER(DATA!B14)</f>
        <v/>
      </c>
      <c r="R16" s="416">
        <f>UPPER(DATA!C14)</f>
        <v/>
      </c>
      <c r="S16" s="416">
        <f>UPPER(DATA!D14)</f>
        <v/>
      </c>
      <c r="T16" s="416">
        <f>UPPER(IF(DATA!BK14=TRUE(),"  ",IF(DATA!BK14=FALSE(),DATA!E14)))</f>
        <v/>
      </c>
      <c r="U16" s="416" t="n"/>
      <c r="V16" s="417">
        <f>IF(DATA!BQ14=TRUE()," ",IF(DATA!BQ14=FALSE(),DATA!G14))</f>
        <v/>
      </c>
      <c r="X16" s="418">
        <f>DATA!H14</f>
        <v/>
      </c>
      <c r="Y16" s="416" t="n"/>
      <c r="Z16" s="419">
        <f>DATA!J14</f>
        <v/>
      </c>
      <c r="AA16" s="416" t="n"/>
      <c r="AB16" s="286">
        <f>IF(Z16&gt;0,DATA!BG14,IF(Z16=0," "))</f>
        <v/>
      </c>
      <c r="AD16" s="420">
        <f>IF(Z16&gt;0,DATA!BH14,IF(Z16=0," "))</f>
        <v/>
      </c>
      <c r="AE16" s="416" t="n"/>
      <c r="AF16" s="421">
        <f>UPPER(IF(DATA!BO14=TRUE()," ",IF(DATA!BO14=FALSE(),DATA!BS14)))</f>
        <v/>
      </c>
      <c r="AG16" s="422">
        <f>IF(DATA!BP14=TRUE()," ",IF(DATA!BP14=FALSE(),DATA!BT14))</f>
        <v/>
      </c>
    </row>
    <row customHeight="1" ht="12.75" r="17" s="334" spans="1:33">
      <c r="A17" s="415">
        <f>DATA!A15</f>
        <v/>
      </c>
      <c r="B17" s="416" t="n"/>
      <c r="C17" s="416">
        <f>LEFT(DATA!F15,1)</f>
        <v/>
      </c>
      <c r="D17" s="416">
        <f>MID(DATA!F15,2,1)</f>
        <v/>
      </c>
      <c r="E17" s="416" t="n"/>
      <c r="F17" s="416">
        <f>MID(DATA!F15,3,1)</f>
        <v/>
      </c>
      <c r="G17" s="416">
        <f>MID(DATA!F15,4,1)</f>
        <v/>
      </c>
      <c r="H17" s="416">
        <f>MID(DATA!F15,5,1)</f>
        <v/>
      </c>
      <c r="I17" s="416">
        <f>MID(DATA!F15,6,1)</f>
        <v/>
      </c>
      <c r="J17" s="416">
        <f>MID(DATA!F15,7,1)</f>
        <v/>
      </c>
      <c r="K17" s="416">
        <f>MID(DATA!F15,8,1)</f>
        <v/>
      </c>
      <c r="L17" s="416">
        <f>MID(DATA!F15,9,1)</f>
        <v/>
      </c>
      <c r="M17" s="416">
        <f>MID(DATA!F15,10,1)</f>
        <v/>
      </c>
      <c r="N17" s="416">
        <f>MID(DATA!F15,11,1)</f>
        <v/>
      </c>
      <c r="O17" s="416" t="n"/>
      <c r="P17" s="416">
        <f>MID(DATA!F15,12,1)</f>
        <v/>
      </c>
      <c r="Q17" s="416">
        <f>UPPER(DATA!B15)</f>
        <v/>
      </c>
      <c r="R17" s="416">
        <f>UPPER(DATA!C15)</f>
        <v/>
      </c>
      <c r="S17" s="416">
        <f>UPPER(DATA!D15)</f>
        <v/>
      </c>
      <c r="T17" s="416">
        <f>UPPER(IF(DATA!BK15=TRUE(),"  ",IF(DATA!BK15=FALSE(),DATA!E15)))</f>
        <v/>
      </c>
      <c r="U17" s="416" t="n"/>
      <c r="V17" s="417">
        <f>IF(DATA!BQ15=TRUE()," ",IF(DATA!BQ15=FALSE(),DATA!G15))</f>
        <v/>
      </c>
      <c r="X17" s="418">
        <f>DATA!H15</f>
        <v/>
      </c>
      <c r="Y17" s="416" t="n"/>
      <c r="Z17" s="419">
        <f>DATA!J15</f>
        <v/>
      </c>
      <c r="AA17" s="416" t="n"/>
      <c r="AB17" s="286">
        <f>IF(Z17&gt;0,DATA!BG15,IF(Z17=0," "))</f>
        <v/>
      </c>
      <c r="AD17" s="420">
        <f>IF(Z17&gt;0,DATA!BH15,IF(Z17=0," "))</f>
        <v/>
      </c>
      <c r="AE17" s="416" t="n"/>
      <c r="AF17" s="421">
        <f>UPPER(IF(DATA!BO15=TRUE()," ",IF(DATA!BO15=FALSE(),DATA!BS15)))</f>
        <v/>
      </c>
      <c r="AG17" s="422">
        <f>IF(DATA!BP15=TRUE()," ",IF(DATA!BP15=FALSE(),DATA!BT15))</f>
        <v/>
      </c>
    </row>
    <row customHeight="1" ht="12.75" r="18" s="334" spans="1:33">
      <c r="A18" s="415">
        <f>DATA!A16</f>
        <v/>
      </c>
      <c r="B18" s="416" t="n"/>
      <c r="C18" s="416">
        <f>LEFT(DATA!F16,1)</f>
        <v/>
      </c>
      <c r="D18" s="416">
        <f>MID(DATA!F16,2,1)</f>
        <v/>
      </c>
      <c r="E18" s="416" t="n"/>
      <c r="F18" s="416">
        <f>MID(DATA!F16,3,1)</f>
        <v/>
      </c>
      <c r="G18" s="416">
        <f>MID(DATA!F16,4,1)</f>
        <v/>
      </c>
      <c r="H18" s="416">
        <f>MID(DATA!F16,5,1)</f>
        <v/>
      </c>
      <c r="I18" s="416">
        <f>MID(DATA!F16,6,1)</f>
        <v/>
      </c>
      <c r="J18" s="416">
        <f>MID(DATA!F16,7,1)</f>
        <v/>
      </c>
      <c r="K18" s="416">
        <f>MID(DATA!F16,8,1)</f>
        <v/>
      </c>
      <c r="L18" s="416">
        <f>MID(DATA!F16,9,1)</f>
        <v/>
      </c>
      <c r="M18" s="416">
        <f>MID(DATA!F16,10,1)</f>
        <v/>
      </c>
      <c r="N18" s="416">
        <f>MID(DATA!F16,11,1)</f>
        <v/>
      </c>
      <c r="O18" s="416" t="n"/>
      <c r="P18" s="416">
        <f>MID(DATA!F16,12,1)</f>
        <v/>
      </c>
      <c r="Q18" s="416">
        <f>UPPER(DATA!B16)</f>
        <v/>
      </c>
      <c r="R18" s="416">
        <f>UPPER(DATA!C16)</f>
        <v/>
      </c>
      <c r="S18" s="416">
        <f>UPPER(DATA!D16)</f>
        <v/>
      </c>
      <c r="T18" s="416">
        <f>UPPER(IF(DATA!BK16=TRUE(),"  ",IF(DATA!BK16=FALSE(),DATA!E16)))</f>
        <v/>
      </c>
      <c r="U18" s="416" t="n"/>
      <c r="V18" s="417">
        <f>IF(DATA!BQ16=TRUE()," ",IF(DATA!BQ16=FALSE(),DATA!G16))</f>
        <v/>
      </c>
      <c r="X18" s="418">
        <f>DATA!H16</f>
        <v/>
      </c>
      <c r="Y18" s="416" t="n"/>
      <c r="Z18" s="419">
        <f>DATA!J16</f>
        <v/>
      </c>
      <c r="AA18" s="416" t="n"/>
      <c r="AB18" s="286">
        <f>IF(Z18&gt;0,DATA!BG16,IF(Z18=0," "))</f>
        <v/>
      </c>
      <c r="AD18" s="420">
        <f>IF(Z18&gt;0,DATA!BH16,IF(Z18=0," "))</f>
        <v/>
      </c>
      <c r="AE18" s="416" t="n"/>
      <c r="AF18" s="421">
        <f>UPPER(IF(DATA!BO16=TRUE()," ",IF(DATA!BO16=FALSE(),DATA!BS16)))</f>
        <v/>
      </c>
      <c r="AG18" s="422">
        <f>IF(DATA!BP16=TRUE()," ",IF(DATA!BP16=FALSE(),DATA!BT16))</f>
        <v/>
      </c>
    </row>
    <row customHeight="1" ht="12.75" r="19" s="334" spans="1:33">
      <c r="A19" s="415">
        <f>DATA!A17</f>
        <v/>
      </c>
      <c r="B19" s="416" t="n"/>
      <c r="C19" s="416">
        <f>LEFT(DATA!F17,1)</f>
        <v/>
      </c>
      <c r="D19" s="416">
        <f>MID(DATA!F17,2,1)</f>
        <v/>
      </c>
      <c r="E19" s="416" t="n"/>
      <c r="F19" s="416">
        <f>MID(DATA!F17,3,1)</f>
        <v/>
      </c>
      <c r="G19" s="416">
        <f>MID(DATA!F17,4,1)</f>
        <v/>
      </c>
      <c r="H19" s="416">
        <f>MID(DATA!F17,5,1)</f>
        <v/>
      </c>
      <c r="I19" s="416">
        <f>MID(DATA!F17,6,1)</f>
        <v/>
      </c>
      <c r="J19" s="416">
        <f>MID(DATA!F17,7,1)</f>
        <v/>
      </c>
      <c r="K19" s="416">
        <f>MID(DATA!F17,8,1)</f>
        <v/>
      </c>
      <c r="L19" s="416">
        <f>MID(DATA!F17,9,1)</f>
        <v/>
      </c>
      <c r="M19" s="416">
        <f>MID(DATA!F17,10,1)</f>
        <v/>
      </c>
      <c r="N19" s="416">
        <f>MID(DATA!F17,11,1)</f>
        <v/>
      </c>
      <c r="O19" s="416" t="n"/>
      <c r="P19" s="416">
        <f>MID(DATA!F17,12,1)</f>
        <v/>
      </c>
      <c r="Q19" s="416">
        <f>UPPER(DATA!B17)</f>
        <v/>
      </c>
      <c r="R19" s="416">
        <f>UPPER(DATA!C17)</f>
        <v/>
      </c>
      <c r="S19" s="416">
        <f>UPPER(DATA!D17)</f>
        <v/>
      </c>
      <c r="T19" s="416">
        <f>UPPER(IF(DATA!BK17=TRUE(),"  ",IF(DATA!BK17=FALSE(),DATA!E17)))</f>
        <v/>
      </c>
      <c r="U19" s="416" t="n"/>
      <c r="V19" s="417">
        <f>IF(DATA!BQ17=TRUE()," ",IF(DATA!BQ17=FALSE(),DATA!G17))</f>
        <v/>
      </c>
      <c r="X19" s="418">
        <f>DATA!H17</f>
        <v/>
      </c>
      <c r="Y19" s="416" t="n"/>
      <c r="Z19" s="419">
        <f>DATA!J17</f>
        <v/>
      </c>
      <c r="AA19" s="416" t="n"/>
      <c r="AB19" s="286">
        <f>IF(Z19&gt;0,DATA!BG17,IF(Z19=0," "))</f>
        <v/>
      </c>
      <c r="AD19" s="420">
        <f>IF(Z19&gt;0,DATA!BH17,IF(Z19=0," "))</f>
        <v/>
      </c>
      <c r="AE19" s="416" t="n"/>
      <c r="AF19" s="421">
        <f>UPPER(IF(DATA!BO17=TRUE()," ",IF(DATA!BO17=FALSE(),DATA!BS17)))</f>
        <v/>
      </c>
      <c r="AG19" s="422">
        <f>IF(DATA!BP17=TRUE()," ",IF(DATA!BP17=FALSE(),DATA!BT17))</f>
        <v/>
      </c>
    </row>
    <row customHeight="1" ht="12.75" r="20" s="334" spans="1:33">
      <c r="A20" s="415">
        <f>DATA!A18</f>
        <v/>
      </c>
      <c r="B20" s="416" t="n"/>
      <c r="C20" s="416">
        <f>LEFT(DATA!F18,1)</f>
        <v/>
      </c>
      <c r="D20" s="416">
        <f>MID(DATA!F18,2,1)</f>
        <v/>
      </c>
      <c r="E20" s="416" t="n"/>
      <c r="F20" s="416">
        <f>MID(DATA!F18,3,1)</f>
        <v/>
      </c>
      <c r="G20" s="416">
        <f>MID(DATA!F18,4,1)</f>
        <v/>
      </c>
      <c r="H20" s="416">
        <f>MID(DATA!F18,5,1)</f>
        <v/>
      </c>
      <c r="I20" s="416">
        <f>MID(DATA!F18,6,1)</f>
        <v/>
      </c>
      <c r="J20" s="416">
        <f>MID(DATA!F18,7,1)</f>
        <v/>
      </c>
      <c r="K20" s="416">
        <f>MID(DATA!F18,8,1)</f>
        <v/>
      </c>
      <c r="L20" s="416">
        <f>MID(DATA!F18,9,1)</f>
        <v/>
      </c>
      <c r="M20" s="416">
        <f>MID(DATA!F18,10,1)</f>
        <v/>
      </c>
      <c r="N20" s="416">
        <f>MID(DATA!F18,11,1)</f>
        <v/>
      </c>
      <c r="O20" s="416" t="n"/>
      <c r="P20" s="416">
        <f>MID(DATA!F18,12,1)</f>
        <v/>
      </c>
      <c r="Q20" s="416">
        <f>UPPER(DATA!B18)</f>
        <v/>
      </c>
      <c r="R20" s="416">
        <f>UPPER(DATA!C18)</f>
        <v/>
      </c>
      <c r="S20" s="416">
        <f>UPPER(DATA!D18)</f>
        <v/>
      </c>
      <c r="T20" s="416">
        <f>UPPER(IF(DATA!BK18=TRUE(),"  ",IF(DATA!BK18=FALSE(),DATA!E18)))</f>
        <v/>
      </c>
      <c r="U20" s="416" t="n"/>
      <c r="V20" s="417">
        <f>IF(DATA!BQ18=TRUE()," ",IF(DATA!BQ18=FALSE(),DATA!G18))</f>
        <v/>
      </c>
      <c r="X20" s="418">
        <f>DATA!H18</f>
        <v/>
      </c>
      <c r="Y20" s="416" t="n"/>
      <c r="Z20" s="419">
        <f>DATA!J18</f>
        <v/>
      </c>
      <c r="AA20" s="416" t="n"/>
      <c r="AB20" s="286">
        <f>IF(Z20&gt;0,DATA!BG18,IF(Z20=0," "))</f>
        <v/>
      </c>
      <c r="AD20" s="420">
        <f>IF(Z20&gt;0,DATA!BH18,IF(Z20=0," "))</f>
        <v/>
      </c>
      <c r="AE20" s="416" t="n"/>
      <c r="AF20" s="421">
        <f>UPPER(IF(DATA!BO18=TRUE()," ",IF(DATA!BO18=FALSE(),DATA!BS18)))</f>
        <v/>
      </c>
      <c r="AG20" s="422">
        <f>IF(DATA!BP18=TRUE()," ",IF(DATA!BP18=FALSE(),DATA!BT18))</f>
        <v/>
      </c>
    </row>
    <row customHeight="1" ht="12.75" r="21" s="334" spans="1:33">
      <c r="A21" s="415">
        <f>DATA!A19</f>
        <v/>
      </c>
      <c r="B21" s="416" t="n"/>
      <c r="C21" s="416">
        <f>LEFT(DATA!F19,1)</f>
        <v/>
      </c>
      <c r="D21" s="416">
        <f>MID(DATA!F19,2,1)</f>
        <v/>
      </c>
      <c r="E21" s="416" t="n"/>
      <c r="F21" s="416">
        <f>MID(DATA!F19,3,1)</f>
        <v/>
      </c>
      <c r="G21" s="416">
        <f>MID(DATA!F19,4,1)</f>
        <v/>
      </c>
      <c r="H21" s="416">
        <f>MID(DATA!F19,5,1)</f>
        <v/>
      </c>
      <c r="I21" s="416">
        <f>MID(DATA!F19,6,1)</f>
        <v/>
      </c>
      <c r="J21" s="416">
        <f>MID(DATA!F19,7,1)</f>
        <v/>
      </c>
      <c r="K21" s="416">
        <f>MID(DATA!F19,8,1)</f>
        <v/>
      </c>
      <c r="L21" s="416">
        <f>MID(DATA!F19,9,1)</f>
        <v/>
      </c>
      <c r="M21" s="416">
        <f>MID(DATA!F19,10,1)</f>
        <v/>
      </c>
      <c r="N21" s="416">
        <f>MID(DATA!F19,11,1)</f>
        <v/>
      </c>
      <c r="O21" s="416" t="n"/>
      <c r="P21" s="416">
        <f>MID(DATA!F19,12,1)</f>
        <v/>
      </c>
      <c r="Q21" s="416">
        <f>UPPER(DATA!B19)</f>
        <v/>
      </c>
      <c r="R21" s="416">
        <f>UPPER(DATA!C19)</f>
        <v/>
      </c>
      <c r="S21" s="416">
        <f>UPPER(DATA!D19)</f>
        <v/>
      </c>
      <c r="T21" s="416">
        <f>UPPER(IF(DATA!BK19=TRUE(),"  ",IF(DATA!BK19=FALSE(),DATA!E19)))</f>
        <v/>
      </c>
      <c r="U21" s="416" t="n"/>
      <c r="V21" s="417">
        <f>IF(DATA!BQ19=TRUE()," ",IF(DATA!BQ19=FALSE(),DATA!G19))</f>
        <v/>
      </c>
      <c r="X21" s="418">
        <f>DATA!H19</f>
        <v/>
      </c>
      <c r="Y21" s="416" t="n"/>
      <c r="Z21" s="419">
        <f>DATA!J19</f>
        <v/>
      </c>
      <c r="AA21" s="416" t="n"/>
      <c r="AB21" s="286">
        <f>IF(Z21&gt;0,DATA!BG19,IF(Z21=0," "))</f>
        <v/>
      </c>
      <c r="AD21" s="420">
        <f>IF(Z21&gt;0,DATA!BH19,IF(Z21=0," "))</f>
        <v/>
      </c>
      <c r="AE21" s="416" t="n"/>
      <c r="AF21" s="421">
        <f>UPPER(IF(DATA!BO19=TRUE()," ",IF(DATA!BO19=FALSE(),DATA!BS19)))</f>
        <v/>
      </c>
      <c r="AG21" s="422">
        <f>IF(DATA!BP19=TRUE()," ",IF(DATA!BP19=FALSE(),DATA!BT19))</f>
        <v/>
      </c>
    </row>
    <row customHeight="1" ht="12.75" r="22" s="334" spans="1:33">
      <c r="A22" s="415">
        <f>DATA!A20</f>
        <v/>
      </c>
      <c r="B22" s="416" t="n"/>
      <c r="C22" s="416">
        <f>LEFT(DATA!F20,1)</f>
        <v/>
      </c>
      <c r="D22" s="416">
        <f>MID(DATA!F20,2,1)</f>
        <v/>
      </c>
      <c r="E22" s="416" t="n"/>
      <c r="F22" s="416">
        <f>MID(DATA!F20,3,1)</f>
        <v/>
      </c>
      <c r="G22" s="416">
        <f>MID(DATA!F20,4,1)</f>
        <v/>
      </c>
      <c r="H22" s="416">
        <f>MID(DATA!F20,5,1)</f>
        <v/>
      </c>
      <c r="I22" s="416">
        <f>MID(DATA!F20,6,1)</f>
        <v/>
      </c>
      <c r="J22" s="416">
        <f>MID(DATA!F20,7,1)</f>
        <v/>
      </c>
      <c r="K22" s="416">
        <f>MID(DATA!F20,8,1)</f>
        <v/>
      </c>
      <c r="L22" s="416">
        <f>MID(DATA!F20,9,1)</f>
        <v/>
      </c>
      <c r="M22" s="416">
        <f>MID(DATA!F20,10,1)</f>
        <v/>
      </c>
      <c r="N22" s="416">
        <f>MID(DATA!F20,11,1)</f>
        <v/>
      </c>
      <c r="O22" s="416" t="n"/>
      <c r="P22" s="416">
        <f>MID(DATA!F20,12,1)</f>
        <v/>
      </c>
      <c r="Q22" s="416">
        <f>UPPER(DATA!B20)</f>
        <v/>
      </c>
      <c r="R22" s="416">
        <f>UPPER(DATA!C20)</f>
        <v/>
      </c>
      <c r="S22" s="416">
        <f>UPPER(DATA!D20)</f>
        <v/>
      </c>
      <c r="T22" s="416">
        <f>UPPER(IF(DATA!BK20=TRUE(),"  ",IF(DATA!BK20=FALSE(),DATA!E20)))</f>
        <v/>
      </c>
      <c r="U22" s="416" t="n"/>
      <c r="V22" s="417">
        <f>IF(DATA!BQ20=TRUE()," ",IF(DATA!BQ20=FALSE(),DATA!G20))</f>
        <v/>
      </c>
      <c r="X22" s="418">
        <f>DATA!H20</f>
        <v/>
      </c>
      <c r="Y22" s="416" t="n"/>
      <c r="Z22" s="419">
        <f>DATA!J20</f>
        <v/>
      </c>
      <c r="AA22" s="416" t="n"/>
      <c r="AB22" s="286">
        <f>IF(Z22&gt;0,DATA!BG20,IF(Z22=0," "))</f>
        <v/>
      </c>
      <c r="AD22" s="420">
        <f>IF(Z22&gt;0,DATA!BH20,IF(Z22=0," "))</f>
        <v/>
      </c>
      <c r="AE22" s="416" t="n"/>
      <c r="AF22" s="421">
        <f>UPPER(IF(DATA!BO20=TRUE()," ",IF(DATA!BO20=FALSE(),DATA!BS20)))</f>
        <v/>
      </c>
      <c r="AG22" s="422">
        <f>IF(DATA!BP20=TRUE()," ",IF(DATA!BP20=FALSE(),DATA!BT20))</f>
        <v/>
      </c>
    </row>
    <row customHeight="1" ht="3" r="23" s="334" spans="1:33">
      <c r="A23" s="421" t="n"/>
      <c r="B23" s="423" t="n"/>
      <c r="C23" s="421" t="n"/>
      <c r="D23" s="421" t="n"/>
      <c r="E23" s="421" t="n"/>
      <c r="F23" s="421" t="n"/>
      <c r="G23" s="421" t="n"/>
      <c r="H23" s="421" t="n"/>
      <c r="I23" s="421" t="n"/>
      <c r="J23" s="421" t="n"/>
      <c r="K23" s="421" t="n"/>
      <c r="L23" s="421" t="n"/>
      <c r="M23" s="421" t="n"/>
      <c r="N23" s="421" t="n"/>
      <c r="O23" s="421" t="n"/>
      <c r="P23" s="421" t="n"/>
      <c r="Q23" s="421" t="n"/>
      <c r="R23" s="421" t="n"/>
      <c r="S23" s="421" t="n"/>
      <c r="T23" s="421" t="n"/>
      <c r="U23" s="421" t="n"/>
      <c r="V23" s="421" t="n"/>
      <c r="X23" s="421" t="n"/>
      <c r="Y23" s="421" t="n"/>
      <c r="Z23" s="421" t="n"/>
      <c r="AA23" s="421" t="n"/>
      <c r="AB23" s="421" t="n"/>
      <c r="AD23" s="421" t="n"/>
      <c r="AE23" s="421" t="n"/>
      <c r="AF23" s="421" t="n"/>
      <c r="AG23" s="421" t="n"/>
    </row>
    <row customHeight="1" ht="30" r="24" s="334" spans="1:33">
      <c r="A24" s="424" t="n"/>
      <c r="H24" s="425" t="n"/>
      <c r="J24" s="324" t="s">
        <v>110</v>
      </c>
      <c r="U24" s="416" t="n"/>
      <c r="V24" s="426" t="s">
        <v>111</v>
      </c>
      <c r="AA24" s="416" t="n"/>
      <c r="AB24" s="427">
        <f>SUM(AB11:AC22)</f>
        <v/>
      </c>
      <c r="AD24" s="428">
        <f>SUM(AD11:AD22)</f>
        <v/>
      </c>
      <c r="AE24" s="416" t="n"/>
      <c r="AF24" s="416" t="n"/>
      <c r="AG24" s="429">
        <f>UPPER(DATA!G4)</f>
        <v/>
      </c>
    </row>
    <row customHeight="1" ht="31.5" r="25" s="334" spans="1:33">
      <c r="A25" s="430">
        <f>COUNT(DATA!BJ9:BJ25548)</f>
        <v/>
      </c>
      <c r="H25" s="431" t="s">
        <v>95</v>
      </c>
      <c r="Q25" s="323" t="s">
        <v>112</v>
      </c>
      <c r="S25" s="432" t="s">
        <v>113</v>
      </c>
      <c r="T25" s="323" t="s">
        <v>114</v>
      </c>
      <c r="U25" s="416" t="n"/>
      <c r="AA25" s="416" t="n"/>
      <c r="AE25" s="416" t="n"/>
      <c r="AF25" s="433">
        <f>UPPER(DATA!G5)</f>
        <v/>
      </c>
    </row>
    <row customHeight="1" ht="33.75" r="26" s="334" spans="1:33">
      <c r="A26" s="434" t="s">
        <v>115</v>
      </c>
      <c r="H26" s="323">
        <f>DATA!BG4</f>
        <v/>
      </c>
      <c r="Q26" s="428">
        <f>DATA!BG2</f>
        <v/>
      </c>
      <c r="S26" s="435">
        <f>DATA!BG1</f>
        <v/>
      </c>
      <c r="T26" s="436">
        <f>IF(DATA!BG3&gt;0,DATA!BG3,IF(DATA!BG3=0," "))</f>
        <v/>
      </c>
      <c r="U26" s="416" t="n"/>
      <c r="V26" s="437" t="s">
        <v>116</v>
      </c>
      <c r="AA26" s="416" t="n"/>
      <c r="AB26" s="428">
        <f>SUM(AB24:AD24)</f>
        <v/>
      </c>
      <c r="AE26" s="416" t="n"/>
      <c r="AF26" s="438">
        <f>DATA!E7</f>
        <v/>
      </c>
    </row>
    <row customHeight="1" ht="3" r="27" s="334" spans="1:33">
      <c r="A27" s="439" t="n"/>
      <c r="B27" s="439" t="n"/>
      <c r="C27" s="439" t="n"/>
      <c r="D27" s="439" t="n"/>
      <c r="E27" s="439" t="n"/>
      <c r="F27" s="439" t="n"/>
      <c r="G27" s="439" t="n"/>
      <c r="H27" s="439" t="n"/>
      <c r="I27" s="439" t="n"/>
      <c r="J27" s="439" t="n"/>
      <c r="K27" s="439" t="n"/>
      <c r="L27" s="439" t="n"/>
      <c r="M27" s="439" t="n"/>
      <c r="N27" s="439" t="n"/>
      <c r="O27" s="439" t="n"/>
      <c r="P27" s="439" t="n"/>
      <c r="Q27" s="439" t="n"/>
      <c r="R27" s="439" t="n"/>
      <c r="S27" s="439" t="n"/>
      <c r="T27" s="439" t="n"/>
      <c r="U27" s="439" t="n"/>
      <c r="V27" s="421" t="n"/>
      <c r="Y27" s="439" t="n"/>
      <c r="Z27" s="439" t="n"/>
      <c r="AA27" s="439" t="n"/>
      <c r="AB27" s="421" t="n"/>
      <c r="AD27" s="439" t="n"/>
      <c r="AE27" s="439" t="n"/>
      <c r="AF27" s="439" t="n"/>
      <c r="AG27" s="439" t="n"/>
    </row>
    <row customHeight="1" ht="12.75" r="28" s="334" spans="1:33">
      <c r="A28" s="440" t="s">
        <v>117</v>
      </c>
    </row>
    <row customHeight="1" ht="28.5" r="29" s="334" spans="1:33">
      <c r="A29" s="441" t="n"/>
      <c r="Q29" s="442">
        <f>UPPER(DATA!B5)</f>
        <v/>
      </c>
      <c r="S29" s="443" t="n"/>
      <c r="T29" s="442">
        <f>UPPER(DATA!B6)</f>
        <v/>
      </c>
      <c r="W29" s="443" t="n"/>
      <c r="X29" s="442" t="n"/>
      <c r="AC29" s="444" t="n"/>
    </row>
    <row customHeight="1" ht="12.75" r="30" s="334" spans="1:33">
      <c r="Q30" s="445" t="s">
        <v>118</v>
      </c>
      <c r="T30" s="445" t="s">
        <v>119</v>
      </c>
      <c r="X30" s="445" t="s">
        <v>120</v>
      </c>
    </row>
  </sheetData>
  <sheetProtection autoFilter="1" deleteColumns="1" deleteRows="1" formatCells="1" formatColumns="1" formatRows="1" insertColumns="1" insertHyperlinks="1" insertRows="1" objects="0" password="b816" pivotTables="1" scenarios="0" selectLockedCells="1" selectUnlockedCells="1" sheet="1" sort="1"/>
  <mergeCells count="85">
    <mergeCell ref="A1:D1"/>
    <mergeCell ref="E1:T1"/>
    <mergeCell ref="U1:AG1"/>
    <mergeCell ref="A2:P2"/>
    <mergeCell ref="Q2:T2"/>
    <mergeCell ref="U2:AG3"/>
    <mergeCell ref="A3:P3"/>
    <mergeCell ref="Q3:T3"/>
    <mergeCell ref="A4:P5"/>
    <mergeCell ref="Q4:T5"/>
    <mergeCell ref="V4:V5"/>
    <mergeCell ref="W4:X5"/>
    <mergeCell ref="Z4:Z5"/>
    <mergeCell ref="AA4:AE5"/>
    <mergeCell ref="AF4:AF5"/>
    <mergeCell ref="AG4:AG5"/>
    <mergeCell ref="A6:P7"/>
    <mergeCell ref="Q6:T7"/>
    <mergeCell ref="V6:X8"/>
    <mergeCell ref="Z6:AD8"/>
    <mergeCell ref="AF6:AG8"/>
    <mergeCell ref="A8:K8"/>
    <mergeCell ref="L8:R8"/>
    <mergeCell ref="B9:P10"/>
    <mergeCell ref="Q9:T9"/>
    <mergeCell ref="W9:X9"/>
    <mergeCell ref="AC9:AD9"/>
    <mergeCell ref="V10:W10"/>
    <mergeCell ref="AB10:AC10"/>
    <mergeCell ref="AF10:AG10"/>
    <mergeCell ref="V11:W11"/>
    <mergeCell ref="AB11:AC11"/>
    <mergeCell ref="V12:W12"/>
    <mergeCell ref="AB12:AC12"/>
    <mergeCell ref="V13:W13"/>
    <mergeCell ref="AB13:AC13"/>
    <mergeCell ref="V14:W14"/>
    <mergeCell ref="AB14:AC14"/>
    <mergeCell ref="V15:W15"/>
    <mergeCell ref="AB15:AC15"/>
    <mergeCell ref="V16:W16"/>
    <mergeCell ref="AB16:AC16"/>
    <mergeCell ref="V17:W17"/>
    <mergeCell ref="AB17:AC17"/>
    <mergeCell ref="V18:W18"/>
    <mergeCell ref="AB18:AC18"/>
    <mergeCell ref="V19:W19"/>
    <mergeCell ref="AB19:AC19"/>
    <mergeCell ref="V20:W20"/>
    <mergeCell ref="AB20:AC20"/>
    <mergeCell ref="V21:W21"/>
    <mergeCell ref="AB21:AC21"/>
    <mergeCell ref="V22:W22"/>
    <mergeCell ref="AB22:AC22"/>
    <mergeCell ref="V23:W23"/>
    <mergeCell ref="AB23:AC23"/>
    <mergeCell ref="A24:G24"/>
    <mergeCell ref="H24:I24"/>
    <mergeCell ref="J24:T24"/>
    <mergeCell ref="V24:Z25"/>
    <mergeCell ref="AB24:AC25"/>
    <mergeCell ref="AD24:AD25"/>
    <mergeCell ref="A25:G25"/>
    <mergeCell ref="H25:P25"/>
    <mergeCell ref="Q25:R25"/>
    <mergeCell ref="AF25:AG25"/>
    <mergeCell ref="A26:G26"/>
    <mergeCell ref="H26:P26"/>
    <mergeCell ref="Q26:R26"/>
    <mergeCell ref="V26:Z26"/>
    <mergeCell ref="AB26:AD26"/>
    <mergeCell ref="AF26:AG26"/>
    <mergeCell ref="V27:X27"/>
    <mergeCell ref="AB27:AC27"/>
    <mergeCell ref="A28:AG28"/>
    <mergeCell ref="A29:P30"/>
    <mergeCell ref="Q29:R29"/>
    <mergeCell ref="S29:S30"/>
    <mergeCell ref="T29:V29"/>
    <mergeCell ref="W29:W30"/>
    <mergeCell ref="X29:AB29"/>
    <mergeCell ref="AC29:AG30"/>
    <mergeCell ref="Q30:R30"/>
    <mergeCell ref="T30:V30"/>
    <mergeCell ref="X30:AB30"/>
  </mergeCells>
  <printOptions gridLines="0" gridLinesSet="1" headings="0" horizontalCentered="0" verticalCentered="0"/>
  <pageMargins bottom="0.75" footer="0.3" header="0.3" left="0.7" right="0.7" top="0.75"/>
  <pageSetup blackAndWhite="0" copies="1" draft="0" firstPageNumber="0" fitToHeight="1" fitToWidth="1" horizontalDpi="300" orientation="landscape" pageOrder="downThenOver" paperSize="5" scale="95" useFirstPageNumber="0" verticalDpi="300"/>
  <headerFooter differentFirst="0" differentOddEven="0">
    <oddHeader>&amp;R&amp;8 This form maybe reproduced and is NOT FOR SALE</oddHeader>
    <oddFooter>&amp;L&amp;"Arial,Italic"&amp;6 marc punzalan&amp;C&amp;"Arial,Bold"&amp;8 PLEASE READ INSTRUCTIONS (FOR EACH NUMBERED BOX) AT THE BACK BEFORE ACCOMPLISHING THIS FORM&amp;R&amp;"Arial,Bold"&amp;8 | 17 |  PAGE  &amp;P OF &amp;N PAGES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G30"/>
  <sheetViews>
    <sheetView colorId="64" defaultGridColor="1" rightToLeft="0" showFormulas="0" showGridLines="0" showOutlineSymbols="1" showRowColHeaders="1" showZeros="1" tabSelected="0" topLeftCell="A4" view="normal" workbookViewId="0" zoomScale="100" zoomScaleNormal="100" zoomScalePageLayoutView="100">
      <selection activeCell="Q11" activeCellId="0" pane="topLeft" sqref="Q11"/>
    </sheetView>
  </sheetViews>
  <sheetFormatPr baseColWidth="8" defaultRowHeight="12.75" outlineLevelCol="0" outlineLevelRow="0" zeroHeight="0"/>
  <cols>
    <col customWidth="1" max="1" min="1" style="256" width="3.98"/>
    <col customWidth="1" max="2" min="2" style="256" width="0.28"/>
    <col customWidth="1" max="4" min="3" style="256" width="1.7"/>
    <col customWidth="1" max="5" min="5" style="256" width="0.28"/>
    <col customWidth="1" max="14" min="6" style="256" width="1.7"/>
    <col customWidth="1" max="15" min="15" style="256" width="0.28"/>
    <col customWidth="1" max="16" min="16" style="256" width="1.7"/>
    <col customWidth="1" max="17" min="17" style="256" width="24.68"/>
    <col customWidth="1" max="18" min="18" style="256" width="5.84"/>
    <col customWidth="1" max="19" min="19" style="256" width="24.68"/>
    <col customWidth="1" max="20" min="20" style="256" width="24.82"/>
    <col customWidth="1" max="21" min="21" style="256" width="0.28"/>
    <col customWidth="1" max="22" min="22" style="256" width="3.98"/>
    <col customWidth="1" max="23" min="23" style="256" width="7.84"/>
    <col customWidth="1" max="24" min="24" style="256" width="6.84"/>
    <col customWidth="1" max="25" min="25" style="256" width="0.28"/>
    <col customWidth="1" max="26" min="26" style="256" width="5.7"/>
    <col customWidth="1" max="27" min="27" style="256" width="0.28"/>
    <col customWidth="1" max="28" min="28" style="256" width="3.98"/>
    <col customWidth="1" max="29" min="29" style="256" width="7.41"/>
    <col customWidth="1" max="30" min="30" style="256" width="10.69"/>
    <col customWidth="1" max="31" min="31" style="256" width="0.28"/>
    <col customWidth="1" max="32" min="32" style="256" width="4.41"/>
    <col customWidth="1" max="33" min="33" style="256" width="13.4"/>
    <col customWidth="1" max="1025" min="34" style="256" width="8.84"/>
  </cols>
  <sheetData>
    <row customHeight="1" ht="57.75" r="1" s="334" spans="1:33">
      <c r="A1" s="354" t="s">
        <v>88</v>
      </c>
      <c r="E1" s="355" t="s">
        <v>89</v>
      </c>
      <c r="U1" s="356" t="s">
        <v>90</v>
      </c>
    </row>
    <row customHeight="1" ht="25.5" r="2" s="334" spans="1:33">
      <c r="A2" s="357" t="s">
        <v>91</v>
      </c>
      <c r="Q2" s="358">
        <f>DATA!B3</f>
        <v/>
      </c>
      <c r="U2" s="359" t="n"/>
    </row>
    <row customHeight="1" ht="25.5" r="3" s="334" spans="1:33">
      <c r="A3" s="360" t="s">
        <v>92</v>
      </c>
      <c r="Q3" s="361">
        <f>DATA!G2</f>
        <v/>
      </c>
    </row>
    <row customHeight="1" ht="15" r="4" s="334" spans="1:33">
      <c r="A4" s="362" t="s">
        <v>93</v>
      </c>
      <c r="Q4" s="363">
        <f>UPPER(DATA!B1)</f>
        <v/>
      </c>
      <c r="U4" s="364" t="n"/>
      <c r="V4" s="365" t="n"/>
      <c r="W4" s="366" t="s">
        <v>24</v>
      </c>
      <c r="Y4" s="367" t="n"/>
      <c r="Z4" s="368" t="n"/>
      <c r="AA4" s="369" t="s">
        <v>94</v>
      </c>
      <c r="AF4" s="368" t="n"/>
      <c r="AG4" s="370" t="s">
        <v>95</v>
      </c>
    </row>
    <row customHeight="1" ht="15" r="5" s="334" spans="1:33">
      <c r="U5" s="371" t="n"/>
      <c r="Y5" s="372" t="n"/>
    </row>
    <row customHeight="1" ht="14.25" r="6" s="334" spans="1:33">
      <c r="A6" s="373" t="s">
        <v>96</v>
      </c>
      <c r="Q6" s="374">
        <f>UPPER(DATA!B2)</f>
        <v/>
      </c>
      <c r="U6" s="371" t="n"/>
      <c r="V6" s="375" t="n"/>
      <c r="Y6" s="372" t="n"/>
      <c r="Z6" s="376" t="n"/>
      <c r="AE6" s="372" t="n"/>
      <c r="AF6" s="377">
        <f>CONCATENATE(DATA!BG4," ",DATA!E4)</f>
        <v/>
      </c>
    </row>
    <row customHeight="1" ht="12" r="7" s="334" spans="1:33">
      <c r="U7" s="371" t="n"/>
      <c r="Y7" s="372" t="n"/>
      <c r="AE7" s="372" t="n"/>
    </row>
    <row customHeight="1" ht="15" r="8" s="334" spans="1:33">
      <c r="A8" s="378" t="s">
        <v>97</v>
      </c>
      <c r="L8" s="379">
        <f>DATA!B4</f>
        <v/>
      </c>
      <c r="S8" s="380" t="s">
        <v>98</v>
      </c>
      <c r="T8" s="381">
        <f>DATA!B7</f>
        <v/>
      </c>
      <c r="U8" s="382" t="n"/>
      <c r="Y8" s="383" t="n"/>
      <c r="AE8" s="383" t="n"/>
    </row>
    <row customHeight="1" ht="24" r="9" s="334" spans="1:33">
      <c r="A9" s="384" t="s">
        <v>99</v>
      </c>
      <c r="B9" s="385" t="s">
        <v>99</v>
      </c>
      <c r="Q9" s="386" t="s">
        <v>100</v>
      </c>
      <c r="U9" s="387" t="n"/>
      <c r="V9" s="388" t="n"/>
      <c r="W9" s="389" t="s">
        <v>101</v>
      </c>
      <c r="Y9" s="387" t="n"/>
      <c r="Z9" s="390" t="n"/>
      <c r="AA9" s="387" t="n"/>
      <c r="AB9" s="388" t="n"/>
      <c r="AC9" s="391" t="s">
        <v>102</v>
      </c>
      <c r="AE9" s="387" t="n"/>
      <c r="AF9" s="392" t="n"/>
      <c r="AG9" s="393" t="s">
        <v>103</v>
      </c>
    </row>
    <row customHeight="1" ht="26.25" r="10" s="334" spans="1:33">
      <c r="A10" s="394" t="n"/>
      <c r="Q10" s="395" t="s">
        <v>61</v>
      </c>
      <c r="R10" s="396" t="s">
        <v>104</v>
      </c>
      <c r="S10" s="397" t="s">
        <v>63</v>
      </c>
      <c r="T10" s="398" t="s">
        <v>64</v>
      </c>
      <c r="U10" s="399" t="s">
        <v>105</v>
      </c>
      <c r="V10" s="400" t="s">
        <v>105</v>
      </c>
      <c r="X10" s="401" t="s">
        <v>106</v>
      </c>
      <c r="Y10" s="402" t="n"/>
      <c r="Z10" s="403" t="s">
        <v>107</v>
      </c>
      <c r="AA10" s="402" t="n"/>
      <c r="AB10" s="395" t="s">
        <v>56</v>
      </c>
      <c r="AD10" s="398" t="s">
        <v>108</v>
      </c>
      <c r="AE10" s="402" t="n"/>
      <c r="AF10" s="404" t="s">
        <v>109</v>
      </c>
    </row>
    <row customHeight="1" ht="12.75" r="11" s="334" spans="1:33">
      <c r="A11" s="446">
        <f>DATA!A9</f>
        <v/>
      </c>
      <c r="B11" s="447" t="n"/>
      <c r="C11" s="447">
        <f>LEFT(DATA!F9,1)</f>
        <v/>
      </c>
      <c r="D11" s="447">
        <f>MID(DATA!F9,2,1)</f>
        <v/>
      </c>
      <c r="E11" s="447" t="n"/>
      <c r="F11" s="447">
        <f>MID(DATA!F9,3,1)</f>
        <v/>
      </c>
      <c r="G11" s="447">
        <f>MID(DATA!F9,4,1)</f>
        <v/>
      </c>
      <c r="H11" s="447">
        <f>MID(DATA!F9,5,1)</f>
        <v/>
      </c>
      <c r="I11" s="447">
        <f>MID(DATA!F9,6,1)</f>
        <v/>
      </c>
      <c r="J11" s="447">
        <f>MID(DATA!F9,7,1)</f>
        <v/>
      </c>
      <c r="K11" s="447">
        <f>MID(DATA!F9,8,1)</f>
        <v/>
      </c>
      <c r="L11" s="447">
        <f>MID(DATA!F9,9,1)</f>
        <v/>
      </c>
      <c r="M11" s="447">
        <f>MID(DATA!F9,10,1)</f>
        <v/>
      </c>
      <c r="N11" s="447">
        <f>MID(DATA!F9,11,1)</f>
        <v/>
      </c>
      <c r="O11" s="447" t="n"/>
      <c r="P11" s="447">
        <f>MID(DATA!F9,12,1)</f>
        <v/>
      </c>
      <c r="Q11" s="447">
        <f>UPPER(DATA!B9)</f>
        <v/>
      </c>
      <c r="R11" s="447">
        <f>UPPER(DATA!C9)</f>
        <v/>
      </c>
      <c r="S11" s="447">
        <f>UPPER(DATA!D9)</f>
        <v/>
      </c>
      <c r="T11" s="447">
        <f>UPPER(IF(DATA!BK9=TRUE(),"  ",IF(DATA!BK9=FALSE(),DATA!E9)))</f>
        <v/>
      </c>
      <c r="U11" s="447" t="n"/>
      <c r="V11" s="448">
        <f>IF(DATA!BQ9=TRUE()," ",IF(DATA!BQ9=FALSE(),DATA!G9))</f>
        <v/>
      </c>
      <c r="X11" s="449">
        <f>DATA!H9</f>
        <v/>
      </c>
      <c r="Y11" s="447" t="n"/>
      <c r="Z11" s="450">
        <f>DATA!J9</f>
        <v/>
      </c>
      <c r="AA11" s="416" t="n"/>
      <c r="AB11" s="451">
        <f>IF(Z11&gt;0,DATA!BG9,IF(Z11=0," "))</f>
        <v/>
      </c>
      <c r="AD11" s="452">
        <f>IF(Z11&gt;0,DATA!BI9,IF(Z11=0," "))</f>
        <v/>
      </c>
      <c r="AE11" s="416" t="n"/>
      <c r="AF11" s="453">
        <f>UPPER(IF(DATA!BO9=TRUE()," ",IF(DATA!BO9=FALSE(),DATA!BS9)))</f>
        <v/>
      </c>
      <c r="AG11" s="454">
        <f>IF(DATA!BP9=TRUE()," ",IF(DATA!BP9=FALSE(),DATA!BT9))</f>
        <v/>
      </c>
    </row>
    <row customHeight="1" ht="12.75" r="12" s="334" spans="1:33">
      <c r="A12" s="446">
        <f>DATA!A10</f>
        <v/>
      </c>
      <c r="B12" s="416" t="n"/>
      <c r="C12" s="416">
        <f>LEFT(DATA!F10,1)</f>
        <v/>
      </c>
      <c r="D12" s="416">
        <f>MID(DATA!F10,2,1)</f>
        <v/>
      </c>
      <c r="E12" s="416" t="n"/>
      <c r="F12" s="416">
        <f>MID(DATA!F10,3,1)</f>
        <v/>
      </c>
      <c r="G12" s="416">
        <f>MID(DATA!F10,4,1)</f>
        <v/>
      </c>
      <c r="H12" s="416">
        <f>MID(DATA!F10,5,1)</f>
        <v/>
      </c>
      <c r="I12" s="416">
        <f>MID(DATA!F10,6,1)</f>
        <v/>
      </c>
      <c r="J12" s="416">
        <f>MID(DATA!F10,7,1)</f>
        <v/>
      </c>
      <c r="K12" s="416">
        <f>MID(DATA!F10,8,1)</f>
        <v/>
      </c>
      <c r="L12" s="416">
        <f>MID(DATA!F10,9,1)</f>
        <v/>
      </c>
      <c r="M12" s="416">
        <f>MID(DATA!F10,10,1)</f>
        <v/>
      </c>
      <c r="N12" s="416">
        <f>MID(DATA!F10,11,1)</f>
        <v/>
      </c>
      <c r="O12" s="416" t="n"/>
      <c r="P12" s="416">
        <f>MID(DATA!F10,12,1)</f>
        <v/>
      </c>
      <c r="Q12" s="416">
        <f>UPPER(DATA!B10)</f>
        <v/>
      </c>
      <c r="R12" s="416">
        <f>UPPER(DATA!C10)</f>
        <v/>
      </c>
      <c r="S12" s="416">
        <f>UPPER(DATA!D10)</f>
        <v/>
      </c>
      <c r="T12" s="416">
        <f>UPPER(IF(DATA!BK10=TRUE(),"  ",IF(DATA!BK10=FALSE(),DATA!E10)))</f>
        <v/>
      </c>
      <c r="U12" s="416" t="n"/>
      <c r="V12" s="417">
        <f>IF(DATA!BQ10=TRUE()," ",IF(DATA!BQ10=FALSE(),DATA!G10))</f>
        <v/>
      </c>
      <c r="X12" s="425">
        <f>DATA!H10</f>
        <v/>
      </c>
      <c r="Y12" s="416" t="n"/>
      <c r="Z12" s="425">
        <f>DATA!J10</f>
        <v/>
      </c>
      <c r="AA12" s="416" t="n"/>
      <c r="AB12" s="420">
        <f>IF(Z12&gt;0,DATA!BG10,IF(Z12=0," "))</f>
        <v/>
      </c>
      <c r="AD12" s="420">
        <f>IF(Z12&gt;0,DATA!BI10,IF(Z12=0," "))</f>
        <v/>
      </c>
      <c r="AE12" s="416" t="n"/>
      <c r="AF12" s="421">
        <f>UPPER(IF(DATA!BO10=TRUE()," ",IF(DATA!BO10=FALSE(),DATA!BS10)))</f>
        <v/>
      </c>
      <c r="AG12" s="422">
        <f>IF(DATA!BP10=TRUE()," ",IF(DATA!BP10=FALSE(),DATA!BT10))</f>
        <v/>
      </c>
    </row>
    <row customHeight="1" ht="12.75" r="13" s="334" spans="1:33">
      <c r="A13" s="446">
        <f>DATA!A11</f>
        <v/>
      </c>
      <c r="B13" s="416" t="n"/>
      <c r="C13" s="416">
        <f>LEFT(DATA!F11,1)</f>
        <v/>
      </c>
      <c r="D13" s="416">
        <f>MID(DATA!F11,2,1)</f>
        <v/>
      </c>
      <c r="E13" s="416" t="n"/>
      <c r="F13" s="416">
        <f>MID(DATA!F11,3,1)</f>
        <v/>
      </c>
      <c r="G13" s="416">
        <f>MID(DATA!F11,4,1)</f>
        <v/>
      </c>
      <c r="H13" s="416">
        <f>MID(DATA!F11,5,1)</f>
        <v/>
      </c>
      <c r="I13" s="416">
        <f>MID(DATA!F11,6,1)</f>
        <v/>
      </c>
      <c r="J13" s="416">
        <f>MID(DATA!F11,7,1)</f>
        <v/>
      </c>
      <c r="K13" s="416">
        <f>MID(DATA!F11,8,1)</f>
        <v/>
      </c>
      <c r="L13" s="416">
        <f>MID(DATA!F11,9,1)</f>
        <v/>
      </c>
      <c r="M13" s="416">
        <f>MID(DATA!F11,10,1)</f>
        <v/>
      </c>
      <c r="N13" s="416">
        <f>MID(DATA!F11,11,1)</f>
        <v/>
      </c>
      <c r="O13" s="416" t="n"/>
      <c r="P13" s="416">
        <f>MID(DATA!F11,12,1)</f>
        <v/>
      </c>
      <c r="Q13" s="416">
        <f>UPPER(DATA!B11)</f>
        <v/>
      </c>
      <c r="R13" s="416">
        <f>UPPER(DATA!C11)</f>
        <v/>
      </c>
      <c r="S13" s="416">
        <f>UPPER(DATA!D11)</f>
        <v/>
      </c>
      <c r="T13" s="416">
        <f>UPPER(IF(DATA!BK11=TRUE(),"  ",IF(DATA!BK11=FALSE(),DATA!E11)))</f>
        <v/>
      </c>
      <c r="U13" s="416" t="n"/>
      <c r="V13" s="417">
        <f>IF(DATA!BQ11=TRUE()," ",IF(DATA!BQ11=FALSE(),DATA!G11))</f>
        <v/>
      </c>
      <c r="X13" s="425">
        <f>DATA!H11</f>
        <v/>
      </c>
      <c r="Y13" s="416" t="n"/>
      <c r="Z13" s="425">
        <f>DATA!J11</f>
        <v/>
      </c>
      <c r="AA13" s="416" t="n"/>
      <c r="AB13" s="420">
        <f>IF(Z13&gt;0,DATA!BG11,IF(Z13=0," "))</f>
        <v/>
      </c>
      <c r="AD13" s="420">
        <f>IF(Z13&gt;0,DATA!BI11,IF(Z13=0," "))</f>
        <v/>
      </c>
      <c r="AE13" s="416" t="n"/>
      <c r="AF13" s="421">
        <f>UPPER(IF(DATA!BO11=TRUE()," ",IF(DATA!BO11=FALSE(),DATA!BS11)))</f>
        <v/>
      </c>
      <c r="AG13" s="422">
        <f>IF(DATA!BP11=TRUE()," ",IF(DATA!BP11=FALSE(),DATA!BT11))</f>
        <v/>
      </c>
    </row>
    <row customHeight="1" ht="12.75" r="14" s="334" spans="1:33">
      <c r="A14" s="446">
        <f>DATA!A12</f>
        <v/>
      </c>
      <c r="B14" s="416" t="n"/>
      <c r="C14" s="416">
        <f>LEFT(DATA!F12,1)</f>
        <v/>
      </c>
      <c r="D14" s="416">
        <f>MID(DATA!F12,2,1)</f>
        <v/>
      </c>
      <c r="E14" s="416" t="n"/>
      <c r="F14" s="416">
        <f>MID(DATA!F12,3,1)</f>
        <v/>
      </c>
      <c r="G14" s="416">
        <f>MID(DATA!F12,4,1)</f>
        <v/>
      </c>
      <c r="H14" s="416">
        <f>MID(DATA!F12,5,1)</f>
        <v/>
      </c>
      <c r="I14" s="416">
        <f>MID(DATA!F12,6,1)</f>
        <v/>
      </c>
      <c r="J14" s="416">
        <f>MID(DATA!F12,7,1)</f>
        <v/>
      </c>
      <c r="K14" s="416">
        <f>MID(DATA!F12,8,1)</f>
        <v/>
      </c>
      <c r="L14" s="416">
        <f>MID(DATA!F12,9,1)</f>
        <v/>
      </c>
      <c r="M14" s="416">
        <f>MID(DATA!F12,10,1)</f>
        <v/>
      </c>
      <c r="N14" s="416">
        <f>MID(DATA!F12,11,1)</f>
        <v/>
      </c>
      <c r="O14" s="416" t="n"/>
      <c r="P14" s="416">
        <f>MID(DATA!F12,12,1)</f>
        <v/>
      </c>
      <c r="Q14" s="416">
        <f>UPPER(DATA!B12)</f>
        <v/>
      </c>
      <c r="R14" s="416">
        <f>UPPER(DATA!C12)</f>
        <v/>
      </c>
      <c r="S14" s="416">
        <f>UPPER(DATA!D12)</f>
        <v/>
      </c>
      <c r="T14" s="416">
        <f>UPPER(IF(DATA!BK12=TRUE(),"  ",IF(DATA!BK12=FALSE(),DATA!E12)))</f>
        <v/>
      </c>
      <c r="U14" s="416" t="n"/>
      <c r="V14" s="417">
        <f>IF(DATA!BQ12=TRUE()," ",IF(DATA!BQ12=FALSE(),DATA!G12))</f>
        <v/>
      </c>
      <c r="X14" s="425">
        <f>DATA!H12</f>
        <v/>
      </c>
      <c r="Y14" s="416" t="n"/>
      <c r="Z14" s="425">
        <f>DATA!J12</f>
        <v/>
      </c>
      <c r="AA14" s="416" t="n"/>
      <c r="AB14" s="420">
        <f>IF(Z14&gt;0,DATA!BG12,IF(Z14=0," "))</f>
        <v/>
      </c>
      <c r="AD14" s="420">
        <f>IF(Z14&gt;0,DATA!BI12,IF(Z14=0," "))</f>
        <v/>
      </c>
      <c r="AE14" s="416" t="n"/>
      <c r="AF14" s="421">
        <f>UPPER(IF(DATA!BO12=TRUE()," ",IF(DATA!BO12=FALSE(),DATA!BS12)))</f>
        <v/>
      </c>
      <c r="AG14" s="422">
        <f>IF(DATA!BP12=TRUE()," ",IF(DATA!BP12=FALSE(),DATA!BT12))</f>
        <v/>
      </c>
    </row>
    <row customHeight="1" ht="12.75" r="15" s="334" spans="1:33">
      <c r="A15" s="446">
        <f>DATA!A13</f>
        <v/>
      </c>
      <c r="B15" s="416" t="n"/>
      <c r="C15" s="416">
        <f>LEFT(DATA!F13,1)</f>
        <v/>
      </c>
      <c r="D15" s="416">
        <f>MID(DATA!F13,2,1)</f>
        <v/>
      </c>
      <c r="E15" s="416" t="n"/>
      <c r="F15" s="416">
        <f>MID(DATA!F13,3,1)</f>
        <v/>
      </c>
      <c r="G15" s="416">
        <f>MID(DATA!F13,4,1)</f>
        <v/>
      </c>
      <c r="H15" s="416">
        <f>MID(DATA!F13,5,1)</f>
        <v/>
      </c>
      <c r="I15" s="416">
        <f>MID(DATA!F13,6,1)</f>
        <v/>
      </c>
      <c r="J15" s="416">
        <f>MID(DATA!F13,7,1)</f>
        <v/>
      </c>
      <c r="K15" s="416">
        <f>MID(DATA!F13,8,1)</f>
        <v/>
      </c>
      <c r="L15" s="416">
        <f>MID(DATA!F13,9,1)</f>
        <v/>
      </c>
      <c r="M15" s="416">
        <f>MID(DATA!F13,10,1)</f>
        <v/>
      </c>
      <c r="N15" s="416">
        <f>MID(DATA!F13,11,1)</f>
        <v/>
      </c>
      <c r="O15" s="416" t="n"/>
      <c r="P15" s="416">
        <f>MID(DATA!F13,12,1)</f>
        <v/>
      </c>
      <c r="Q15" s="416">
        <f>UPPER(DATA!B13)</f>
        <v/>
      </c>
      <c r="R15" s="416">
        <f>UPPER(DATA!C13)</f>
        <v/>
      </c>
      <c r="S15" s="416">
        <f>UPPER(DATA!D13)</f>
        <v/>
      </c>
      <c r="T15" s="416">
        <f>UPPER(IF(DATA!BK13=TRUE(),"  ",IF(DATA!BK13=FALSE(),DATA!E13)))</f>
        <v/>
      </c>
      <c r="U15" s="416" t="n"/>
      <c r="V15" s="417">
        <f>IF(DATA!BQ13=TRUE()," ",IF(DATA!BQ13=FALSE(),DATA!G13))</f>
        <v/>
      </c>
      <c r="X15" s="425">
        <f>DATA!H13</f>
        <v/>
      </c>
      <c r="Y15" s="416" t="n"/>
      <c r="Z15" s="425">
        <f>DATA!J13</f>
        <v/>
      </c>
      <c r="AA15" s="416" t="n"/>
      <c r="AB15" s="420">
        <f>IF(Z15&gt;0,DATA!BG13,IF(Z15=0," "))</f>
        <v/>
      </c>
      <c r="AD15" s="420">
        <f>IF(Z15&gt;0,DATA!BI13,IF(Z15=0," "))</f>
        <v/>
      </c>
      <c r="AE15" s="416" t="n"/>
      <c r="AF15" s="421">
        <f>UPPER(IF(DATA!BO13=TRUE()," ",IF(DATA!BO13=FALSE(),DATA!BS13)))</f>
        <v/>
      </c>
      <c r="AG15" s="422">
        <f>IF(DATA!BP13=TRUE()," ",IF(DATA!BP13=FALSE(),DATA!BT13))</f>
        <v/>
      </c>
    </row>
    <row customHeight="1" ht="12.75" r="16" s="334" spans="1:33">
      <c r="A16" s="446">
        <f>DATA!A14</f>
        <v/>
      </c>
      <c r="B16" s="416" t="n"/>
      <c r="C16" s="416">
        <f>LEFT(DATA!F14,1)</f>
        <v/>
      </c>
      <c r="D16" s="416">
        <f>MID(DATA!F14,2,1)</f>
        <v/>
      </c>
      <c r="E16" s="416" t="n"/>
      <c r="F16" s="416">
        <f>MID(DATA!F14,3,1)</f>
        <v/>
      </c>
      <c r="G16" s="416">
        <f>MID(DATA!F14,4,1)</f>
        <v/>
      </c>
      <c r="H16" s="416">
        <f>MID(DATA!F14,5,1)</f>
        <v/>
      </c>
      <c r="I16" s="416">
        <f>MID(DATA!F14,6,1)</f>
        <v/>
      </c>
      <c r="J16" s="416">
        <f>MID(DATA!F14,7,1)</f>
        <v/>
      </c>
      <c r="K16" s="416">
        <f>MID(DATA!F14,8,1)</f>
        <v/>
      </c>
      <c r="L16" s="416">
        <f>MID(DATA!F14,9,1)</f>
        <v/>
      </c>
      <c r="M16" s="416">
        <f>MID(DATA!F14,10,1)</f>
        <v/>
      </c>
      <c r="N16" s="416">
        <f>MID(DATA!F14,11,1)</f>
        <v/>
      </c>
      <c r="O16" s="416" t="n"/>
      <c r="P16" s="416">
        <f>MID(DATA!F14,12,1)</f>
        <v/>
      </c>
      <c r="Q16" s="416">
        <f>UPPER(DATA!B14)</f>
        <v/>
      </c>
      <c r="R16" s="416">
        <f>UPPER(DATA!C14)</f>
        <v/>
      </c>
      <c r="S16" s="416">
        <f>UPPER(DATA!D14)</f>
        <v/>
      </c>
      <c r="T16" s="416">
        <f>UPPER(IF(DATA!BK14=TRUE(),"  ",IF(DATA!BK14=FALSE(),DATA!E14)))</f>
        <v/>
      </c>
      <c r="U16" s="416" t="n"/>
      <c r="V16" s="417">
        <f>IF(DATA!BQ14=TRUE()," ",IF(DATA!BQ14=FALSE(),DATA!G14))</f>
        <v/>
      </c>
      <c r="X16" s="425">
        <f>DATA!H14</f>
        <v/>
      </c>
      <c r="Y16" s="416" t="n"/>
      <c r="Z16" s="425">
        <f>DATA!J14</f>
        <v/>
      </c>
      <c r="AA16" s="416" t="n"/>
      <c r="AB16" s="420">
        <f>IF(Z16&gt;0,DATA!BG14,IF(Z16=0," "))</f>
        <v/>
      </c>
      <c r="AD16" s="420">
        <f>IF(Z16&gt;0,DATA!BI14,IF(Z16=0," "))</f>
        <v/>
      </c>
      <c r="AE16" s="416" t="n"/>
      <c r="AF16" s="421">
        <f>UPPER(IF(DATA!BO14=TRUE()," ",IF(DATA!BO14=FALSE(),DATA!BS14)))</f>
        <v/>
      </c>
      <c r="AG16" s="422">
        <f>IF(DATA!BP14=TRUE()," ",IF(DATA!BP14=FALSE(),DATA!BT14))</f>
        <v/>
      </c>
    </row>
    <row customHeight="1" ht="12.75" r="17" s="334" spans="1:33">
      <c r="A17" s="446">
        <f>DATA!A15</f>
        <v/>
      </c>
      <c r="B17" s="416" t="n"/>
      <c r="C17" s="416">
        <f>LEFT(DATA!F15,1)</f>
        <v/>
      </c>
      <c r="D17" s="416">
        <f>MID(DATA!F15,2,1)</f>
        <v/>
      </c>
      <c r="E17" s="416" t="n"/>
      <c r="F17" s="416">
        <f>MID(DATA!F15,3,1)</f>
        <v/>
      </c>
      <c r="G17" s="416">
        <f>MID(DATA!F15,4,1)</f>
        <v/>
      </c>
      <c r="H17" s="416">
        <f>MID(DATA!F15,5,1)</f>
        <v/>
      </c>
      <c r="I17" s="416">
        <f>MID(DATA!F15,6,1)</f>
        <v/>
      </c>
      <c r="J17" s="416">
        <f>MID(DATA!F15,7,1)</f>
        <v/>
      </c>
      <c r="K17" s="416">
        <f>MID(DATA!F15,8,1)</f>
        <v/>
      </c>
      <c r="L17" s="416">
        <f>MID(DATA!F15,9,1)</f>
        <v/>
      </c>
      <c r="M17" s="416">
        <f>MID(DATA!F15,10,1)</f>
        <v/>
      </c>
      <c r="N17" s="416">
        <f>MID(DATA!F15,11,1)</f>
        <v/>
      </c>
      <c r="O17" s="416" t="n"/>
      <c r="P17" s="416">
        <f>MID(DATA!F15,12,1)</f>
        <v/>
      </c>
      <c r="Q17" s="416">
        <f>UPPER(DATA!B15)</f>
        <v/>
      </c>
      <c r="R17" s="416">
        <f>UPPER(DATA!C15)</f>
        <v/>
      </c>
      <c r="S17" s="416">
        <f>UPPER(DATA!D15)</f>
        <v/>
      </c>
      <c r="T17" s="416">
        <f>UPPER(IF(DATA!BK15=TRUE(),"  ",IF(DATA!BK15=FALSE(),DATA!E15)))</f>
        <v/>
      </c>
      <c r="U17" s="416" t="n"/>
      <c r="V17" s="417">
        <f>IF(DATA!BQ15=TRUE()," ",IF(DATA!BQ15=FALSE(),DATA!G15))</f>
        <v/>
      </c>
      <c r="X17" s="425">
        <f>DATA!H15</f>
        <v/>
      </c>
      <c r="Y17" s="416" t="n"/>
      <c r="Z17" s="425">
        <f>DATA!J15</f>
        <v/>
      </c>
      <c r="AA17" s="416" t="n"/>
      <c r="AB17" s="420">
        <f>IF(Z17&gt;0,DATA!BG15,IF(Z17=0," "))</f>
        <v/>
      </c>
      <c r="AD17" s="420">
        <f>IF(Z17&gt;0,DATA!BI15,IF(Z17=0," "))</f>
        <v/>
      </c>
      <c r="AE17" s="416" t="n"/>
      <c r="AF17" s="421">
        <f>UPPER(IF(DATA!BO15=TRUE()," ",IF(DATA!BO15=FALSE(),DATA!BS15)))</f>
        <v/>
      </c>
      <c r="AG17" s="422">
        <f>IF(DATA!BP15=TRUE()," ",IF(DATA!BP15=FALSE(),DATA!BT15))</f>
        <v/>
      </c>
    </row>
    <row customHeight="1" ht="12.75" r="18" s="334" spans="1:33">
      <c r="A18" s="446">
        <f>DATA!A16</f>
        <v/>
      </c>
      <c r="B18" s="416" t="n"/>
      <c r="C18" s="416">
        <f>LEFT(DATA!F16,1)</f>
        <v/>
      </c>
      <c r="D18" s="416">
        <f>MID(DATA!F16,2,1)</f>
        <v/>
      </c>
      <c r="E18" s="416" t="n"/>
      <c r="F18" s="416">
        <f>MID(DATA!F16,3,1)</f>
        <v/>
      </c>
      <c r="G18" s="416">
        <f>MID(DATA!F16,4,1)</f>
        <v/>
      </c>
      <c r="H18" s="416">
        <f>MID(DATA!F16,5,1)</f>
        <v/>
      </c>
      <c r="I18" s="416">
        <f>MID(DATA!F16,6,1)</f>
        <v/>
      </c>
      <c r="J18" s="416">
        <f>MID(DATA!F16,7,1)</f>
        <v/>
      </c>
      <c r="K18" s="416">
        <f>MID(DATA!F16,8,1)</f>
        <v/>
      </c>
      <c r="L18" s="416">
        <f>MID(DATA!F16,9,1)</f>
        <v/>
      </c>
      <c r="M18" s="416">
        <f>MID(DATA!F16,10,1)</f>
        <v/>
      </c>
      <c r="N18" s="416">
        <f>MID(DATA!F16,11,1)</f>
        <v/>
      </c>
      <c r="O18" s="416" t="n"/>
      <c r="P18" s="416">
        <f>MID(DATA!F16,12,1)</f>
        <v/>
      </c>
      <c r="Q18" s="416">
        <f>UPPER(DATA!B16)</f>
        <v/>
      </c>
      <c r="R18" s="416">
        <f>UPPER(DATA!C16)</f>
        <v/>
      </c>
      <c r="S18" s="416">
        <f>UPPER(DATA!D16)</f>
        <v/>
      </c>
      <c r="T18" s="416">
        <f>UPPER(IF(DATA!BK16=TRUE(),"  ",IF(DATA!BK16=FALSE(),DATA!E16)))</f>
        <v/>
      </c>
      <c r="U18" s="416" t="n"/>
      <c r="V18" s="417">
        <f>IF(DATA!BQ16=TRUE()," ",IF(DATA!BQ16=FALSE(),DATA!G16))</f>
        <v/>
      </c>
      <c r="X18" s="425">
        <f>DATA!H16</f>
        <v/>
      </c>
      <c r="Y18" s="416" t="n"/>
      <c r="Z18" s="425">
        <f>DATA!J16</f>
        <v/>
      </c>
      <c r="AA18" s="416" t="n"/>
      <c r="AB18" s="420">
        <f>IF(Z18&gt;0,DATA!BG16,IF(Z18=0," "))</f>
        <v/>
      </c>
      <c r="AD18" s="420">
        <f>IF(Z18&gt;0,DATA!BI16,IF(Z18=0," "))</f>
        <v/>
      </c>
      <c r="AE18" s="416" t="n"/>
      <c r="AF18" s="421">
        <f>UPPER(IF(DATA!BO16=TRUE()," ",IF(DATA!BO16=FALSE(),DATA!BS16)))</f>
        <v/>
      </c>
      <c r="AG18" s="422">
        <f>IF(DATA!BP16=TRUE()," ",IF(DATA!BP16=FALSE(),DATA!BT16))</f>
        <v/>
      </c>
    </row>
    <row customHeight="1" ht="12.75" r="19" s="334" spans="1:33">
      <c r="A19" s="446">
        <f>DATA!A17</f>
        <v/>
      </c>
      <c r="B19" s="416" t="n"/>
      <c r="C19" s="416">
        <f>LEFT(DATA!F17,1)</f>
        <v/>
      </c>
      <c r="D19" s="416">
        <f>MID(DATA!F17,2,1)</f>
        <v/>
      </c>
      <c r="E19" s="416" t="n"/>
      <c r="F19" s="416">
        <f>MID(DATA!F17,3,1)</f>
        <v/>
      </c>
      <c r="G19" s="416">
        <f>MID(DATA!F17,4,1)</f>
        <v/>
      </c>
      <c r="H19" s="416">
        <f>MID(DATA!F17,5,1)</f>
        <v/>
      </c>
      <c r="I19" s="416">
        <f>MID(DATA!F17,6,1)</f>
        <v/>
      </c>
      <c r="J19" s="416">
        <f>MID(DATA!F17,7,1)</f>
        <v/>
      </c>
      <c r="K19" s="416">
        <f>MID(DATA!F17,8,1)</f>
        <v/>
      </c>
      <c r="L19" s="416">
        <f>MID(DATA!F17,9,1)</f>
        <v/>
      </c>
      <c r="M19" s="416">
        <f>MID(DATA!F17,10,1)</f>
        <v/>
      </c>
      <c r="N19" s="416">
        <f>MID(DATA!F17,11,1)</f>
        <v/>
      </c>
      <c r="O19" s="416" t="n"/>
      <c r="P19" s="416">
        <f>MID(DATA!F17,12,1)</f>
        <v/>
      </c>
      <c r="Q19" s="416">
        <f>UPPER(DATA!B17)</f>
        <v/>
      </c>
      <c r="R19" s="416">
        <f>UPPER(DATA!C17)</f>
        <v/>
      </c>
      <c r="S19" s="416">
        <f>UPPER(DATA!D17)</f>
        <v/>
      </c>
      <c r="T19" s="416">
        <f>UPPER(IF(DATA!BK17=TRUE(),"  ",IF(DATA!BK17=FALSE(),DATA!E17)))</f>
        <v/>
      </c>
      <c r="U19" s="416" t="n"/>
      <c r="V19" s="417">
        <f>IF(DATA!BQ17=TRUE()," ",IF(DATA!BQ17=FALSE(),DATA!G17))</f>
        <v/>
      </c>
      <c r="X19" s="425">
        <f>DATA!H17</f>
        <v/>
      </c>
      <c r="Y19" s="416" t="n"/>
      <c r="Z19" s="425">
        <f>DATA!J17</f>
        <v/>
      </c>
      <c r="AA19" s="416" t="n"/>
      <c r="AB19" s="420">
        <f>IF(Z19&gt;0,DATA!BG17,IF(Z19=0," "))</f>
        <v/>
      </c>
      <c r="AD19" s="420">
        <f>IF(Z19&gt;0,DATA!BI17,IF(Z19=0," "))</f>
        <v/>
      </c>
      <c r="AE19" s="416" t="n"/>
      <c r="AF19" s="421">
        <f>UPPER(IF(DATA!BO17=TRUE()," ",IF(DATA!BO17=FALSE(),DATA!BS17)))</f>
        <v/>
      </c>
      <c r="AG19" s="422">
        <f>IF(DATA!BP17=TRUE()," ",IF(DATA!BP17=FALSE(),DATA!BT17))</f>
        <v/>
      </c>
    </row>
    <row customHeight="1" ht="12.75" r="20" s="334" spans="1:33">
      <c r="A20" s="446">
        <f>DATA!A18</f>
        <v/>
      </c>
      <c r="B20" s="416" t="n"/>
      <c r="C20" s="416">
        <f>LEFT(DATA!F18,1)</f>
        <v/>
      </c>
      <c r="D20" s="416">
        <f>MID(DATA!F18,2,1)</f>
        <v/>
      </c>
      <c r="E20" s="416" t="n"/>
      <c r="F20" s="416">
        <f>MID(DATA!F18,3,1)</f>
        <v/>
      </c>
      <c r="G20" s="416">
        <f>MID(DATA!F18,4,1)</f>
        <v/>
      </c>
      <c r="H20" s="416">
        <f>MID(DATA!F18,5,1)</f>
        <v/>
      </c>
      <c r="I20" s="416">
        <f>MID(DATA!F18,6,1)</f>
        <v/>
      </c>
      <c r="J20" s="416">
        <f>MID(DATA!F18,7,1)</f>
        <v/>
      </c>
      <c r="K20" s="416">
        <f>MID(DATA!F18,8,1)</f>
        <v/>
      </c>
      <c r="L20" s="416">
        <f>MID(DATA!F18,9,1)</f>
        <v/>
      </c>
      <c r="M20" s="416">
        <f>MID(DATA!F18,10,1)</f>
        <v/>
      </c>
      <c r="N20" s="416">
        <f>MID(DATA!F18,11,1)</f>
        <v/>
      </c>
      <c r="O20" s="416" t="n"/>
      <c r="P20" s="416">
        <f>MID(DATA!F18,12,1)</f>
        <v/>
      </c>
      <c r="Q20" s="416">
        <f>UPPER(DATA!B18)</f>
        <v/>
      </c>
      <c r="R20" s="416">
        <f>UPPER(DATA!C18)</f>
        <v/>
      </c>
      <c r="S20" s="416">
        <f>UPPER(DATA!D18)</f>
        <v/>
      </c>
      <c r="T20" s="416">
        <f>UPPER(IF(DATA!BK18=TRUE(),"  ",IF(DATA!BK18=FALSE(),DATA!E18)))</f>
        <v/>
      </c>
      <c r="U20" s="416" t="n"/>
      <c r="V20" s="417">
        <f>IF(DATA!BQ18=TRUE()," ",IF(DATA!BQ18=FALSE(),DATA!G18))</f>
        <v/>
      </c>
      <c r="X20" s="425">
        <f>DATA!H18</f>
        <v/>
      </c>
      <c r="Y20" s="416" t="n"/>
      <c r="Z20" s="425">
        <f>DATA!J18</f>
        <v/>
      </c>
      <c r="AA20" s="416" t="n"/>
      <c r="AB20" s="420">
        <f>IF(Z20&gt;0,DATA!BG18,IF(Z20=0," "))</f>
        <v/>
      </c>
      <c r="AD20" s="420">
        <f>IF(Z20&gt;0,DATA!BI18,IF(Z20=0," "))</f>
        <v/>
      </c>
      <c r="AE20" s="416" t="n"/>
      <c r="AF20" s="421">
        <f>UPPER(IF(DATA!BO18=TRUE()," ",IF(DATA!BO18=FALSE(),DATA!BS18)))</f>
        <v/>
      </c>
      <c r="AG20" s="422">
        <f>IF(DATA!BP18=TRUE()," ",IF(DATA!BP18=FALSE(),DATA!BT18))</f>
        <v/>
      </c>
    </row>
    <row customHeight="1" ht="12.75" r="21" s="334" spans="1:33">
      <c r="A21" s="446">
        <f>DATA!A19</f>
        <v/>
      </c>
      <c r="B21" s="416" t="n"/>
      <c r="C21" s="416">
        <f>LEFT(DATA!F19,1)</f>
        <v/>
      </c>
      <c r="D21" s="416">
        <f>MID(DATA!F19,2,1)</f>
        <v/>
      </c>
      <c r="E21" s="416" t="n"/>
      <c r="F21" s="416">
        <f>MID(DATA!F19,3,1)</f>
        <v/>
      </c>
      <c r="G21" s="416">
        <f>MID(DATA!F19,4,1)</f>
        <v/>
      </c>
      <c r="H21" s="416">
        <f>MID(DATA!F19,5,1)</f>
        <v/>
      </c>
      <c r="I21" s="416">
        <f>MID(DATA!F19,6,1)</f>
        <v/>
      </c>
      <c r="J21" s="416">
        <f>MID(DATA!F19,7,1)</f>
        <v/>
      </c>
      <c r="K21" s="416">
        <f>MID(DATA!F19,8,1)</f>
        <v/>
      </c>
      <c r="L21" s="416">
        <f>MID(DATA!F19,9,1)</f>
        <v/>
      </c>
      <c r="M21" s="416">
        <f>MID(DATA!F19,10,1)</f>
        <v/>
      </c>
      <c r="N21" s="416">
        <f>MID(DATA!F19,11,1)</f>
        <v/>
      </c>
      <c r="O21" s="416" t="n"/>
      <c r="P21" s="416">
        <f>MID(DATA!F19,12,1)</f>
        <v/>
      </c>
      <c r="Q21" s="416">
        <f>UPPER(DATA!B19)</f>
        <v/>
      </c>
      <c r="R21" s="416">
        <f>UPPER(DATA!C19)</f>
        <v/>
      </c>
      <c r="S21" s="416">
        <f>UPPER(DATA!D19)</f>
        <v/>
      </c>
      <c r="T21" s="416">
        <f>UPPER(IF(DATA!BK19=TRUE(),"  ",IF(DATA!BK19=FALSE(),DATA!E19)))</f>
        <v/>
      </c>
      <c r="U21" s="416" t="n"/>
      <c r="V21" s="417">
        <f>IF(DATA!BQ19=TRUE()," ",IF(DATA!BQ19=FALSE(),DATA!G19))</f>
        <v/>
      </c>
      <c r="X21" s="425">
        <f>DATA!H19</f>
        <v/>
      </c>
      <c r="Y21" s="416" t="n"/>
      <c r="Z21" s="425">
        <f>DATA!J19</f>
        <v/>
      </c>
      <c r="AA21" s="416" t="n"/>
      <c r="AB21" s="420">
        <f>IF(Z21&gt;0,DATA!BG19,IF(Z21=0," "))</f>
        <v/>
      </c>
      <c r="AD21" s="420">
        <f>IF(Z21&gt;0,DATA!BI19,IF(Z21=0," "))</f>
        <v/>
      </c>
      <c r="AE21" s="416" t="n"/>
      <c r="AF21" s="421">
        <f>UPPER(IF(DATA!BO19=TRUE()," ",IF(DATA!BO19=FALSE(),DATA!BS19)))</f>
        <v/>
      </c>
      <c r="AG21" s="422">
        <f>IF(DATA!BP19=TRUE()," ",IF(DATA!BP19=FALSE(),DATA!BT19))</f>
        <v/>
      </c>
    </row>
    <row customHeight="1" ht="12.75" r="22" s="334" spans="1:33">
      <c r="A22" s="446">
        <f>DATA!A20</f>
        <v/>
      </c>
      <c r="B22" s="416" t="n"/>
      <c r="C22" s="416">
        <f>LEFT(DATA!F20,1)</f>
        <v/>
      </c>
      <c r="D22" s="416">
        <f>MID(DATA!F20,2,1)</f>
        <v/>
      </c>
      <c r="E22" s="416" t="n"/>
      <c r="F22" s="416">
        <f>MID(DATA!F20,3,1)</f>
        <v/>
      </c>
      <c r="G22" s="416">
        <f>MID(DATA!F20,4,1)</f>
        <v/>
      </c>
      <c r="H22" s="416">
        <f>MID(DATA!F20,5,1)</f>
        <v/>
      </c>
      <c r="I22" s="416">
        <f>MID(DATA!F20,6,1)</f>
        <v/>
      </c>
      <c r="J22" s="416">
        <f>MID(DATA!F20,7,1)</f>
        <v/>
      </c>
      <c r="K22" s="416">
        <f>MID(DATA!F20,8,1)</f>
        <v/>
      </c>
      <c r="L22" s="416">
        <f>MID(DATA!F20,9,1)</f>
        <v/>
      </c>
      <c r="M22" s="416">
        <f>MID(DATA!F20,10,1)</f>
        <v/>
      </c>
      <c r="N22" s="416">
        <f>MID(DATA!F20,11,1)</f>
        <v/>
      </c>
      <c r="O22" s="416" t="n"/>
      <c r="P22" s="416">
        <f>MID(DATA!F20,12,1)</f>
        <v/>
      </c>
      <c r="Q22" s="416">
        <f>UPPER(DATA!B20)</f>
        <v/>
      </c>
      <c r="R22" s="416">
        <f>UPPER(DATA!C20)</f>
        <v/>
      </c>
      <c r="S22" s="416">
        <f>UPPER(DATA!D20)</f>
        <v/>
      </c>
      <c r="T22" s="416">
        <f>UPPER(IF(DATA!BK20=TRUE(),"  ",IF(DATA!BK20=FALSE(),DATA!E20)))</f>
        <v/>
      </c>
      <c r="U22" s="416" t="n"/>
      <c r="V22" s="417">
        <f>IF(DATA!BQ20=TRUE()," ",IF(DATA!BQ20=FALSE(),DATA!G20))</f>
        <v/>
      </c>
      <c r="X22" s="425">
        <f>DATA!H20</f>
        <v/>
      </c>
      <c r="Y22" s="416" t="n"/>
      <c r="Z22" s="425">
        <f>DATA!J20</f>
        <v/>
      </c>
      <c r="AA22" s="416" t="n"/>
      <c r="AB22" s="420">
        <f>IF(Z22&gt;0,DATA!BG20,IF(Z22=0," "))</f>
        <v/>
      </c>
      <c r="AD22" s="420">
        <f>IF(Z22&gt;0,DATA!BI20,IF(Z22=0," "))</f>
        <v/>
      </c>
      <c r="AE22" s="416" t="n"/>
      <c r="AF22" s="421">
        <f>UPPER(IF(DATA!BO20=TRUE()," ",IF(DATA!BO20=FALSE(),DATA!BS20)))</f>
        <v/>
      </c>
      <c r="AG22" s="422">
        <f>IF(DATA!BP20=TRUE()," ",IF(DATA!BP20=FALSE(),DATA!BT20))</f>
        <v/>
      </c>
    </row>
    <row customHeight="1" ht="3" r="23" s="334" spans="1:33">
      <c r="A23" s="421" t="n"/>
      <c r="B23" s="423" t="n"/>
      <c r="C23" s="421" t="n"/>
      <c r="D23" s="421" t="n"/>
      <c r="E23" s="421" t="n"/>
      <c r="F23" s="421" t="n"/>
      <c r="G23" s="421" t="n"/>
      <c r="H23" s="421" t="n"/>
      <c r="I23" s="421" t="n"/>
      <c r="J23" s="421" t="n"/>
      <c r="K23" s="421" t="n"/>
      <c r="L23" s="421" t="n"/>
      <c r="M23" s="421" t="n"/>
      <c r="N23" s="421" t="n"/>
      <c r="O23" s="421" t="n"/>
      <c r="P23" s="421" t="n"/>
      <c r="Q23" s="421" t="n"/>
      <c r="R23" s="421" t="n"/>
      <c r="S23" s="421" t="n"/>
      <c r="T23" s="421" t="n"/>
      <c r="U23" s="421" t="n"/>
      <c r="V23" s="421" t="n"/>
      <c r="X23" s="421" t="n"/>
      <c r="Y23" s="421" t="n"/>
      <c r="Z23" s="421" t="n"/>
      <c r="AA23" s="421" t="n"/>
      <c r="AB23" s="421" t="n"/>
      <c r="AD23" s="421" t="n"/>
      <c r="AE23" s="421" t="n"/>
      <c r="AF23" s="421" t="n"/>
      <c r="AG23" s="421" t="n"/>
    </row>
    <row customHeight="1" ht="30" r="24" s="334" spans="1:33">
      <c r="A24" s="424" t="n"/>
      <c r="H24" s="425" t="n"/>
      <c r="J24" s="324" t="s">
        <v>110</v>
      </c>
      <c r="U24" s="416" t="n"/>
      <c r="V24" s="426" t="s">
        <v>111</v>
      </c>
      <c r="AA24" s="416" t="n"/>
      <c r="AB24" s="427">
        <f>SUM(AB11:AC22)</f>
        <v/>
      </c>
      <c r="AD24" s="428">
        <f>SUM(AD11:AD22)</f>
        <v/>
      </c>
      <c r="AE24" s="416" t="n"/>
      <c r="AF24" s="416" t="n"/>
      <c r="AG24" s="429">
        <f>UPPER(DATA!G4)</f>
        <v/>
      </c>
    </row>
    <row customHeight="1" ht="31.5" r="25" s="334" spans="1:33">
      <c r="A25" s="430">
        <f>COUNT(DATA!BJ9:BJ25548)</f>
        <v/>
      </c>
      <c r="H25" s="431" t="s">
        <v>95</v>
      </c>
      <c r="Q25" s="323" t="s">
        <v>112</v>
      </c>
      <c r="S25" s="432" t="s">
        <v>113</v>
      </c>
      <c r="T25" s="323" t="s">
        <v>114</v>
      </c>
      <c r="U25" s="416" t="n"/>
      <c r="AA25" s="416" t="n"/>
      <c r="AE25" s="416" t="n"/>
      <c r="AF25" s="433">
        <f>UPPER(DATA!G5)</f>
        <v/>
      </c>
    </row>
    <row customHeight="1" ht="33.75" r="26" s="334" spans="1:33">
      <c r="A26" s="434" t="s">
        <v>115</v>
      </c>
      <c r="H26" s="323">
        <f>DATA!BG4</f>
        <v/>
      </c>
      <c r="Q26" s="428">
        <f>DATA!BG2</f>
        <v/>
      </c>
      <c r="S26" s="435">
        <f>DATA!BG1</f>
        <v/>
      </c>
      <c r="T26" s="323">
        <f>IF(DATA!BG3&gt;0,DATA!BG3,IF(DATA!BG3=0," "))</f>
        <v/>
      </c>
      <c r="U26" s="416" t="n"/>
      <c r="V26" s="437" t="s">
        <v>116</v>
      </c>
      <c r="AA26" s="416" t="n"/>
      <c r="AB26" s="428">
        <f>SUM(AB24:AD24)</f>
        <v/>
      </c>
      <c r="AE26" s="416" t="n"/>
      <c r="AF26" s="438">
        <f>DATA!E7</f>
        <v/>
      </c>
    </row>
    <row customHeight="1" ht="3" r="27" s="334" spans="1:33">
      <c r="A27" s="439" t="n"/>
      <c r="B27" s="439" t="n"/>
      <c r="C27" s="439" t="n"/>
      <c r="D27" s="439" t="n"/>
      <c r="E27" s="439" t="n"/>
      <c r="F27" s="439" t="n"/>
      <c r="G27" s="439" t="n"/>
      <c r="H27" s="439" t="n"/>
      <c r="I27" s="439" t="n"/>
      <c r="J27" s="439" t="n"/>
      <c r="K27" s="439" t="n"/>
      <c r="L27" s="439" t="n"/>
      <c r="M27" s="439" t="n"/>
      <c r="N27" s="439" t="n"/>
      <c r="O27" s="439" t="n"/>
      <c r="P27" s="439" t="n"/>
      <c r="Q27" s="439" t="n"/>
      <c r="R27" s="439" t="n"/>
      <c r="S27" s="439" t="n"/>
      <c r="T27" s="439" t="n"/>
      <c r="U27" s="439" t="n"/>
      <c r="V27" s="421" t="n"/>
      <c r="Y27" s="439" t="n"/>
      <c r="Z27" s="439" t="n"/>
      <c r="AA27" s="439" t="n"/>
      <c r="AB27" s="421" t="n"/>
      <c r="AD27" s="439" t="n"/>
      <c r="AE27" s="439" t="n"/>
      <c r="AF27" s="439" t="n"/>
      <c r="AG27" s="439" t="n"/>
    </row>
    <row customHeight="1" ht="12.75" r="28" s="334" spans="1:33">
      <c r="A28" s="440" t="s">
        <v>117</v>
      </c>
    </row>
    <row customHeight="1" ht="28.5" r="29" s="334" spans="1:33">
      <c r="A29" s="441" t="n"/>
      <c r="Q29" s="442">
        <f>UPPER(DATA!B5)</f>
        <v/>
      </c>
      <c r="S29" s="443" t="n"/>
      <c r="T29" s="442">
        <f>UPPER(DATA!B6)</f>
        <v/>
      </c>
      <c r="W29" s="443" t="n"/>
      <c r="X29" s="442" t="n"/>
      <c r="AC29" s="444" t="n"/>
    </row>
    <row customHeight="1" ht="12.75" r="30" s="334" spans="1:33">
      <c r="Q30" s="445" t="s">
        <v>118</v>
      </c>
      <c r="T30" s="445" t="s">
        <v>119</v>
      </c>
      <c r="X30" s="445" t="s">
        <v>120</v>
      </c>
    </row>
  </sheetData>
  <sheetProtection autoFilter="1" deleteColumns="1" deleteRows="1" formatCells="1" formatColumns="1" formatRows="1" insertColumns="1" insertHyperlinks="1" insertRows="1" objects="0" password="b816" pivotTables="1" scenarios="0" selectLockedCells="1" selectUnlockedCells="1" sheet="1" sort="1"/>
  <mergeCells count="85">
    <mergeCell ref="A1:D1"/>
    <mergeCell ref="E1:T1"/>
    <mergeCell ref="U1:AG1"/>
    <mergeCell ref="A2:P2"/>
    <mergeCell ref="Q2:T2"/>
    <mergeCell ref="U2:AG3"/>
    <mergeCell ref="A3:P3"/>
    <mergeCell ref="Q3:T3"/>
    <mergeCell ref="A4:P5"/>
    <mergeCell ref="Q4:T5"/>
    <mergeCell ref="V4:V5"/>
    <mergeCell ref="W4:X5"/>
    <mergeCell ref="Z4:Z5"/>
    <mergeCell ref="AA4:AE5"/>
    <mergeCell ref="AF4:AF5"/>
    <mergeCell ref="AG4:AG5"/>
    <mergeCell ref="A6:P7"/>
    <mergeCell ref="Q6:T7"/>
    <mergeCell ref="V6:X8"/>
    <mergeCell ref="Z6:AD8"/>
    <mergeCell ref="AF6:AG8"/>
    <mergeCell ref="A8:K8"/>
    <mergeCell ref="L8:R8"/>
    <mergeCell ref="B9:P10"/>
    <mergeCell ref="Q9:T9"/>
    <mergeCell ref="W9:X9"/>
    <mergeCell ref="AC9:AD9"/>
    <mergeCell ref="V10:W10"/>
    <mergeCell ref="AB10:AC10"/>
    <mergeCell ref="AF10:AG10"/>
    <mergeCell ref="V11:W11"/>
    <mergeCell ref="AB11:AC11"/>
    <mergeCell ref="V12:W12"/>
    <mergeCell ref="AB12:AC12"/>
    <mergeCell ref="V13:W13"/>
    <mergeCell ref="AB13:AC13"/>
    <mergeCell ref="V14:W14"/>
    <mergeCell ref="AB14:AC14"/>
    <mergeCell ref="V15:W15"/>
    <mergeCell ref="AB15:AC15"/>
    <mergeCell ref="V16:W16"/>
    <mergeCell ref="AB16:AC16"/>
    <mergeCell ref="V17:W17"/>
    <mergeCell ref="AB17:AC17"/>
    <mergeCell ref="V18:W18"/>
    <mergeCell ref="AB18:AC18"/>
    <mergeCell ref="V19:W19"/>
    <mergeCell ref="AB19:AC19"/>
    <mergeCell ref="V20:W20"/>
    <mergeCell ref="AB20:AC20"/>
    <mergeCell ref="V21:W21"/>
    <mergeCell ref="AB21:AC21"/>
    <mergeCell ref="V22:W22"/>
    <mergeCell ref="AB22:AC22"/>
    <mergeCell ref="V23:W23"/>
    <mergeCell ref="AB23:AC23"/>
    <mergeCell ref="A24:G24"/>
    <mergeCell ref="H24:I24"/>
    <mergeCell ref="J24:T24"/>
    <mergeCell ref="V24:Z25"/>
    <mergeCell ref="AB24:AC25"/>
    <mergeCell ref="AD24:AD25"/>
    <mergeCell ref="A25:G25"/>
    <mergeCell ref="H25:P25"/>
    <mergeCell ref="Q25:R25"/>
    <mergeCell ref="AF25:AG25"/>
    <mergeCell ref="A26:G26"/>
    <mergeCell ref="H26:P26"/>
    <mergeCell ref="Q26:R26"/>
    <mergeCell ref="V26:Z26"/>
    <mergeCell ref="AB26:AD26"/>
    <mergeCell ref="AF26:AG26"/>
    <mergeCell ref="V27:X27"/>
    <mergeCell ref="AB27:AC27"/>
    <mergeCell ref="A28:AG28"/>
    <mergeCell ref="A29:P30"/>
    <mergeCell ref="Q29:R29"/>
    <mergeCell ref="S29:S30"/>
    <mergeCell ref="T29:V29"/>
    <mergeCell ref="W29:W30"/>
    <mergeCell ref="X29:AB29"/>
    <mergeCell ref="AC29:AG30"/>
    <mergeCell ref="Q30:R30"/>
    <mergeCell ref="T30:V30"/>
    <mergeCell ref="X30:AB30"/>
  </mergeCells>
  <printOptions gridLines="0" gridLinesSet="1" headings="0" horizontalCentered="0" verticalCentered="0"/>
  <pageMargins bottom="0.75" footer="0.3" header="0.3" left="0.7" right="0.7" top="0.75"/>
  <pageSetup blackAndWhite="0" copies="1" draft="0" firstPageNumber="0" fitToHeight="1" fitToWidth="1" horizontalDpi="300" orientation="landscape" pageOrder="downThenOver" paperSize="5" scale="80" useFirstPageNumber="0" verticalDpi="300"/>
  <headerFooter differentFirst="0" differentOddEven="0">
    <oddHeader>&amp;R&amp;8 This form maybe reproduced and is NOT FOR SALE</oddHeader>
    <oddFooter>&amp;L&amp;"Arial,Italic"&amp;6 marc punzalan&amp;C&amp;"Arial,Bold"&amp;8 PLEASE READ INSTRUCTIONS (FOR EACH NUMBERED BOX) AT THE BACK BEFORE ACCOMPLISHING THIS FORM&amp;R&amp;"Arial,Bold"&amp;8 | 17 |  PAGE  &amp;P OF &amp;N PAGES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MARC N. PUNZALAN</dc:creator>
  <dc:title xmlns:dc="http://purl.org/dc/elements/1.1/">RF1 MONTHLY</dc:title>
  <dc:description xmlns:dc="http://purl.org/dc/elements/1.1/">COMMENTS AND SUGGESTIONS 
IM: philhealth_ncr_central@hotmail.com
EMAIL: contri.proqc@philhealth.gov.ph
OR CONTACT 637-9999 LOC 1410</dc:description>
  <dc:subject xmlns:dc="http://purl.org/dc/elements/1.1/">RF1</dc:subject>
  <dc:language xmlns:dc="http://purl.org/dc/elements/1.1/">en-PH</dc:language>
  <dcterms:created xmlns:dcterms="http://purl.org/dc/terms/" xmlns:xsi="http://www.w3.org/2001/XMLSchema-instance" xsi:type="dcterms:W3CDTF">2001-05-24T23:33:06Z</dcterms:created>
  <dcterms:modified xmlns:dcterms="http://purl.org/dc/terms/" xmlns:xsi="http://www.w3.org/2001/XMLSchema-instance" xsi:type="dcterms:W3CDTF">2018-11-10T14:10:14Z</dcterms:modified>
  <cp:revision>2</cp:revision>
  <cp:lastPrinted>2012-03-05T14:32:52Z</cp:lastPrinted>
</cp:coreProperties>
</file>