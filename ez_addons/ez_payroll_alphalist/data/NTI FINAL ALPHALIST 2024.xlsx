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9FCB2E2-2E6C-437C-80F4-D388785F240E}" xr6:coauthVersionLast="47" xr6:coauthVersionMax="47" xr10:uidLastSave="{00000000-0000-0000-0000-000000000000}"/>
  <bookViews>
    <workbookView xWindow="-24705" yWindow="503" windowWidth="23857" windowHeight="13830" xr2:uid="{BCC1AB5C-8473-46E8-BF64-99F21F696796}"/>
  </bookViews>
  <sheets>
    <sheet name="Sheet1" sheetId="1" r:id="rId1"/>
  </sheets>
  <definedNames>
    <definedName name="_xlnm._FilterDatabase" localSheetId="0" hidden="1">Sheet1!$A$16:$AO$16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8" i="1" l="1"/>
  <c r="I528" i="1"/>
  <c r="J528" i="1"/>
  <c r="K528" i="1"/>
  <c r="L528" i="1"/>
  <c r="M528" i="1"/>
  <c r="N528" i="1"/>
  <c r="O528" i="1"/>
  <c r="P528" i="1"/>
  <c r="Q528" i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</calcChain>
</file>

<file path=xl/sharedStrings.xml><?xml version="1.0" encoding="utf-8"?>
<sst xmlns="http://schemas.openxmlformats.org/spreadsheetml/2006/main" count="4341" uniqueCount="1155">
  <si>
    <t>BIR FORM 1604C - SCHEDULE 1</t>
  </si>
  <si>
    <t>ALPHABETICAL LIST EMPLOYEES (Declared and Certified using BIR Form No. 2316)</t>
  </si>
  <si>
    <t>AS OF DECEMBER 31,2024</t>
  </si>
  <si>
    <t>TIN : 245331004-0000</t>
  </si>
  <si>
    <t>P   R   E   S   E   N   T     E   M   P   L   O   Y   E   R</t>
  </si>
  <si>
    <t>SEQ</t>
  </si>
  <si>
    <t>NO</t>
  </si>
  <si>
    <t>(1)</t>
  </si>
  <si>
    <t>NAME OF EMPLOYEES</t>
  </si>
  <si>
    <t>(Last Name, First Name, Middle Name)</t>
  </si>
  <si>
    <t>(2a)(2b)(2c)</t>
  </si>
  <si>
    <t>NATIONALITY/</t>
  </si>
  <si>
    <t>RESIDENT</t>
  </si>
  <si>
    <t>(for foreigners only)</t>
  </si>
  <si>
    <t>(3)</t>
  </si>
  <si>
    <t xml:space="preserve">CURRENT EMPLOYMENT </t>
  </si>
  <si>
    <t>STATUS (*)</t>
  </si>
  <si>
    <t>(4)</t>
  </si>
  <si>
    <t>EMPLOYMENT</t>
  </si>
  <si>
    <t>From</t>
  </si>
  <si>
    <t>To</t>
  </si>
  <si>
    <t>(5a)</t>
  </si>
  <si>
    <t>(5b)</t>
  </si>
  <si>
    <t>REASON OF</t>
  </si>
  <si>
    <t>SEPARATION (**)</t>
  </si>
  <si>
    <t>(6)</t>
  </si>
  <si>
    <t>GROSS</t>
  </si>
  <si>
    <t>COMPENSATION</t>
  </si>
  <si>
    <t>INCOME</t>
  </si>
  <si>
    <t>(present employer)</t>
  </si>
  <si>
    <t>7a=(7f+7j)</t>
  </si>
  <si>
    <t>N  O  N    -   T  A  X  A  B  L  E</t>
  </si>
  <si>
    <t>13th MONTH PAY</t>
  </si>
  <si>
    <t>&amp; OTHER BENEFITS</t>
  </si>
  <si>
    <t>(7b)</t>
  </si>
  <si>
    <t>DE MINIMIS</t>
  </si>
  <si>
    <t>BENEFITS</t>
  </si>
  <si>
    <t>(7c)</t>
  </si>
  <si>
    <t>SSS, GSIS, PHIC &amp;</t>
  </si>
  <si>
    <t>PAG-IBIG CONTRIBUTIONS</t>
  </si>
  <si>
    <t>AND UNION DUES</t>
  </si>
  <si>
    <t>(employees share only)</t>
  </si>
  <si>
    <t>(7d)</t>
  </si>
  <si>
    <t xml:space="preserve">SALARIES (P250K &amp; below) &amp; </t>
  </si>
  <si>
    <t>OTHER FORMS OF</t>
  </si>
  <si>
    <t>(7e)</t>
  </si>
  <si>
    <t>TOTAL</t>
  </si>
  <si>
    <t>NON-TAXABLE/EXEMPT</t>
  </si>
  <si>
    <t>COMPENSATION INCOME</t>
  </si>
  <si>
    <t>7f=(7b+7c+7d+7e)</t>
  </si>
  <si>
    <t>T  A  X  A  B  L  E</t>
  </si>
  <si>
    <t>BASIC SALARY</t>
  </si>
  <si>
    <t>(Net of SSS,GSIS,PHIC,</t>
  </si>
  <si>
    <t>HDMF Contri &amp; Union Dues)</t>
  </si>
  <si>
    <t>(7g)</t>
  </si>
  <si>
    <t>(In excess of Threshold)</t>
  </si>
  <si>
    <t>(7h)</t>
  </si>
  <si>
    <t>SALARIES &amp; OTHER</t>
  </si>
  <si>
    <t>FORMS OF</t>
  </si>
  <si>
    <t>(7i)</t>
  </si>
  <si>
    <t>TOTAL TAXABLE</t>
  </si>
  <si>
    <t>7j=(7g+7h+7i)</t>
  </si>
  <si>
    <t>P   R   E   V   I   O   U   S     E   M   P   L   O   Y   E   R</t>
  </si>
  <si>
    <t>TAXPAYER</t>
  </si>
  <si>
    <t>IDENTIFICATION</t>
  </si>
  <si>
    <t>NUMBER</t>
  </si>
  <si>
    <t>(8)</t>
  </si>
  <si>
    <t xml:space="preserve">EMPLOYMENT </t>
  </si>
  <si>
    <t>(9)</t>
  </si>
  <si>
    <t>PERIOD OF</t>
  </si>
  <si>
    <t>(10a)</t>
  </si>
  <si>
    <t>(10b)</t>
  </si>
  <si>
    <t>SEPARATION, if applicable (**)</t>
  </si>
  <si>
    <t>(11)</t>
  </si>
  <si>
    <t>PREVIOUS EMPLOYER</t>
  </si>
  <si>
    <t>12a=(12f+12j)</t>
  </si>
  <si>
    <t>(12b)</t>
  </si>
  <si>
    <t>(12c)</t>
  </si>
  <si>
    <t>(12d)</t>
  </si>
  <si>
    <t>(12e)</t>
  </si>
  <si>
    <t>TOTAL NON-TAXABLE/</t>
  </si>
  <si>
    <t>EXEMPT COMPENSATION(Previous Employer)</t>
  </si>
  <si>
    <t>12f=(12b+12c+12d+12e)</t>
  </si>
  <si>
    <t>(12g)</t>
  </si>
  <si>
    <t>(12h)</t>
  </si>
  <si>
    <t>(12i)</t>
  </si>
  <si>
    <t>(previous employer)</t>
  </si>
  <si>
    <t>12j=(12g+12h+12i)</t>
  </si>
  <si>
    <t>(Present and</t>
  </si>
  <si>
    <t>Previous Employer)</t>
  </si>
  <si>
    <t>13=(7j+12j)</t>
  </si>
  <si>
    <t>TAX DUE</t>
  </si>
  <si>
    <t>(Jan. - Dec.)</t>
  </si>
  <si>
    <t>(14)</t>
  </si>
  <si>
    <t>TAX WITHHELD</t>
  </si>
  <si>
    <t>(Jan. - Nov.)</t>
  </si>
  <si>
    <t>(15a)</t>
  </si>
  <si>
    <t>PRESENT EMPLOYER</t>
  </si>
  <si>
    <t>(15b)</t>
  </si>
  <si>
    <t>5% Tax Credit</t>
  </si>
  <si>
    <t>(PERA Act of 2008)</t>
  </si>
  <si>
    <t>(16)</t>
  </si>
  <si>
    <t>Y E A R - E N D   A D J U S T M E N T (16a or 16b)</t>
  </si>
  <si>
    <t>AMT WITHHELD AND PAID FOR IN DECEMBER OR LAST SALARY</t>
  </si>
  <si>
    <t>&amp; PAID FOR IN</t>
  </si>
  <si>
    <t>DECEMBER or Last Salary</t>
  </si>
  <si>
    <t>17a=14-(15a+15b)-16</t>
  </si>
  <si>
    <t>OVER</t>
  </si>
  <si>
    <t>WITHHELD TAX</t>
  </si>
  <si>
    <t>REFUNDED TO</t>
  </si>
  <si>
    <t>EMPLOYEE</t>
  </si>
  <si>
    <t>17b=(15a+15b)-14</t>
  </si>
  <si>
    <t>AMOUNT OF TAX</t>
  </si>
  <si>
    <t>WITHHELD AS</t>
  </si>
  <si>
    <t>ADJUSTED</t>
  </si>
  <si>
    <t>18=(15a+15b+16+17a)</t>
  </si>
  <si>
    <t>OR (15a+15b+16-17b)</t>
  </si>
  <si>
    <t>SUBSTITUTED FILING</t>
  </si>
  <si>
    <t>YES/NO</t>
  </si>
  <si>
    <t>***</t>
  </si>
  <si>
    <t>(19)</t>
  </si>
  <si>
    <t>------------------------------</t>
  </si>
  <si>
    <t xml:space="preserve">MANUEL, PRISCILLO JOSE GUEVARRA                                                              </t>
  </si>
  <si>
    <t xml:space="preserve">FILIPINO                      </t>
  </si>
  <si>
    <t xml:space="preserve">R </t>
  </si>
  <si>
    <t xml:space="preserve">T </t>
  </si>
  <si>
    <t>351-340-287-0000</t>
  </si>
  <si>
    <t>N</t>
  </si>
  <si>
    <t xml:space="preserve">DEL CASTILLO, KEARLLAN AEYMARD MENDIOLA                                                      </t>
  </si>
  <si>
    <t>395-151-551-0000</t>
  </si>
  <si>
    <t xml:space="preserve">TIBURCIO, JEYCELLE MAGNAMPO                                                                  </t>
  </si>
  <si>
    <t>315-908-789-0000</t>
  </si>
  <si>
    <t xml:space="preserve">POMER, JEREMY LEMUEL HACINAS                                                                 </t>
  </si>
  <si>
    <t>337-796-026-0000</t>
  </si>
  <si>
    <t xml:space="preserve">JABAL, RINALYN IVY LUCI                                                                      </t>
  </si>
  <si>
    <t>746-692-605-0000</t>
  </si>
  <si>
    <t xml:space="preserve">DEQUITO, JOHN EZEQUIEL PINEDA                                                                </t>
  </si>
  <si>
    <t>629-887-814-0000</t>
  </si>
  <si>
    <t xml:space="preserve">GOMEZ, LEONOR THEL SUYAT                                                                     </t>
  </si>
  <si>
    <t>749-110-213-0000</t>
  </si>
  <si>
    <t xml:space="preserve">SENA, JOHN MARK LUMBRIA                                                                      </t>
  </si>
  <si>
    <t>363-942-956-0000</t>
  </si>
  <si>
    <t xml:space="preserve">GAPOL, ROBESPIERRE VIOLETA                                                                   </t>
  </si>
  <si>
    <t>346-302-060-0000</t>
  </si>
  <si>
    <t xml:space="preserve">GONZALES, JAYZEL ANN VIBORA                                                                  </t>
  </si>
  <si>
    <t>370-322-847-0000</t>
  </si>
  <si>
    <t xml:space="preserve">CARAS, CHESTER LAWRENCE DEQUINA                                                              </t>
  </si>
  <si>
    <t>226-351-581-0000</t>
  </si>
  <si>
    <t xml:space="preserve">BALDERAMA, CHRISTIAN ANGELES                                                                 </t>
  </si>
  <si>
    <t>494-099-316-0000</t>
  </si>
  <si>
    <t xml:space="preserve">RIVERA, JOSEPH BADANA                                                                        </t>
  </si>
  <si>
    <t>246-556-312-0000</t>
  </si>
  <si>
    <t xml:space="preserve">TIENZO, JENNIEFER LUMAG                                                                      </t>
  </si>
  <si>
    <t>257-392-148-0000</t>
  </si>
  <si>
    <t xml:space="preserve">ALARCON, LAURO JR. BUSTILLO                                                                  </t>
  </si>
  <si>
    <t>280-917-655-0000</t>
  </si>
  <si>
    <t xml:space="preserve">FERNANDEZ, JED EMERY SANTOS                                                                  </t>
  </si>
  <si>
    <t>353-082-417-0000</t>
  </si>
  <si>
    <t xml:space="preserve">BEDES, FRANCIS JAY PERDON                                                                    </t>
  </si>
  <si>
    <t>758-836-114-0000</t>
  </si>
  <si>
    <t xml:space="preserve">SALCEDO, CHRISTIAN RAE MARTICIO                                                              </t>
  </si>
  <si>
    <t>395-149-428-0000</t>
  </si>
  <si>
    <t xml:space="preserve">DENOGA, MARIA KRISTINA COBARRUBIAS                                                           </t>
  </si>
  <si>
    <t>170-512-738-0000</t>
  </si>
  <si>
    <t xml:space="preserve">RAMOS, KENNETH BRYAN REYES                                                                   </t>
  </si>
  <si>
    <t>708-915-195-0000</t>
  </si>
  <si>
    <t xml:space="preserve">LIM, KIMBERLY DE LEON                                                                        </t>
  </si>
  <si>
    <t>479-114-310-0000</t>
  </si>
  <si>
    <t xml:space="preserve">BUNO, MYRISH JOY MANALO                                                                      </t>
  </si>
  <si>
    <t>333-118-898-0000</t>
  </si>
  <si>
    <t xml:space="preserve">DIONISIO III, PAUL MENDOZA                                                                   </t>
  </si>
  <si>
    <t>281-124-042-0000</t>
  </si>
  <si>
    <t xml:space="preserve">LAUDEREZ, CRISPIN LONGARA                                                                    </t>
  </si>
  <si>
    <t>717-155-753-0000</t>
  </si>
  <si>
    <t xml:space="preserve">TUIBEO, JOHN JOSEPH IBUIG                                                                    </t>
  </si>
  <si>
    <t>434-905-361-0000</t>
  </si>
  <si>
    <t xml:space="preserve">CONCEPCION, EDWARD DENNIS JAMILLARIN                                                         </t>
  </si>
  <si>
    <t xml:space="preserve">P </t>
  </si>
  <si>
    <t>188-317-392-0000</t>
  </si>
  <si>
    <t xml:space="preserve">DE JESUS, EMMA LAURON                                                                        </t>
  </si>
  <si>
    <t>904-629-143-0000</t>
  </si>
  <si>
    <t xml:space="preserve">RAGAY, MARK ANTHONY DACLES                                                                   </t>
  </si>
  <si>
    <t>348-404-889-0000</t>
  </si>
  <si>
    <t xml:space="preserve">DIOCAMPO, ZANDRO LANUZA                                                                      </t>
  </si>
  <si>
    <t>620-853-996-0000</t>
  </si>
  <si>
    <t xml:space="preserve">LUMBA, JAMES BERLIN DAMASCO                                                                  </t>
  </si>
  <si>
    <t>727-789-261-0000</t>
  </si>
  <si>
    <t xml:space="preserve">CANDELARIA, LIMUEL FERNANDEZ                                                                 </t>
  </si>
  <si>
    <t>408-940-592-0000</t>
  </si>
  <si>
    <t xml:space="preserve">SABELLANO, JHAMES NUQUE                                                                      </t>
  </si>
  <si>
    <t>636-448-043-0000</t>
  </si>
  <si>
    <t xml:space="preserve">BAGUIO, KYLE GREFFIN                                                                         </t>
  </si>
  <si>
    <t>381-696-817-0000</t>
  </si>
  <si>
    <t xml:space="preserve">INGRESO, EVANGELINE POSTRADO                                                                 </t>
  </si>
  <si>
    <t>393-004-455-0000</t>
  </si>
  <si>
    <t xml:space="preserve">SALIK, FAHAMUDDIN SALIK                                                                      </t>
  </si>
  <si>
    <t>743-782-927-0000</t>
  </si>
  <si>
    <t xml:space="preserve">BIBAT, MARK JED CERDAN                                                                       </t>
  </si>
  <si>
    <t>742-492-211-0000</t>
  </si>
  <si>
    <t xml:space="preserve">TURADO, JAN KEVIN TACORDO                                                                    </t>
  </si>
  <si>
    <t>453-471-345-0000</t>
  </si>
  <si>
    <t xml:space="preserve">CATANDUANES, LEONALYN LLANES                                                                 </t>
  </si>
  <si>
    <t>345-301-801-0000</t>
  </si>
  <si>
    <t xml:space="preserve">DELLOSA, JEROME FLOR BLANCO                                                                  </t>
  </si>
  <si>
    <t>344-709-039-0000</t>
  </si>
  <si>
    <t xml:space="preserve">DEL ROSARIO, ROMELLA MAE NICASIO                                                             </t>
  </si>
  <si>
    <t>354-032-755-0000</t>
  </si>
  <si>
    <t xml:space="preserve">MASARATE, ANNE JANINE ANONUEVO                                                               </t>
  </si>
  <si>
    <t>470-890-037-0000</t>
  </si>
  <si>
    <t xml:space="preserve">TANYAG, ALYSSA MAE MARINAS                                                                   </t>
  </si>
  <si>
    <t>353-258-505-0000</t>
  </si>
  <si>
    <t xml:space="preserve">MEDALLA, CHARLOTTE OYAO                                                                      </t>
  </si>
  <si>
    <t>635-551-806-0000</t>
  </si>
  <si>
    <t xml:space="preserve">TUA, ALJIZA ALBERCA                                                                          </t>
  </si>
  <si>
    <t>636-448-487-0000</t>
  </si>
  <si>
    <t xml:space="preserve">BAGSIT, IVAN JUNEL ARTEZA                                                                    </t>
  </si>
  <si>
    <t>731-403-898-0000</t>
  </si>
  <si>
    <t xml:space="preserve">ISIP, CARRISSA JOY MANGILA                                                                   </t>
  </si>
  <si>
    <t>363-940-251-0000</t>
  </si>
  <si>
    <t xml:space="preserve">ERAMIS, CHARREL JAME MODELO                                                                  </t>
  </si>
  <si>
    <t>494-920-513-0000</t>
  </si>
  <si>
    <t xml:space="preserve">ANAJAO, JOSE LEANDRINO LOSANTO                                                               </t>
  </si>
  <si>
    <t>636-461-080-0000</t>
  </si>
  <si>
    <t xml:space="preserve">GARCIA, JEN CARREN JESSICA CASTILLO                                                          </t>
  </si>
  <si>
    <t>746-914-750-0000</t>
  </si>
  <si>
    <t xml:space="preserve">ROBERTO, JOHN CARLO DE VERA                                                                  </t>
  </si>
  <si>
    <t>758-594-787-0000</t>
  </si>
  <si>
    <t xml:space="preserve">HOSENILLA, HEROO MAYUYO                                                                      </t>
  </si>
  <si>
    <t>636-444-898-0000</t>
  </si>
  <si>
    <t xml:space="preserve">FLORES, RICKY DELOS SANTOS                                                                   </t>
  </si>
  <si>
    <t>636-453-629-0000</t>
  </si>
  <si>
    <t xml:space="preserve">DIOSE, PRECIOUS CLAIRE PEREZ                                                                 </t>
  </si>
  <si>
    <t>377-882-599-0000</t>
  </si>
  <si>
    <t xml:space="preserve">PAUNAN, JERIKO LORENZO GOMEZ                                                                 </t>
  </si>
  <si>
    <t>601-631-854-0000</t>
  </si>
  <si>
    <t xml:space="preserve">GALANG, ELIJAH SEAN MIRANDA                                                                  </t>
  </si>
  <si>
    <t>500-388-354-0000</t>
  </si>
  <si>
    <t xml:space="preserve">SAMODIO, ROZAN DEL ROSARIO                                                                   </t>
  </si>
  <si>
    <t>322-123-329-0000</t>
  </si>
  <si>
    <t xml:space="preserve">REBLANDO, CHRISTIAN BENEDICT                                                                 </t>
  </si>
  <si>
    <t>356-305-375-0000</t>
  </si>
  <si>
    <t xml:space="preserve">ARROBIO, ANNE CLARA BAUTISTA                                                                 </t>
  </si>
  <si>
    <t>341-092-663-0000</t>
  </si>
  <si>
    <t xml:space="preserve">CLARO, ELMORE JOHANNE OSORMAN                                                                </t>
  </si>
  <si>
    <t>006-253-868-0000</t>
  </si>
  <si>
    <t xml:space="preserve">MALPAL, MARIAN TRIGO                                                                         </t>
  </si>
  <si>
    <t>337-403-515-0000</t>
  </si>
  <si>
    <t xml:space="preserve">BOSI, DOMINGO JR. NUNALA                                                                     </t>
  </si>
  <si>
    <t>217-363-325-0000</t>
  </si>
  <si>
    <t xml:space="preserve">SAAVEDRA, MIGUEL ZENON NICANOR LERIAS                                                        </t>
  </si>
  <si>
    <t>347-363-656-0000</t>
  </si>
  <si>
    <t xml:space="preserve">BINUYA, JOHN ALLEN TARGA                                                                     </t>
  </si>
  <si>
    <t>427-503-804-0000</t>
  </si>
  <si>
    <t xml:space="preserve">FONSECA, AUSTIN BERT MAURICIO                                                                </t>
  </si>
  <si>
    <t>636-453-314-0000</t>
  </si>
  <si>
    <t xml:space="preserve">ESTAYO, YSMAEL TRINIDAD                                                                      </t>
  </si>
  <si>
    <t>227-668-238-0000</t>
  </si>
  <si>
    <t xml:space="preserve">VALLESER, FRANCES MAE MALABANAN                                                              </t>
  </si>
  <si>
    <t>382-597-375-0000</t>
  </si>
  <si>
    <t xml:space="preserve">SANTOS, MIGUEL FERDINAND TRINIDAD                                                            </t>
  </si>
  <si>
    <t>738-347-233-0000</t>
  </si>
  <si>
    <t xml:space="preserve">VENTURA, MARC ADRIANNE BARTOLO                                                               </t>
  </si>
  <si>
    <t>505-858-137-0000</t>
  </si>
  <si>
    <t xml:space="preserve">BELGA, ALBERT RYAN LIM                                                                       </t>
  </si>
  <si>
    <t>439-937-027-0000</t>
  </si>
  <si>
    <t xml:space="preserve">BULANDUS, TRISTAN LINING                                                                     </t>
  </si>
  <si>
    <t>272-935-185-0000</t>
  </si>
  <si>
    <t xml:space="preserve">LUMACAD, JAKOB RAFAEL JACOB                                                                  </t>
  </si>
  <si>
    <t>755-200-746-0000</t>
  </si>
  <si>
    <t xml:space="preserve">AMINO, MICHAEL ANGELO MAGLASANG                                                              </t>
  </si>
  <si>
    <t>743-278-932-0000</t>
  </si>
  <si>
    <t xml:space="preserve">BIAY, MARC ANTHONY MANAOIS                                                                   </t>
  </si>
  <si>
    <t>285-031-332-0000</t>
  </si>
  <si>
    <t xml:space="preserve">ESTANISLAO, ALYSSA BEATRICE BORROMEO                                                         </t>
  </si>
  <si>
    <t>333-480-846-0000</t>
  </si>
  <si>
    <t xml:space="preserve">SAMSON, PAUL WISDOM CABAYACRUZ                                                               </t>
  </si>
  <si>
    <t>726-360-927-0000</t>
  </si>
  <si>
    <t xml:space="preserve">PARES, MARIEL VELARDE                                                                        </t>
  </si>
  <si>
    <t>464-407-343-0000</t>
  </si>
  <si>
    <t xml:space="preserve">ULABO, ALDRICH JOHNE RAMOS                                                                   </t>
  </si>
  <si>
    <t>778-396-709-0000</t>
  </si>
  <si>
    <t xml:space="preserve">SIOBAL, AEON JOSHUA SANTOS                                                                   </t>
  </si>
  <si>
    <t>355-624-764-0000</t>
  </si>
  <si>
    <t xml:space="preserve">LAMAGNA, POCHOLO RENZO DE GUZMAN                                                             </t>
  </si>
  <si>
    <t>745-292-330-0000</t>
  </si>
  <si>
    <t xml:space="preserve">CHAN, LAWRENCE ANGELO                                                                        </t>
  </si>
  <si>
    <t>340-111-438-0000</t>
  </si>
  <si>
    <t xml:space="preserve">OMANDAM, CARL JEREMY ARCINAL                                                                 </t>
  </si>
  <si>
    <t>347-281-124-0000</t>
  </si>
  <si>
    <t xml:space="preserve">BALAIS, RENZ DOMINIQUE                                                                       </t>
  </si>
  <si>
    <t>721-086-532-0000</t>
  </si>
  <si>
    <t xml:space="preserve">PAMINTUAN, AERONE GUZMAN                                                                     </t>
  </si>
  <si>
    <t>769-310-346-0000</t>
  </si>
  <si>
    <t xml:space="preserve">ALA, PRINCES ANN LINGA                                                                       </t>
  </si>
  <si>
    <t>324-313-390-0000</t>
  </si>
  <si>
    <t xml:space="preserve">MACALINAO, NIKKO CASTRO                                                                      </t>
  </si>
  <si>
    <t>347-189-967-0000</t>
  </si>
  <si>
    <t xml:space="preserve">REY, AMLYN MELENDEZ                                                                          </t>
  </si>
  <si>
    <t>400-250-627-0000</t>
  </si>
  <si>
    <t xml:space="preserve">DE LEON, TIMOTHY PAUL CALLOPE                                                                </t>
  </si>
  <si>
    <t>319-607-521-0000</t>
  </si>
  <si>
    <t xml:space="preserve">TORIADO, SEA CANCINO                                                                         </t>
  </si>
  <si>
    <t>456-461-906-0000</t>
  </si>
  <si>
    <t xml:space="preserve">TOLEDANA, JHOANNA ROSE TULOD                                                                 </t>
  </si>
  <si>
    <t>777-106-680-0000</t>
  </si>
  <si>
    <t xml:space="preserve">ARCHIVAL, KEIFER LOUIS BUOT                                                                  </t>
  </si>
  <si>
    <t>315-606-655-0000</t>
  </si>
  <si>
    <t xml:space="preserve">MULANO, KRISZIA ESTACIO                                                                      </t>
  </si>
  <si>
    <t>346-672-609-0000</t>
  </si>
  <si>
    <t xml:space="preserve">TABORA, ARIANNE PATRICIA REYES                                                               </t>
  </si>
  <si>
    <t>359-802-544-0000</t>
  </si>
  <si>
    <t xml:space="preserve">BAUTISTA, JUERGEN ROI YAMBAO                                                                 </t>
  </si>
  <si>
    <t>340-206-154-0000</t>
  </si>
  <si>
    <t xml:space="preserve">BUNDOC, GERMAINE DIANE REYES                                                                 </t>
  </si>
  <si>
    <t>340-401-261-0000</t>
  </si>
  <si>
    <t xml:space="preserve">DINO, FRANCINE ANN CLASARA                                                                   </t>
  </si>
  <si>
    <t>391-608-989-0000</t>
  </si>
  <si>
    <t xml:space="preserve">PAGENTE, PAUL EDWARD GERMAN                                                                  </t>
  </si>
  <si>
    <t>320-657-692-0000</t>
  </si>
  <si>
    <t xml:space="preserve">CIPRES, JUDY ANNE                                                                            </t>
  </si>
  <si>
    <t>495-506-513-0000</t>
  </si>
  <si>
    <t xml:space="preserve">BAUTISTA, ADRIELLE DEE                                                                       </t>
  </si>
  <si>
    <t>338-339-901-0000</t>
  </si>
  <si>
    <t xml:space="preserve">OSIT, JAM CARMI PEPITO                                                                       </t>
  </si>
  <si>
    <t>347-966-398-0000</t>
  </si>
  <si>
    <t xml:space="preserve">GARCIA, CLARK JOICE GARCIA                                                                   </t>
  </si>
  <si>
    <t>329-638-649-0000</t>
  </si>
  <si>
    <t xml:space="preserve">ESCAMILLAS, REYNIEL MARK TOQUERO                                                             </t>
  </si>
  <si>
    <t>635-242-483-0000</t>
  </si>
  <si>
    <t xml:space="preserve">DE JESUS, JOHNE NICOE BUAN                                                                   </t>
  </si>
  <si>
    <t>436-480-227-0000</t>
  </si>
  <si>
    <t xml:space="preserve">GONZALES, KRISEL DARIO                                                                       </t>
  </si>
  <si>
    <t>472-425-920-0000</t>
  </si>
  <si>
    <t xml:space="preserve">MEDRANO, JOHN RED SANGCAP                                                                    </t>
  </si>
  <si>
    <t>449-581-126-0000</t>
  </si>
  <si>
    <t xml:space="preserve">PEDROCHE, DEXTER CABATO                                                                      </t>
  </si>
  <si>
    <t>163-714-829-0000</t>
  </si>
  <si>
    <t xml:space="preserve">TABORA, RONALD SANTOS                                                                        </t>
  </si>
  <si>
    <t>247-177-940-0000</t>
  </si>
  <si>
    <t xml:space="preserve">CATINGCOY, PAUL JESSE BERTULFO                                                               </t>
  </si>
  <si>
    <t>499-864-089-0000</t>
  </si>
  <si>
    <t xml:space="preserve">NGUNGIE, DENNIS MAPULA                                                                       </t>
  </si>
  <si>
    <t>754-237-998-0000</t>
  </si>
  <si>
    <t xml:space="preserve">SAGUM, VINCE LENARD CEDRO                                                                    </t>
  </si>
  <si>
    <t>748-093-911-0000</t>
  </si>
  <si>
    <t xml:space="preserve">BRICENIO, CHINO NAPALAN                                                                      </t>
  </si>
  <si>
    <t>636-451-546-0000</t>
  </si>
  <si>
    <t xml:space="preserve">ADOVE, JOHN IRISH ANTHONY MENDOZA                                                            </t>
  </si>
  <si>
    <t>313-212-436-0000</t>
  </si>
  <si>
    <t xml:space="preserve">TIENZO, ALLAN SANDIEGO                                                                       </t>
  </si>
  <si>
    <t>217-090-191-0000</t>
  </si>
  <si>
    <t xml:space="preserve">CATURAN, JED CLAVERIA                                                                        </t>
  </si>
  <si>
    <t>613-828-821-0000</t>
  </si>
  <si>
    <t xml:space="preserve">BITANCOR, JUSTIN MOSES AQUINO                                                                </t>
  </si>
  <si>
    <t>337-690-944-0000</t>
  </si>
  <si>
    <t xml:space="preserve">CALDERON, ETHAN CRAIG BAYANI                                                                 </t>
  </si>
  <si>
    <t>375-701-523-0000</t>
  </si>
  <si>
    <t xml:space="preserve">ALCOBA, JEHRO FERNANDEZ                                                                      </t>
  </si>
  <si>
    <t>661-376-881-0000</t>
  </si>
  <si>
    <t xml:space="preserve">MEDINA, ARJAY ROI TUMAQUE                                                                    </t>
  </si>
  <si>
    <t>455-013-547-0000</t>
  </si>
  <si>
    <t xml:space="preserve">TAN, REY ANN TIMOTHY ISIP                                                                    </t>
  </si>
  <si>
    <t>395-151-448-0000</t>
  </si>
  <si>
    <t xml:space="preserve">DELA CRUZ, EDMON MADRONIO                                                                    </t>
  </si>
  <si>
    <t>609-012-045-0000</t>
  </si>
  <si>
    <t xml:space="preserve">DUENAS, STEPHEN HICY BUGAYONG                                                                </t>
  </si>
  <si>
    <t>328-558-098-0000</t>
  </si>
  <si>
    <t xml:space="preserve">YUTIGA, ARNEL NAZARIO                                                                        </t>
  </si>
  <si>
    <t>329-845-689-0000</t>
  </si>
  <si>
    <t xml:space="preserve">GENILSA, ERNIE GEMPESON                                                                      </t>
  </si>
  <si>
    <t>463-055-938-0000</t>
  </si>
  <si>
    <t xml:space="preserve">FAJARDO, THERESA RAMOS                                                                       </t>
  </si>
  <si>
    <t>501-034-453-0000</t>
  </si>
  <si>
    <t xml:space="preserve">STA. RITA, RICARDO BARROZO                                                                   </t>
  </si>
  <si>
    <t>215-006-569-0000</t>
  </si>
  <si>
    <t xml:space="preserve">CARIGARA, LYRENE ROSE MOLENO                                                                 </t>
  </si>
  <si>
    <t>338-155-872-0000</t>
  </si>
  <si>
    <t xml:space="preserve">ENALPE, EDGARDO JR. VALDEZ                                                                   </t>
  </si>
  <si>
    <t>742-829-610-0000</t>
  </si>
  <si>
    <t xml:space="preserve">ISRAEL, JOHN DAVID MIRANDA                                                                   </t>
  </si>
  <si>
    <t>362-528-400-0000</t>
  </si>
  <si>
    <t xml:space="preserve">GAMBOA, ERIKA BARANDA                                                                        </t>
  </si>
  <si>
    <t>621-071-345-0000</t>
  </si>
  <si>
    <t xml:space="preserve">REQUIOMA, JOSHUA YURI MANIGBAS                                                               </t>
  </si>
  <si>
    <t>701-508-080-0000</t>
  </si>
  <si>
    <t xml:space="preserve">GUAZON, BENJAMIN THOMAS PABLICO                                                              </t>
  </si>
  <si>
    <t>342-199-165-0000</t>
  </si>
  <si>
    <t xml:space="preserve">ESCALANTE, HANNA MAE YAO                                                                     </t>
  </si>
  <si>
    <t>367-701-611-0000</t>
  </si>
  <si>
    <t xml:space="preserve">SUMANDE, WENCEL JOHNE RIOS                                                                   </t>
  </si>
  <si>
    <t>478-033-022-0000</t>
  </si>
  <si>
    <t xml:space="preserve">VILLENA, SHERWIN IVAN MARALIT                                                                </t>
  </si>
  <si>
    <t>203-775-110-0000</t>
  </si>
  <si>
    <t xml:space="preserve">NILAYAN, KENNETH AGLABTIN                                                                    </t>
  </si>
  <si>
    <t>504-902-159-0000</t>
  </si>
  <si>
    <t xml:space="preserve">SANIO, JANICA MARIE CONDE                                                                    </t>
  </si>
  <si>
    <t>473-898-274-0000</t>
  </si>
  <si>
    <t xml:space="preserve">CRUZ, GHEZELLE OMANADA                                                                       </t>
  </si>
  <si>
    <t>309-345-401-0000</t>
  </si>
  <si>
    <t xml:space="preserve">VALENCIA, ADRIAN BELEN                                                                       </t>
  </si>
  <si>
    <t>509-755-804-0000</t>
  </si>
  <si>
    <t xml:space="preserve">VICARME, ERWIN AQUINO                                                                        </t>
  </si>
  <si>
    <t>744-485-452-0000</t>
  </si>
  <si>
    <t xml:space="preserve">LLANTINO, JEO MARCO GABRIS                                                                   </t>
  </si>
  <si>
    <t>350-268-235-0000</t>
  </si>
  <si>
    <t xml:space="preserve">MENDOZA, JOSHUA DANIEL BARGAN                                                                </t>
  </si>
  <si>
    <t>744-168-335-0000</t>
  </si>
  <si>
    <t xml:space="preserve">TASHIRO, SUBARU DUMDUM                                                                       </t>
  </si>
  <si>
    <t>430-509-345-0000</t>
  </si>
  <si>
    <t xml:space="preserve">MANARANG, JOHN PATRICK RAMOS                                                                 </t>
  </si>
  <si>
    <t>348-318-389-0000</t>
  </si>
  <si>
    <t xml:space="preserve">VALLENTE, MARK ANTHONY RAMOS                                                                 </t>
  </si>
  <si>
    <t>338-787-713-0000</t>
  </si>
  <si>
    <t xml:space="preserve">WONG, WYNDALE PUA                                                                            </t>
  </si>
  <si>
    <t xml:space="preserve">FILIPINOO                     </t>
  </si>
  <si>
    <t>276-964-135-0000</t>
  </si>
  <si>
    <t xml:space="preserve">AROCHA, EVEGUEL BUTAL                                                                        </t>
  </si>
  <si>
    <t>724-369-554-0000</t>
  </si>
  <si>
    <t xml:space="preserve">OGALE, RACHELLE GALLARDO                                                                     </t>
  </si>
  <si>
    <t>421-475-138-0000</t>
  </si>
  <si>
    <t xml:space="preserve">REYES, VERNA BANAAG                                                                          </t>
  </si>
  <si>
    <t>139-534-660-0000</t>
  </si>
  <si>
    <t xml:space="preserve">BARBON, DONNILLYN JOY JORDAN                                                                 </t>
  </si>
  <si>
    <t>456-454-640-0000</t>
  </si>
  <si>
    <t xml:space="preserve">VENEZUELA, MA. VICTORIA JOSEFA MAGALLANES                                                    </t>
  </si>
  <si>
    <t>155-620-058-0000</t>
  </si>
  <si>
    <t xml:space="preserve">ESCASA, AL TORRES                                                                            </t>
  </si>
  <si>
    <t>912-468-265-0000</t>
  </si>
  <si>
    <t xml:space="preserve">VENTOCILLA, MARIA ARIANE TABLANTE                                                            </t>
  </si>
  <si>
    <t>265-268-626-0000</t>
  </si>
  <si>
    <t xml:space="preserve">HERNANDEZ, VICTORIA PAULINE OCAMPO                                                           </t>
  </si>
  <si>
    <t>251-967-618-0000</t>
  </si>
  <si>
    <t xml:space="preserve">CENIDOZA, MALVIN RALPH NUNEZ                                                                 </t>
  </si>
  <si>
    <t>422-163-856-0000</t>
  </si>
  <si>
    <t>Y</t>
  </si>
  <si>
    <t>424-205-972-0000</t>
  </si>
  <si>
    <t xml:space="preserve">SORIANO, JOHN PAUL BERMUDEZ                                                                  </t>
  </si>
  <si>
    <t>701-470-615-0000</t>
  </si>
  <si>
    <t xml:space="preserve">LOPEZ, MELVIN AGUILAR                                                                        </t>
  </si>
  <si>
    <t>912-536-027-0000</t>
  </si>
  <si>
    <t xml:space="preserve">ABAD, GENEVIEVE DAULONG                                                                      </t>
  </si>
  <si>
    <t>306-020-865-0000</t>
  </si>
  <si>
    <t xml:space="preserve">BERMUDEZ, CARIZZA GONZALES                                                                   </t>
  </si>
  <si>
    <t>435-915-477-0000</t>
  </si>
  <si>
    <t xml:space="preserve">RANCES, PRINCESS DIANE APODACA                                                               </t>
  </si>
  <si>
    <t>412-630-701-0000</t>
  </si>
  <si>
    <t xml:space="preserve">LOTA, XYRENE BEROIN                                                                          </t>
  </si>
  <si>
    <t>452-978-931-0000</t>
  </si>
  <si>
    <t xml:space="preserve">CO, LORETTA ERASGA                                                                           </t>
  </si>
  <si>
    <t>207-514-438-0000</t>
  </si>
  <si>
    <t xml:space="preserve">VIERNES, KRISTIAN CEDRIK ALONZO                                                              </t>
  </si>
  <si>
    <t>364-044-790-0000</t>
  </si>
  <si>
    <t xml:space="preserve">LASCANO, RAYLA BEATRIZ BONSOL                                                                </t>
  </si>
  <si>
    <t>484-198-846-0000</t>
  </si>
  <si>
    <t xml:space="preserve">MANALO, JOSEPH BRIAN SIA                                                                     </t>
  </si>
  <si>
    <t>706-466-052-0000</t>
  </si>
  <si>
    <t xml:space="preserve">BALOLONG, PETER JERICK JUSTINIANO                                                            </t>
  </si>
  <si>
    <t>289-438-333-0000</t>
  </si>
  <si>
    <t xml:space="preserve">ESCOBAR, CINDY TOMAS                                                                         </t>
  </si>
  <si>
    <t>326-639-547-0000</t>
  </si>
  <si>
    <t xml:space="preserve">LAIG, JOANNE MARIE ENRIQUEZ                                                                  </t>
  </si>
  <si>
    <t>294-405-098-0000</t>
  </si>
  <si>
    <t xml:space="preserve">LAIG, GERARDO MANUEL DE MESA                                                                 </t>
  </si>
  <si>
    <t>289-457-490-0000</t>
  </si>
  <si>
    <t xml:space="preserve">MATEUM, KARLO VINCENZO SORIANO                                                               </t>
  </si>
  <si>
    <t>226-406-849-0000</t>
  </si>
  <si>
    <t xml:space="preserve">RAMIREZ, PHILLIP JOSEPH LAGO                                                                 </t>
  </si>
  <si>
    <t>403-371-496-0000</t>
  </si>
  <si>
    <t xml:space="preserve">ONG, JESUS RECTER ADAMS                                                                      </t>
  </si>
  <si>
    <t>411-088-847-0000</t>
  </si>
  <si>
    <t xml:space="preserve">MANALANG, MARIA CHRISTINA VICTORIA MORENO                                                    </t>
  </si>
  <si>
    <t>310-212-808-0000</t>
  </si>
  <si>
    <t xml:space="preserve">ABALOS, PAULO FRANCISCO FENIX                                                                </t>
  </si>
  <si>
    <t>216-187-728-0000</t>
  </si>
  <si>
    <t>Grand Total :</t>
  </si>
  <si>
    <t>==================</t>
  </si>
  <si>
    <t>------------------</t>
  </si>
  <si>
    <t>END OF REPORT</t>
  </si>
  <si>
    <t>LLANES, EMMANUEL JOHN DELA PAZ</t>
  </si>
  <si>
    <t>HERNANDEZ, ERWIN CARDINOZA</t>
  </si>
  <si>
    <t>CORTEZ, JOHN PAUL MIGUEL</t>
  </si>
  <si>
    <t>DEL PRADO, JERIEL JAN DE LEON</t>
  </si>
  <si>
    <t>CASIMIRO, NESTOR CHRISTOPHER RYAN CANLAS</t>
  </si>
  <si>
    <t>BABASA, TRISTAN ANGELO ARBOLEDA</t>
  </si>
  <si>
    <t>GUERRERO, JENICA LEE ANSELMO</t>
  </si>
  <si>
    <t>MARIANO, RALPH LEUQ POLICINA</t>
  </si>
  <si>
    <t>HERRERA, RON TIMOTHY AGUSTIN</t>
  </si>
  <si>
    <t>SEVELES, KRYZL GUTIERREZ</t>
  </si>
  <si>
    <t>MARCELO, JOSEPH MICHAEL TORRALBA</t>
  </si>
  <si>
    <t>SAPALICIO, VERINO VALGRIEL EMPLEO</t>
  </si>
  <si>
    <t>DY, JASMINE ACOSTA</t>
  </si>
  <si>
    <t>MAGLAYA, RALPH BENEDICT CUISON</t>
  </si>
  <si>
    <t>ONGSINGCO, JOSEPH ALUNAN</t>
  </si>
  <si>
    <t>FLORES, KENT ALDRIAN EVANGELISTA</t>
  </si>
  <si>
    <t>MARFA, ADEL QUIATCHON</t>
  </si>
  <si>
    <t>HERRADURA, MARJORIE TORRALBA</t>
  </si>
  <si>
    <t>PALOGME, JUDE MARASIGAN</t>
  </si>
  <si>
    <t>MARTILLANO, DONDON DE LUNA</t>
  </si>
  <si>
    <t>DELOS SANTOS, MICHAEL JEFF CORDERO</t>
  </si>
  <si>
    <t>PICAR, JEWELYN BABIA</t>
  </si>
  <si>
    <t>FELICIANO, JENAH SHAYNE NERY</t>
  </si>
  <si>
    <t>PAGUIO, JANN ALEC UMALI</t>
  </si>
  <si>
    <t>DELA CRUZ, CONRAD GERSALIA</t>
  </si>
  <si>
    <t>FERNANDO, LESTER ARCHIE NEPOMUCENO</t>
  </si>
  <si>
    <t>CAPISTRANO, SARAH PEREZ</t>
  </si>
  <si>
    <t>TIU, RYAN AARON UY</t>
  </si>
  <si>
    <t>LEE, MARK ZEUS GOLIMLIM</t>
  </si>
  <si>
    <t>REGINO, KYLE FRETZIE ROSAL</t>
  </si>
  <si>
    <t>MALLARE, CHRISTINE REPOQUIT</t>
  </si>
  <si>
    <t>BUNOAN, ADRIEL RENNY MONTANO</t>
  </si>
  <si>
    <t>SALANIO, ABIGAIL KRISTINE FAJARDO</t>
  </si>
  <si>
    <t>DE GUZMAN, MIA ANJANETTE FERNANDO</t>
  </si>
  <si>
    <t>VENUS, RICHARD TAN</t>
  </si>
  <si>
    <t>REYES, PATRICK BENJAMIN</t>
  </si>
  <si>
    <t>TINGZON, MYRON BOB CATOTO</t>
  </si>
  <si>
    <t>PANALIGAN, RONALD ABELLERA</t>
  </si>
  <si>
    <t>DORIA, ANGELICA LEMAIRE MARTINEZ</t>
  </si>
  <si>
    <t>CASTRO, CARLO URBAYAN</t>
  </si>
  <si>
    <t>DEL ROSARIO, RODOLFO III VIRATA</t>
  </si>
  <si>
    <t>DE LEON, CHARMAINE LAGUMEN</t>
  </si>
  <si>
    <t>NAVAL, CRISSIA ANGELA RABELAS</t>
  </si>
  <si>
    <t>SAMARRO, REMEDIOS MARCO</t>
  </si>
  <si>
    <t>JALANDOON, MARK JOSEPH REYES</t>
  </si>
  <si>
    <t>PADRON, CHRISTIAN ADRIAN ALEJO</t>
  </si>
  <si>
    <t>TRILLANA, JAYSON IRA EDIO</t>
  </si>
  <si>
    <t>VILLAFUERTE, JOEY JOSEPH GABRILLO</t>
  </si>
  <si>
    <t>DADUYA, EDUARD JOMEL SANCHEZ</t>
  </si>
  <si>
    <t>BELTRAN, CHRISTIAN GARCIA</t>
  </si>
  <si>
    <t>INDON, LAURENCE BERNARDO</t>
  </si>
  <si>
    <t>BUENAVISTA, RESALINA SENOBIO</t>
  </si>
  <si>
    <t>LACANILAO, ALEX JR. LACANILAO</t>
  </si>
  <si>
    <t>YUSON, JEAN MICHAEL GARCIA</t>
  </si>
  <si>
    <t>LASTIMOSA, RAPHAEL HENRICK VICENTINA</t>
  </si>
  <si>
    <t>BIBARO, JERO MARZ ESPINOSA</t>
  </si>
  <si>
    <t>GALANG, NESTOR BUNDALIAN</t>
  </si>
  <si>
    <t xml:space="preserve">ARGUELLES, JAN JOSHUA </t>
  </si>
  <si>
    <t>VINUYA, VAL GABRIEL VILLANUEVA</t>
  </si>
  <si>
    <t>ZALDARRIAGA, CORLEONE JOREL GASPAR</t>
  </si>
  <si>
    <t>PEREZ, CRIS KERWIN CANLAS</t>
  </si>
  <si>
    <t>GOZON, MARK ANGELO PERLIN</t>
  </si>
  <si>
    <t>OKUYAMA, SHERWIN NIKO ASADA</t>
  </si>
  <si>
    <t>HERNANDEZ, JOHN LOUIE MANGALI</t>
  </si>
  <si>
    <t>ISIDRO, CHRISTIAN GOZON</t>
  </si>
  <si>
    <t>RAFALLO, EARL KIMLEY RODIL</t>
  </si>
  <si>
    <t>LUCHICO, LANCE CYRIL LOZADA</t>
  </si>
  <si>
    <t>JUMANGIT, AMBROSIO V. CLAUD</t>
  </si>
  <si>
    <t>DANGANAN, CATHERINE CONCEPCION</t>
  </si>
  <si>
    <t>ANDUYAN, ARIEL SALVADOR</t>
  </si>
  <si>
    <t>CHAN, ALVIN JAY MACARAEG</t>
  </si>
  <si>
    <t>VICENCIO, KEVIN TUNGOL</t>
  </si>
  <si>
    <t>BORBON, DANA ABIGAIL ABADILLA</t>
  </si>
  <si>
    <t>ANDAYA, JOHN JAY BACANI</t>
  </si>
  <si>
    <t>FERNANDEZ, JONAS JUAN MENDOZA</t>
  </si>
  <si>
    <t>MUNAR, CHRISTINE JOYCE JOSUE</t>
  </si>
  <si>
    <t>LOZADA, JOHPEN VILLACAMPA</t>
  </si>
  <si>
    <t>VINUYA, DARYLL HAROLD CARODAN</t>
  </si>
  <si>
    <t>AUSTERO, JOHN GILBERT CAPISTRANO</t>
  </si>
  <si>
    <t>LUNA, AIRA LYN HERRERA</t>
  </si>
  <si>
    <t>LAGASCA, JOSHUA DANIEL ADEGUE</t>
  </si>
  <si>
    <t>MANUEL, LYZA CAMILLE DEL ROSARIO</t>
  </si>
  <si>
    <t>NIGOS, RONEALYN BARRERA</t>
  </si>
  <si>
    <t>ESPINOSA, MARY CLAIRE SILVERIO</t>
  </si>
  <si>
    <t>FAUSTINO, AIRONE FOL MATIAS</t>
  </si>
  <si>
    <t>RACHO, ALEXANDRIA FRANCHESCA GARCIA</t>
  </si>
  <si>
    <t>CATACUTAN, JOHN CARLO SANTOS</t>
  </si>
  <si>
    <t>CALO, SYDNEY NICOLE KAGAOAN</t>
  </si>
  <si>
    <t>BAGAS, JESUNIN ILAGAN</t>
  </si>
  <si>
    <t>BELMI, FRANCOISE BARLAAN</t>
  </si>
  <si>
    <t>TANHUECO, ERWIN TABLAZON</t>
  </si>
  <si>
    <t>PEREZ, KEITH ALBERT SAMPANG</t>
  </si>
  <si>
    <t>SANTIAGO, GENE EARL DUBOUZET</t>
  </si>
  <si>
    <t>TORRES, CARL JOHN ENVERZO</t>
  </si>
  <si>
    <t>PARRAS, AEROL EDISON BUAN</t>
  </si>
  <si>
    <t>CONCEPCION, MARLON RUFFY</t>
  </si>
  <si>
    <t>FALCON, AIMARIE COLLAO</t>
  </si>
  <si>
    <t>ARANDIA, CHRISTINE AUSTRIA</t>
  </si>
  <si>
    <t>INFORTUNO, ANGELA SILVESTRE</t>
  </si>
  <si>
    <t>VENDIOLA, CHRISTIAN HERRERIA</t>
  </si>
  <si>
    <t>ILAO, MICHAEL GAYLORD ESTILLORE</t>
  </si>
  <si>
    <t>LEONCITO, LESLYN AGUILAR</t>
  </si>
  <si>
    <t>SEMANA, JOSE CARMELO RONQUILLO</t>
  </si>
  <si>
    <t>GUANIO, JOSEPH ADRIAN REYES</t>
  </si>
  <si>
    <t>MAGSOMBOL, DARYLL JOSHUA GUIANAN</t>
  </si>
  <si>
    <t>WAJE, AUDREY NOELLE PABILLARAN</t>
  </si>
  <si>
    <t>BOBOYO, TWEETY FAE PANLILIO</t>
  </si>
  <si>
    <t>MANDIADI, ABISH VELASCO</t>
  </si>
  <si>
    <t>JAPAY, SAMSON JOHN BALDONADO</t>
  </si>
  <si>
    <t>CATOLPOS, LOYD NIÑO YECYEC</t>
  </si>
  <si>
    <t>QUINTOS, LAINE DEE MAE DEANG</t>
  </si>
  <si>
    <t>GUILLEM, DARRYL ANUNCIO</t>
  </si>
  <si>
    <t>TUAZON, MARIELLE LORENZ DE GUZMAN</t>
  </si>
  <si>
    <t>AQUINO, MARICAR DENNIEL SARMIENTO</t>
  </si>
  <si>
    <t>BIGTACION, SIMON NADSON DINIO</t>
  </si>
  <si>
    <t>MANALO, JOHN PATRICK DEL ROSARIO</t>
  </si>
  <si>
    <t>MABILIN, GERALD MENDONES</t>
  </si>
  <si>
    <t>FRIAS, LESTER DE GUZMAN</t>
  </si>
  <si>
    <t>CUA, DARWIN JEZNER SIMEON</t>
  </si>
  <si>
    <t>LACENA, DESIREE BONILLA</t>
  </si>
  <si>
    <t>JAMBALOS, JESHURUN VELASCO</t>
  </si>
  <si>
    <t>JACOBO, FRANCIS RENZO SOLANO</t>
  </si>
  <si>
    <t>PARICA, WILLIAM ROBERT ABERGOS</t>
  </si>
  <si>
    <t>CRUZ, ZYMON ANDREI ALMAYDA</t>
  </si>
  <si>
    <t>PELICANO, JANICE VILLAMOR</t>
  </si>
  <si>
    <t>SAN DIEGO, SHEM ARDI DELLOTA</t>
  </si>
  <si>
    <t>BORDEOS, MARK NEIL GALBAN</t>
  </si>
  <si>
    <t>ENGAY, HARVEY LLEGUE</t>
  </si>
  <si>
    <t>CAMILON, VINCENT ULAP CARINO</t>
  </si>
  <si>
    <t>LACHICA, ARDEE VILLANUEVA</t>
  </si>
  <si>
    <t>CALIBARA, GEMRALD RICAFORT</t>
  </si>
  <si>
    <t>MACABONTOC, JERICHO OPEÑA</t>
  </si>
  <si>
    <t>AMORES, AARON GONZALEZ</t>
  </si>
  <si>
    <t>SANTOS, JUAN CARLOS BATAC</t>
  </si>
  <si>
    <t>DE LEON, DENNIS BERONILLA</t>
  </si>
  <si>
    <t>ALEGRE, GARRET CHRISTOPHER TUGAS</t>
  </si>
  <si>
    <t>CONDE, PATRICK STEPHEN RUBIO</t>
  </si>
  <si>
    <t>DEANG, ARRON LEVI REN BERNAL</t>
  </si>
  <si>
    <t>ZAGUIRRE, ANGELO MARKUS BUAN</t>
  </si>
  <si>
    <t>GUMAYAGAY, VINCE MARLOU SORIANO</t>
  </si>
  <si>
    <t>IRABON, JAYSON DEMATA</t>
  </si>
  <si>
    <t>VERSOZA, JOHN GABRIEL DILEM</t>
  </si>
  <si>
    <t>SABIO, RYAN BARZA</t>
  </si>
  <si>
    <t>SANQUE, MARC ANDREI LIM</t>
  </si>
  <si>
    <t>GACELA, CLARRISSA MAY BATOLENA</t>
  </si>
  <si>
    <t>PERDIGUEZ, ANTHONY JAMES OLASIMAN</t>
  </si>
  <si>
    <t>DICHOSO, JOHN EMMANUEL CAÑALETE</t>
  </si>
  <si>
    <t>EBUEN, MARK ADRIAN BENSAN</t>
  </si>
  <si>
    <t>POSTRADO, JONATHAN ORTIZ</t>
  </si>
  <si>
    <t>VICENTE, BRIAN PAOLO MUYCO</t>
  </si>
  <si>
    <t>DAPULA, MIKKO MAGPANTAY</t>
  </si>
  <si>
    <t>ALCANTARA, ALI MOHAMED</t>
  </si>
  <si>
    <t>CHICA, HUMPHREY DINO NACARIO</t>
  </si>
  <si>
    <t>NOVILLA, PAUL DAGONDON</t>
  </si>
  <si>
    <t>ORPIADA, RONNIE ABLANEDA</t>
  </si>
  <si>
    <t>LOREZCO, ALLIAH AGUILAR</t>
  </si>
  <si>
    <t>TANGONAN, AMIHAN ANAS MANALO</t>
  </si>
  <si>
    <t>ANGAGAO, AHCMAD MAMA</t>
  </si>
  <si>
    <t>DELOS SANTOS, VITA GAY MANABAT</t>
  </si>
  <si>
    <t>BAUTISTA, JAY-AR AVILLA</t>
  </si>
  <si>
    <t>AMARANTE, CLINTON CADIZ</t>
  </si>
  <si>
    <t>GUBAN, SAMUEL BARBIN</t>
  </si>
  <si>
    <t>MANDAC, ADRIAN PURA</t>
  </si>
  <si>
    <t>EUSEBIO, AIRON NOEL DIEGO</t>
  </si>
  <si>
    <t>DESUASIDO, AIDAN MATTHEW ALVARADO</t>
  </si>
  <si>
    <t>TOLENTINO, ARDON JR. GANGE</t>
  </si>
  <si>
    <t>DELOS REYES, MARLON PEL</t>
  </si>
  <si>
    <t>PECHO, BRYAN CANSICIO</t>
  </si>
  <si>
    <t>MONTEMAYOR, JOHN MAX PACQUIAO</t>
  </si>
  <si>
    <t>GAYLON, HARVEY CRUZ</t>
  </si>
  <si>
    <t xml:space="preserve">DIZON, GELENE EMILY ROSE </t>
  </si>
  <si>
    <t>CORNICO, HENRY DEAN GUTIERREZ</t>
  </si>
  <si>
    <t>CONTEMPLACION, MARK CHRISTIAN ANGEL</t>
  </si>
  <si>
    <t>ABE, IVY BABE BAGAS</t>
  </si>
  <si>
    <t xml:space="preserve">SAN JUAN, JAIRUS </t>
  </si>
  <si>
    <t>MALINAO, RODEXTER LAYUSA</t>
  </si>
  <si>
    <t>TAN, ANTHONY ANGELO SABANDO</t>
  </si>
  <si>
    <t>MENDOZA, ANGELO RAMOS</t>
  </si>
  <si>
    <t>ROBEA, RON JOSHUA ROSALES</t>
  </si>
  <si>
    <t>LODERICO, JEANEL MASBANG</t>
  </si>
  <si>
    <t>RETUERTO, DINDO JR. PEREZ</t>
  </si>
  <si>
    <t>OSABEL, RENNIEL AÑASCO</t>
  </si>
  <si>
    <t>RICACHO, ALDJON RICHIE BACTOL</t>
  </si>
  <si>
    <t>RAZON, PATRICK MIGUEL VILLALUZ</t>
  </si>
  <si>
    <t>JERMICE, JEOFFREY GASCON</t>
  </si>
  <si>
    <t>DOÑA, JOSEL MAE DINGLAS</t>
  </si>
  <si>
    <t>CORONEL, MARCUS LAWRENCE TY</t>
  </si>
  <si>
    <t>CABUGAYAN, CHARISSE INOCANDO</t>
  </si>
  <si>
    <t>SANCHEZ, JUN ARLAN TABITA</t>
  </si>
  <si>
    <t>MALDO, JONH MAYK DELA CRUZ</t>
  </si>
  <si>
    <t>GALANG, JOHN PATRICK COTAS</t>
  </si>
  <si>
    <t>PALO, MARIA ANNE RICHELLE DANTES</t>
  </si>
  <si>
    <t>ABANICO, AMANDA FORTADES</t>
  </si>
  <si>
    <t>TOLEDO, EMER GLENN MARAVILLA</t>
  </si>
  <si>
    <t>CINCO, JIMUEL CAPIO</t>
  </si>
  <si>
    <t>PEÑAFLORIDA, JHUNEL BUENAVENTURA</t>
  </si>
  <si>
    <t>LACO, ARVI JOHN ALEDO</t>
  </si>
  <si>
    <t>TULIAO, SAMMUEL GALUT</t>
  </si>
  <si>
    <t>DELA CRUZ, JUSTIN NEIL REYES</t>
  </si>
  <si>
    <t>MIRANDA, MARIAH GIFT ARGUIL</t>
  </si>
  <si>
    <t>MACAM, JHEREMIE GERONIMO</t>
  </si>
  <si>
    <t>SACAY, ALLAN LEONARD DE TORRES</t>
  </si>
  <si>
    <t>GARCIA, ARON INDON</t>
  </si>
  <si>
    <t>ARADA, JUDD KEVIN MARTINEZ</t>
  </si>
  <si>
    <t xml:space="preserve">CHENG, RYAN VINCE </t>
  </si>
  <si>
    <t>ESQUIERDO, BRIAN JAMES MONTEFOLKA</t>
  </si>
  <si>
    <t>CADACIO, JARRED VILLANUEVA</t>
  </si>
  <si>
    <t>REYES, ELISHA JOWAINE MOJICA</t>
  </si>
  <si>
    <t>BELTRAN, RONALDO JR. MALABANAN</t>
  </si>
  <si>
    <t>PAPA, FERDINAND VINCENT CANLAS</t>
  </si>
  <si>
    <t>VERZOSA, CHRISTIAN ECLEVIA</t>
  </si>
  <si>
    <t>DELA CRUZ, JARED GIO AUSTRIA</t>
  </si>
  <si>
    <t>ARELLANO, PAULA ANGELA EROLES</t>
  </si>
  <si>
    <t>AZUCENAS, ALFONZO ANDES</t>
  </si>
  <si>
    <t>SERRANO, JOSELITO JR. COSTO</t>
  </si>
  <si>
    <t>GERONIMO, JANCE GABRIEL CARAIG</t>
  </si>
  <si>
    <t>ORFANO, SHERWIN ROSALES</t>
  </si>
  <si>
    <t>CUNANAN, PATRICK BRYAN FRANCISCO</t>
  </si>
  <si>
    <t>LACRA, NONIE FULO</t>
  </si>
  <si>
    <t>VALENZUELA, CHRISTOPHER HERNANDEZ</t>
  </si>
  <si>
    <t>CHAPOCO, CHRISTIAN MICHAEL MAXIMO</t>
  </si>
  <si>
    <t>PARAÑAL, JOHN LLOYD CRISOSTOMO</t>
  </si>
  <si>
    <t>PAR, ADRIAN DEMETRI CAÑEDA</t>
  </si>
  <si>
    <t>ENRIQUEZ, PAULO MERCADO</t>
  </si>
  <si>
    <t>SILANGCRUZ, SHOJI JAN LOYOLA</t>
  </si>
  <si>
    <t>DE GUZMAN, LESTER DECENA</t>
  </si>
  <si>
    <t>CAÑARES, SHERYL CATIIS</t>
  </si>
  <si>
    <t>LOPEZ, RUSTY ABARICIO</t>
  </si>
  <si>
    <t>LAS, DONA HAZEL PAGCALIWANGAN</t>
  </si>
  <si>
    <t>MANECLANG, PATRICK KELLY VILLANUEVA</t>
  </si>
  <si>
    <t>NANO, CHRISTIAN DALE VITERBO</t>
  </si>
  <si>
    <t>QUILALA, STEVEN DE GUIA</t>
  </si>
  <si>
    <t>ESPIRITU, JULLUS ROLAND OLGINA</t>
  </si>
  <si>
    <t>RACOMA, SHIELA REJEAN DE LEON</t>
  </si>
  <si>
    <t>CENA, ROMARIO BADARAN</t>
  </si>
  <si>
    <t>MANLAPAZ, CALINGA CRISOSTOMO</t>
  </si>
  <si>
    <t>DAPITAN, ROXANNE IBARRA</t>
  </si>
  <si>
    <t>SANDAJAN, NIÑO FELISARIO</t>
  </si>
  <si>
    <t>MANGUBA, AIKA ROSE AYUN-AYON</t>
  </si>
  <si>
    <t>ALANO, JONATHAN LAYLAY</t>
  </si>
  <si>
    <t>CATAPIA, JOSEPH WILSON SANTOS</t>
  </si>
  <si>
    <t>LIM, EAU BENETTON NATIVIDAD</t>
  </si>
  <si>
    <t>OYAO, DENMARK PLAZA</t>
  </si>
  <si>
    <t>RAMILE, MARK JASPHER FAUNI</t>
  </si>
  <si>
    <t>PONSOY, MARK VINCE IVAN BELEN</t>
  </si>
  <si>
    <t>LUCANA, REINHOLD ENCLANO</t>
  </si>
  <si>
    <t>VALENCIA, CLINT ALDRIN AGUAS</t>
  </si>
  <si>
    <t>SEDA, KURT ANTHONY DAVID</t>
  </si>
  <si>
    <t>LOPEZ, JOSHUA ALBERT TORRICER</t>
  </si>
  <si>
    <t>LICAS, JANREY TUAZON</t>
  </si>
  <si>
    <t>REDOR, JEAN LOUISE NATIVIDAD</t>
  </si>
  <si>
    <t>CUADERNO, ANTHONY VITO PANEM</t>
  </si>
  <si>
    <t>ARDALES, EDSEL OMAR RIFAREAL</t>
  </si>
  <si>
    <t>SANTOS, CLINT WESSON GUTIERREZ</t>
  </si>
  <si>
    <t>NAYNES, SPENCER ALLEN PABULARCON</t>
  </si>
  <si>
    <t>LAGODA, MARKO THOMAS VILLARIN</t>
  </si>
  <si>
    <t>MARCOS, OLIVER SOLAINA</t>
  </si>
  <si>
    <t>BITO, PAOLO DANIEL DUQUE</t>
  </si>
  <si>
    <t>GARCIA, JOSE JAIME FELIX II OLIVEROS</t>
  </si>
  <si>
    <t>FESALBON, DANIEL FAMORCAN</t>
  </si>
  <si>
    <t>REGALA, DANIEL ANGELO PASCUAL</t>
  </si>
  <si>
    <t>PADIN, ARIEL ABOGADIE</t>
  </si>
  <si>
    <t>HACUTINA, DAN LENARD PUNZALAN</t>
  </si>
  <si>
    <t xml:space="preserve">BERNAS, ANTOLIN JR. BARSAGA </t>
  </si>
  <si>
    <t xml:space="preserve">FERNANDO, MIGUEL </t>
  </si>
  <si>
    <t>MAGSINO, JETT MAG PINCA</t>
  </si>
  <si>
    <t>PANGANIBAN, ELEAZER GARCIA</t>
  </si>
  <si>
    <t>DUEÑAS, STEPHEN MIGUEL CAGUIOA</t>
  </si>
  <si>
    <t>DELOS NIEVES, RALPH LAWRENCE SANTILLAN</t>
  </si>
  <si>
    <t>IBBAH, ABIKHALIL MALA</t>
  </si>
  <si>
    <t>ATAGUE, JEFFREY OLASO</t>
  </si>
  <si>
    <t>GEDA, PATRICK HENRY CULLERA</t>
  </si>
  <si>
    <t>YÑIGUEZ, MARIA LARIZZA DE GUZMAN</t>
  </si>
  <si>
    <t>BENTER, JESILITO JR MARASIGAN</t>
  </si>
  <si>
    <t>RAMIREZ, FRANCIS DANIEL JACALAN</t>
  </si>
  <si>
    <t>ESTANDARTE, LALAINE SUELTO</t>
  </si>
  <si>
    <t>ANGELES, JEAN LENARD GAMBOA</t>
  </si>
  <si>
    <t>CARINGAL, CARLLA REASO</t>
  </si>
  <si>
    <t>CRUZ, JONATHAN SMITH MORALES</t>
  </si>
  <si>
    <t>DELA CRUZ, MA. PATRICIA CLARICE MERCADO</t>
  </si>
  <si>
    <t>TUMANENG, LEOBERT JUNE GALVEZ</t>
  </si>
  <si>
    <t>CANINDO, JOHN PHILIP NENING</t>
  </si>
  <si>
    <t>MILLANES, NEIL OLIVER ASUNCION</t>
  </si>
  <si>
    <t>LONTOC, RHOD BRYAN ORENSE</t>
  </si>
  <si>
    <t>PULIDO, JOHN JASON AROMIN</t>
  </si>
  <si>
    <t>FLORENDO, RAYMOND PARIZAL</t>
  </si>
  <si>
    <t>PERALTA, MAC-JORDAN DOCTOLERO</t>
  </si>
  <si>
    <t>CRUZ, MARCUZ VENNETH AUTOR</t>
  </si>
  <si>
    <t>CHAN, DAVID RAY RICO</t>
  </si>
  <si>
    <t>EMPREDO, MAICHEL AREDIANO</t>
  </si>
  <si>
    <t>LLARENA, RONNEL MURILLO</t>
  </si>
  <si>
    <t>PAW, MATTHEW NATHANIEL SY</t>
  </si>
  <si>
    <t>PADUA, JOHN RAFAEL VILLAREAL</t>
  </si>
  <si>
    <t>BANDIOLA, ANTERO JR. ALOJADO</t>
  </si>
  <si>
    <t>MARQUEZ, JULIUS BENITO SARMIENTO</t>
  </si>
  <si>
    <t>GARCIA, JOVANI NATIVIDAD</t>
  </si>
  <si>
    <t>BALONDO, CHRISTIAN SOTERO</t>
  </si>
  <si>
    <t>CAMU, JOHN HARMON MENDOZA</t>
  </si>
  <si>
    <t>DELA CRUZ, JYEOHAN ANGELICO LABRADOR</t>
  </si>
  <si>
    <t>NARRA, MIKLOS HERALD TENORIO</t>
  </si>
  <si>
    <t>FERNANDEZ, KARL ERNEL PAMARSA</t>
  </si>
  <si>
    <t>DE GUZMAN, RUTH EVANGELINE ZUÑIGA</t>
  </si>
  <si>
    <t>ALEGRE  III, AURELIO CALUYA</t>
  </si>
  <si>
    <t>HIDALGO, CALERB MATT PALOMARES</t>
  </si>
  <si>
    <t>PALISOC, NORMAN CONCHE</t>
  </si>
  <si>
    <t>CRISOSTOMO, ALLEN JEFFREY CRUZ</t>
  </si>
  <si>
    <t>GUMPAL, JAIRUS COCOY ONGKIKO</t>
  </si>
  <si>
    <t xml:space="preserve">CARLOS, JOHN THOMAS </t>
  </si>
  <si>
    <t>HUTALLE, HENRY JR. JALA</t>
  </si>
  <si>
    <t>MIRANDA, ALDRIN PAITAN</t>
  </si>
  <si>
    <t>MONTEROZO, ERIC QUIGAMAN</t>
  </si>
  <si>
    <t>MAGLUYAN, LHOU GHIN TORRENTO</t>
  </si>
  <si>
    <t>LEPITEN, REVICAR ANCOT</t>
  </si>
  <si>
    <t>SILVA, MARIA KARELINA MENGUITO</t>
  </si>
  <si>
    <t>ESCUETA, NIÑO DANIELLE DELA CRUZ</t>
  </si>
  <si>
    <t>ARNIEGO, VINCENT MICHAEL PITALLANO</t>
  </si>
  <si>
    <t>GUDAO, SHERILYN RODRIGUEZ</t>
  </si>
  <si>
    <t>LACSAROM, LAILA GONZALES</t>
  </si>
  <si>
    <t>ELINON, ELDRICH SY</t>
  </si>
  <si>
    <t>PASCUAL, KRISTINE ESTER DE LEON</t>
  </si>
  <si>
    <t>BANDONG, MARIA REISSHEL PERPETUA ROBLES</t>
  </si>
  <si>
    <t>TUD, KEVIN LLOYD BALLESTEROS</t>
  </si>
  <si>
    <t>PALACIOS, DOHN-JIEL LANTICAN</t>
  </si>
  <si>
    <t>REDOR, PATRICK DE GUZMAN</t>
  </si>
  <si>
    <t>JORDAN, MAYNELSON RIVA</t>
  </si>
  <si>
    <t>AGAMIN, JON VINCENT ALTAVANO</t>
  </si>
  <si>
    <t>FELIPE, JOHN PATRICK CHAVEZ</t>
  </si>
  <si>
    <t>AMANDY, KEVIN KIER ONA</t>
  </si>
  <si>
    <t>CRUZ, REINARIO CARDENAS</t>
  </si>
  <si>
    <t>VILLA, FRANCISCO MIGUEL BARASI</t>
  </si>
  <si>
    <t>CALIDA, MARK BRANDON MORENO</t>
  </si>
  <si>
    <t>SANTIAGO, DENIEL MIKAEL MIRANDA</t>
  </si>
  <si>
    <t>CALANDRIA, JOMAR PAULINO</t>
  </si>
  <si>
    <t>FANIO, ARNOLD MAGNAYE</t>
  </si>
  <si>
    <t>ALMARIO, PAMELA DENISE BALTAO</t>
  </si>
  <si>
    <t>ORIEL, ROBINA BANGCAYA</t>
  </si>
  <si>
    <t>MATIAS, MERYLLE MATEO</t>
  </si>
  <si>
    <t>R</t>
  </si>
  <si>
    <t>P</t>
  </si>
  <si>
    <t>185-558-768-0000</t>
  </si>
  <si>
    <t>255-439-502-0000</t>
  </si>
  <si>
    <t>297-544-477-0000</t>
  </si>
  <si>
    <t>420-482-388-0000</t>
  </si>
  <si>
    <t>216-744-465-0000</t>
  </si>
  <si>
    <t>295-106-037-0000</t>
  </si>
  <si>
    <t>327-496-583-0000</t>
  </si>
  <si>
    <t>336-102-336-0000</t>
  </si>
  <si>
    <t>340-303-113-0000</t>
  </si>
  <si>
    <t>418-369-808-0000</t>
  </si>
  <si>
    <t>310-773-420-0000</t>
  </si>
  <si>
    <t>342-199-606-0000</t>
  </si>
  <si>
    <t>912-370-257-0000</t>
  </si>
  <si>
    <t>240-294-781-0000</t>
  </si>
  <si>
    <t>344-531-829-0000</t>
  </si>
  <si>
    <t>428-808-455-0000</t>
  </si>
  <si>
    <t>203-440-677-0000</t>
  </si>
  <si>
    <t>317-267-195-0000</t>
  </si>
  <si>
    <t>337-446-794-0000</t>
  </si>
  <si>
    <t>296-394-853-0000</t>
  </si>
  <si>
    <t>451-790-508-0000</t>
  </si>
  <si>
    <t>318-768-926-0000</t>
  </si>
  <si>
    <t>455-370-314-0000</t>
  </si>
  <si>
    <t>410-451-184-0000</t>
  </si>
  <si>
    <t>327-549-551-0000</t>
  </si>
  <si>
    <t>314-433-769-0000</t>
  </si>
  <si>
    <t>427-035-627-0000</t>
  </si>
  <si>
    <t>311-935-585-0000</t>
  </si>
  <si>
    <t>434-811-279-0000</t>
  </si>
  <si>
    <t>743-886-136-0000</t>
  </si>
  <si>
    <t>303-602-793-0000</t>
  </si>
  <si>
    <t>330-933-638-0000</t>
  </si>
  <si>
    <t>253-103-603-0000</t>
  </si>
  <si>
    <t>748-606-993-0000</t>
  </si>
  <si>
    <t>232-656-514-0000</t>
  </si>
  <si>
    <t>738-836-811-0000</t>
  </si>
  <si>
    <t>444-874-738-0000</t>
  </si>
  <si>
    <t>233-791-859-0000</t>
  </si>
  <si>
    <t>754-864-900-0000</t>
  </si>
  <si>
    <t>343-865-338-0000</t>
  </si>
  <si>
    <t>289-485-522-0000</t>
  </si>
  <si>
    <t>499-993-424-0000</t>
  </si>
  <si>
    <t>759-532-825-0000</t>
  </si>
  <si>
    <t>452-656-136-0000</t>
  </si>
  <si>
    <t>340-538-788-0000</t>
  </si>
  <si>
    <t>361-600-478-0000</t>
  </si>
  <si>
    <t>755-673-635-0000</t>
  </si>
  <si>
    <t>457-545-365-0000</t>
  </si>
  <si>
    <t>417-717-108-0000</t>
  </si>
  <si>
    <t>286-666-157-0000</t>
  </si>
  <si>
    <t>247-063-895-0000</t>
  </si>
  <si>
    <t>370-287-848-0000</t>
  </si>
  <si>
    <t>341-692-745-0000</t>
  </si>
  <si>
    <t>420-000-245-0000</t>
  </si>
  <si>
    <t>334-895-231-0000</t>
  </si>
  <si>
    <t>250-130-466-0000</t>
  </si>
  <si>
    <t>147-998-228-0000</t>
  </si>
  <si>
    <t>472-584-506-0000</t>
  </si>
  <si>
    <t>339-871-980-0000</t>
  </si>
  <si>
    <t>383-029-302-0000</t>
  </si>
  <si>
    <t>383-390-253-0000</t>
  </si>
  <si>
    <t>483-621-633-0000</t>
  </si>
  <si>
    <t>500-594-155-0000</t>
  </si>
  <si>
    <t>383-391-174-0000</t>
  </si>
  <si>
    <t>383-390-785-0000</t>
  </si>
  <si>
    <t>385-993-457-0000</t>
  </si>
  <si>
    <t>385-995-969-0000</t>
  </si>
  <si>
    <t>420-807-979-0000</t>
  </si>
  <si>
    <t>471-466-781-0000</t>
  </si>
  <si>
    <t>441-286-905-0000</t>
  </si>
  <si>
    <t>276-295-081-0000</t>
  </si>
  <si>
    <t>477-428-898-0000</t>
  </si>
  <si>
    <t>331-416-309-0000</t>
  </si>
  <si>
    <t>725-296-863-0000</t>
  </si>
  <si>
    <t>303-757-768-0000</t>
  </si>
  <si>
    <t>350-835-577-0000</t>
  </si>
  <si>
    <t>357-321-109-0000</t>
  </si>
  <si>
    <t>395-151-005-0000</t>
  </si>
  <si>
    <t>315-857-728-0000</t>
  </si>
  <si>
    <t>373-930-208-0000</t>
  </si>
  <si>
    <t>395-151-608-0000</t>
  </si>
  <si>
    <t>333-481-910-0000</t>
  </si>
  <si>
    <t>333-752-769-0000</t>
  </si>
  <si>
    <t>484-622-560-0000</t>
  </si>
  <si>
    <t>327-191-630-0000</t>
  </si>
  <si>
    <t>365-703-053-0000</t>
  </si>
  <si>
    <t>727-050-020-0000</t>
  </si>
  <si>
    <t>330-057-729-0000</t>
  </si>
  <si>
    <t>473-852-098-0000</t>
  </si>
  <si>
    <t>399-113-359-0000</t>
  </si>
  <si>
    <t>403-514-642-0000</t>
  </si>
  <si>
    <t>313-582-866-0000</t>
  </si>
  <si>
    <t>339-314-031-0000</t>
  </si>
  <si>
    <t>453-787-358-0000</t>
  </si>
  <si>
    <t>340-429-248-0000</t>
  </si>
  <si>
    <t>222-004-374-0000</t>
  </si>
  <si>
    <t>279-985-305-0000</t>
  </si>
  <si>
    <t>501-621-025-0000</t>
  </si>
  <si>
    <t>351-981-931-0000</t>
  </si>
  <si>
    <t>735-522-080-0000</t>
  </si>
  <si>
    <t>458-715-990-0000</t>
  </si>
  <si>
    <t>346-985-965-0000</t>
  </si>
  <si>
    <t>282-744-014-0000</t>
  </si>
  <si>
    <t>213-688-481-0000</t>
  </si>
  <si>
    <t>721-043-660-0000</t>
  </si>
  <si>
    <t>362-249-585-0000</t>
  </si>
  <si>
    <t>437-898-131-0000</t>
  </si>
  <si>
    <t>347-035-677-0000</t>
  </si>
  <si>
    <t>601-848-013-0000</t>
  </si>
  <si>
    <t>462-396-742-0000</t>
  </si>
  <si>
    <t>705-240-992-0000</t>
  </si>
  <si>
    <t>392-756-918-0000</t>
  </si>
  <si>
    <t>350-903-197-0000</t>
  </si>
  <si>
    <t>501-273-545-0000</t>
  </si>
  <si>
    <t>748-010-171-0000</t>
  </si>
  <si>
    <t>748-951-544-0000</t>
  </si>
  <si>
    <t>340-681-366-0000</t>
  </si>
  <si>
    <t>724-005-451-0000</t>
  </si>
  <si>
    <t>713-389-713-0000</t>
  </si>
  <si>
    <t>346-645-270-0000</t>
  </si>
  <si>
    <t>239-105-572-0000</t>
  </si>
  <si>
    <t>737-456-004-0000</t>
  </si>
  <si>
    <t>451-484-271-0000</t>
  </si>
  <si>
    <t>351-158-738-0000</t>
  </si>
  <si>
    <t>257-377-998-0000</t>
  </si>
  <si>
    <t>264-583-666-0000</t>
  </si>
  <si>
    <t>448-403-850-0000</t>
  </si>
  <si>
    <t>231-388-739-0000</t>
  </si>
  <si>
    <t>357-515-953-0000</t>
  </si>
  <si>
    <t>753-225-953-0000</t>
  </si>
  <si>
    <t>929-089-457-0000</t>
  </si>
  <si>
    <t>341-974-193-0000</t>
  </si>
  <si>
    <t>295-390-827-0000</t>
  </si>
  <si>
    <t>745-179-693-0000</t>
  </si>
  <si>
    <t>737-404-287-0000</t>
  </si>
  <si>
    <t>358-673-190-0000</t>
  </si>
  <si>
    <t>908-151-340-0000</t>
  </si>
  <si>
    <t>753-883-741-0000</t>
  </si>
  <si>
    <t>501-988-904-0000</t>
  </si>
  <si>
    <t>749-509-575-0000</t>
  </si>
  <si>
    <t>285-791-831-0000</t>
  </si>
  <si>
    <t>362-441-503-0000</t>
  </si>
  <si>
    <t>338-257-480-0000</t>
  </si>
  <si>
    <t>748-595-233-0000</t>
  </si>
  <si>
    <t>330-284-021-0000</t>
  </si>
  <si>
    <t>347-100-411-0000</t>
  </si>
  <si>
    <t>316-276-655-0000</t>
  </si>
  <si>
    <t>378-923-037-0000</t>
  </si>
  <si>
    <t>608-403-612-0000</t>
  </si>
  <si>
    <t>613-695-233-0000</t>
  </si>
  <si>
    <t>294-133-072-0000</t>
  </si>
  <si>
    <t>327-930-077-0000</t>
  </si>
  <si>
    <t>746-780-244-0000</t>
  </si>
  <si>
    <t>226-190-747-0000</t>
  </si>
  <si>
    <t>256-758-328-0000</t>
  </si>
  <si>
    <t>361-243-201-0000</t>
  </si>
  <si>
    <t>444-847-963-0000</t>
  </si>
  <si>
    <t>352-613-103-0000</t>
  </si>
  <si>
    <t>238-964-826-0000</t>
  </si>
  <si>
    <t>246-008-808-0000</t>
  </si>
  <si>
    <t>620-735-867-0000</t>
  </si>
  <si>
    <t>383-422-352-0000</t>
  </si>
  <si>
    <t>610-637-238-0000</t>
  </si>
  <si>
    <t>612-978-323-0000</t>
  </si>
  <si>
    <t>934-237-185-0000</t>
  </si>
  <si>
    <t>264-399-507-0000</t>
  </si>
  <si>
    <t>217-003-074-0000</t>
  </si>
  <si>
    <t>311-577-632-0000</t>
  </si>
  <si>
    <t>439-323-990-0000</t>
  </si>
  <si>
    <t>378-993-420-0000</t>
  </si>
  <si>
    <t>320-674-538-0000</t>
  </si>
  <si>
    <t>611-842-249-0000</t>
  </si>
  <si>
    <t>352-261-573-0000</t>
  </si>
  <si>
    <t>339-194-165-0000</t>
  </si>
  <si>
    <t>746-901-552-0000</t>
  </si>
  <si>
    <t>309-993830-0000</t>
  </si>
  <si>
    <t>731-696-375-0000</t>
  </si>
  <si>
    <t>755-008-290-0000</t>
  </si>
  <si>
    <t>336-845-319-0000</t>
  </si>
  <si>
    <t>313-969-076-0000</t>
  </si>
  <si>
    <t>761-646-506-0000</t>
  </si>
  <si>
    <t>620-737-060-0000</t>
  </si>
  <si>
    <t>705-477-408-0000</t>
  </si>
  <si>
    <t>614-562-963-0000</t>
  </si>
  <si>
    <t>643-956-043-0000</t>
  </si>
  <si>
    <t>322-993-122-0000</t>
  </si>
  <si>
    <t>424-241-943-0000</t>
  </si>
  <si>
    <t>606-563-470-0000</t>
  </si>
  <si>
    <t>310-205-835-0000</t>
  </si>
  <si>
    <t>326-167-203-0000</t>
  </si>
  <si>
    <t>345-567-279-0000</t>
  </si>
  <si>
    <t>215-326-999-0000</t>
  </si>
  <si>
    <t>336-859-229-0000</t>
  </si>
  <si>
    <t>300-347-602-0000</t>
  </si>
  <si>
    <t>616-401-765-0000</t>
  </si>
  <si>
    <t>748-776-456-0000</t>
  </si>
  <si>
    <t>620-739-336-0000</t>
  </si>
  <si>
    <t>620-737-702-0000</t>
  </si>
  <si>
    <t>720-013-456-0000</t>
  </si>
  <si>
    <t>617-788-506-0000</t>
  </si>
  <si>
    <t>742-849-261-0000</t>
  </si>
  <si>
    <t>319-902-512-0000</t>
  </si>
  <si>
    <t>292-924-589-0000</t>
  </si>
  <si>
    <t>272-849-145-0000</t>
  </si>
  <si>
    <t>343-732-633-0000</t>
  </si>
  <si>
    <t>349-730-103-0000</t>
  </si>
  <si>
    <t>303-043-067-0000</t>
  </si>
  <si>
    <t>619-420-637-0000</t>
  </si>
  <si>
    <t>422-966-672-0000</t>
  </si>
  <si>
    <t>909-024-699-0000</t>
  </si>
  <si>
    <t>633-440-576-0000</t>
  </si>
  <si>
    <t>636-441-787-0000</t>
  </si>
  <si>
    <t>620-377-919-0000</t>
  </si>
  <si>
    <t>347-144-843-0000</t>
  </si>
  <si>
    <t>762-502-153-0000</t>
  </si>
  <si>
    <t>636-446-444-0000</t>
  </si>
  <si>
    <t>462-430-017-0000</t>
  </si>
  <si>
    <t>349-253-708-0000</t>
  </si>
  <si>
    <t>622-053-208-0000</t>
  </si>
  <si>
    <t>614-940-938-0000</t>
  </si>
  <si>
    <t>759-651-678-0000</t>
  </si>
  <si>
    <t>357-747-465-0000</t>
  </si>
  <si>
    <t>636-451-772-0000</t>
  </si>
  <si>
    <t>757-703-432-0000</t>
  </si>
  <si>
    <t>730-578-023-0000</t>
  </si>
  <si>
    <t>716-131-466-0000</t>
  </si>
  <si>
    <t>245-094-159-0000</t>
  </si>
  <si>
    <t>463-050-464-0000</t>
  </si>
  <si>
    <t>364-166-597-0000</t>
  </si>
  <si>
    <t>381-107-415-0000</t>
  </si>
  <si>
    <t>779-596-421-0000</t>
  </si>
  <si>
    <t>287-283-644-0000</t>
  </si>
  <si>
    <t>918-999-511-0000</t>
  </si>
  <si>
    <t>760-362-137-0000</t>
  </si>
  <si>
    <t>322-628-603-0000</t>
  </si>
  <si>
    <t>362-396-006-0000</t>
  </si>
  <si>
    <t>436-125-355-0000</t>
  </si>
  <si>
    <t>290-137-550-0000</t>
  </si>
  <si>
    <t>360-344-207-0000</t>
  </si>
  <si>
    <t>733-483-199-0000</t>
  </si>
  <si>
    <t>190-876-188-0000</t>
  </si>
  <si>
    <t>382-686-676-0000</t>
  </si>
  <si>
    <t>511-935-845-0000</t>
  </si>
  <si>
    <t>320-041-706-0000</t>
  </si>
  <si>
    <t>509-125-821-0000</t>
  </si>
  <si>
    <t>636-455-051-0000</t>
  </si>
  <si>
    <t>767-238-179-0000</t>
  </si>
  <si>
    <t>618-315-217-0000</t>
  </si>
  <si>
    <t>641-446-932-0000</t>
  </si>
  <si>
    <t>767-907-926-0000</t>
  </si>
  <si>
    <t>220-394-377-0000</t>
  </si>
  <si>
    <t>470-462-097-0000</t>
  </si>
  <si>
    <t>457-806-388-0000</t>
  </si>
  <si>
    <t>303-136-609-0000</t>
  </si>
  <si>
    <t>759-854-002-0000</t>
  </si>
  <si>
    <t>346-330-822-0000</t>
  </si>
  <si>
    <t>726-097-846-0000</t>
  </si>
  <si>
    <t>758-599-733-0000</t>
  </si>
  <si>
    <t>499-939-741-0000</t>
  </si>
  <si>
    <t>343-417-467-0000</t>
  </si>
  <si>
    <t>459-851-374-0000</t>
  </si>
  <si>
    <t>435-213-670-0000</t>
  </si>
  <si>
    <t>505-903-167-0000</t>
  </si>
  <si>
    <t>325-105-236-0000</t>
  </si>
  <si>
    <t>776-253-032-0000</t>
  </si>
  <si>
    <t>391-045-408-0000</t>
  </si>
  <si>
    <t>187-864-153-0000</t>
  </si>
  <si>
    <t>336-809-293-0000</t>
  </si>
  <si>
    <t>463-952-776-0000</t>
  </si>
  <si>
    <t>613-321-916-0000</t>
  </si>
  <si>
    <t>614-739-326-0000</t>
  </si>
  <si>
    <t>724-002-520-0000</t>
  </si>
  <si>
    <t>445-876-600-0000</t>
  </si>
  <si>
    <t>349-123-056-0000</t>
  </si>
  <si>
    <t>314-472-234-0000</t>
  </si>
  <si>
    <t>636-456-213-0000</t>
  </si>
  <si>
    <t>356-078-086-0000</t>
  </si>
  <si>
    <t>348-491-622-0000</t>
  </si>
  <si>
    <t>636-462-822-0000</t>
  </si>
  <si>
    <t>352-794-233-0000</t>
  </si>
  <si>
    <t>606-455-344-0000</t>
  </si>
  <si>
    <t>313-215-108-0000</t>
  </si>
  <si>
    <t>736-761-428-0000</t>
  </si>
  <si>
    <t>445-833-416-0000</t>
  </si>
  <si>
    <t>356-392-899-0000</t>
  </si>
  <si>
    <t>725-500-348-0000</t>
  </si>
  <si>
    <t>274-754-428-0000</t>
  </si>
  <si>
    <t>759-599-514-0000</t>
  </si>
  <si>
    <t>293-474-758-0000</t>
  </si>
  <si>
    <t>280-505-783-0000</t>
  </si>
  <si>
    <t>406-076-914-0000</t>
  </si>
  <si>
    <t>260-870-082-0000</t>
  </si>
  <si>
    <t>297-255-127-0000</t>
  </si>
  <si>
    <t>449-771-859-0000</t>
  </si>
  <si>
    <t>514-985-688-0000</t>
  </si>
  <si>
    <t>398-009-843-0000</t>
  </si>
  <si>
    <t>337-395-909-0000</t>
  </si>
  <si>
    <t>317-777-855-0000</t>
  </si>
  <si>
    <t>384-868-861-0000</t>
  </si>
  <si>
    <t>427-575-621-0000</t>
  </si>
  <si>
    <t>501-898-111-0000</t>
  </si>
  <si>
    <t>457-825-332-0000</t>
  </si>
  <si>
    <t>243-869-896-0000</t>
  </si>
  <si>
    <t>342-524-676-0000</t>
  </si>
  <si>
    <t>387-290-342-0000</t>
  </si>
  <si>
    <t>267-840-143-0000</t>
  </si>
  <si>
    <t>493-310-558-0000</t>
  </si>
  <si>
    <t>349-433-002-0000</t>
  </si>
  <si>
    <t>929-108-777-0000</t>
  </si>
  <si>
    <t>925-542-743-0000</t>
  </si>
  <si>
    <t>641-626-519-0000</t>
  </si>
  <si>
    <t>464-091-954-0000</t>
  </si>
  <si>
    <t>321-942-094-0000</t>
  </si>
  <si>
    <t>923-816-676-0000</t>
  </si>
  <si>
    <t>356-047-946-0000</t>
  </si>
  <si>
    <t>217-391-065-0000</t>
  </si>
  <si>
    <t>210-724-710-0000</t>
  </si>
  <si>
    <t>300-067-715-0000</t>
  </si>
  <si>
    <t>743-793-113-0000</t>
  </si>
  <si>
    <t>275-503-512-0000</t>
  </si>
  <si>
    <t>308-286-407-0000</t>
  </si>
  <si>
    <t>502-250-741-0000</t>
  </si>
  <si>
    <t>245-497-594-0000</t>
  </si>
  <si>
    <t>292-437-150-0000</t>
  </si>
  <si>
    <t>255-513-899-0000</t>
  </si>
  <si>
    <t>704-282-135-0000</t>
  </si>
  <si>
    <t>342-644-626-0000</t>
  </si>
  <si>
    <t>222-775-660-0000</t>
  </si>
  <si>
    <t>009-328-265-0000</t>
  </si>
  <si>
    <t>FRESH GRAD-0000</t>
  </si>
  <si>
    <t>653-181-659-0000</t>
  </si>
  <si>
    <t>453-312-309-0000</t>
  </si>
  <si>
    <t>323-308-966-0000</t>
  </si>
  <si>
    <t>446-396-892-0000</t>
  </si>
  <si>
    <t>344-772-365-0000</t>
  </si>
  <si>
    <t>464-741-195-0000</t>
  </si>
  <si>
    <t>WITHHOLDING AGENT'S NAME: NOVARE PHILIPPINES INC (FORMERLY NOVARE TECH INC)</t>
  </si>
  <si>
    <t xml:space="preserve">ARCILLA-ISIP, NICKLAUS CRISPINA LANUZO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</si>
</sst>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.0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14" fontId="1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AEAE-420F-4820-A0E3-9B661C01C01E}">
  <dimension ref="A1:AO530"/>
  <sheetViews>
    <sheetView tabSelected="1" topLeftCell="A156" workbookViewId="0">
      <selection activeCell="B173" sqref="B173"/>
    </sheetView>
  </sheetViews>
  <sheetFormatPr defaultRowHeight="15" x14ac:dyDescent="0.25"/>
  <cols>
    <col min="1" max="1" width="25.5703125" style="1" customWidth="1"/>
    <col min="2" max="2" width="58.140625" style="1" bestFit="1" customWidth="1"/>
    <col min="3" max="41" width="25.5703125" style="1" customWidth="1"/>
  </cols>
  <sheetData>
    <row r="1" spans="1:4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25">
      <c r="A7" s="2" t="s">
        <v>1153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25">
      <c r="A9" s="2"/>
      <c r="B9" s="2"/>
      <c r="C9" s="2" t="s">
        <v>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 t="s">
        <v>62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5">
      <c r="A10" s="2"/>
      <c r="B10" s="2"/>
      <c r="C10" s="2"/>
      <c r="D10" s="2"/>
      <c r="E10" s="2"/>
      <c r="F10" s="2"/>
      <c r="G10" s="2"/>
      <c r="H10" s="2"/>
      <c r="I10" s="2" t="s">
        <v>31</v>
      </c>
      <c r="J10" s="2"/>
      <c r="K10" s="2"/>
      <c r="L10" s="2"/>
      <c r="M10" s="2"/>
      <c r="N10" s="2" t="s">
        <v>50</v>
      </c>
      <c r="O10" s="2"/>
      <c r="P10" s="2"/>
      <c r="Q10" s="2"/>
      <c r="R10" s="2"/>
      <c r="S10" s="2"/>
      <c r="T10" s="2"/>
      <c r="U10" s="2"/>
      <c r="V10" s="2"/>
      <c r="W10" s="2"/>
      <c r="X10" s="2" t="s">
        <v>31</v>
      </c>
      <c r="Y10" s="2"/>
      <c r="Z10" s="2"/>
      <c r="AA10" s="2"/>
      <c r="AB10" s="2"/>
      <c r="AC10" s="2" t="s">
        <v>50</v>
      </c>
      <c r="AD10" s="2"/>
      <c r="AE10" s="2"/>
      <c r="AF10" s="2" t="s">
        <v>60</v>
      </c>
      <c r="AG10" s="2" t="s">
        <v>60</v>
      </c>
      <c r="AH10" s="2"/>
      <c r="AI10" s="2" t="s">
        <v>94</v>
      </c>
      <c r="AJ10" s="2"/>
      <c r="AK10" s="2"/>
      <c r="AL10" s="2" t="s">
        <v>102</v>
      </c>
      <c r="AM10" s="2"/>
      <c r="AN10" s="2"/>
      <c r="AO10" s="2"/>
    </row>
    <row r="11" spans="1:41" x14ac:dyDescent="0.25">
      <c r="A11" s="2" t="s">
        <v>5</v>
      </c>
      <c r="B11" s="2" t="s">
        <v>8</v>
      </c>
      <c r="C11" s="2" t="s">
        <v>11</v>
      </c>
      <c r="D11" s="2" t="s">
        <v>15</v>
      </c>
      <c r="E11" s="2"/>
      <c r="F11" s="2"/>
      <c r="G11" s="2" t="s">
        <v>23</v>
      </c>
      <c r="H11" s="2" t="s">
        <v>26</v>
      </c>
      <c r="I11" s="2" t="s">
        <v>32</v>
      </c>
      <c r="J11" s="2" t="s">
        <v>35</v>
      </c>
      <c r="K11" s="2" t="s">
        <v>38</v>
      </c>
      <c r="L11" s="2" t="s">
        <v>43</v>
      </c>
      <c r="M11" s="2" t="s">
        <v>46</v>
      </c>
      <c r="N11" s="2" t="s">
        <v>51</v>
      </c>
      <c r="O11" s="2" t="s">
        <v>32</v>
      </c>
      <c r="P11" s="2" t="s">
        <v>57</v>
      </c>
      <c r="Q11" s="2" t="s">
        <v>60</v>
      </c>
      <c r="R11" s="2" t="s">
        <v>63</v>
      </c>
      <c r="S11" s="2" t="s">
        <v>67</v>
      </c>
      <c r="T11" s="2" t="s">
        <v>69</v>
      </c>
      <c r="U11" s="2"/>
      <c r="V11" s="2" t="s">
        <v>23</v>
      </c>
      <c r="W11" s="2" t="s">
        <v>26</v>
      </c>
      <c r="X11" s="2" t="s">
        <v>32</v>
      </c>
      <c r="Y11" s="2" t="s">
        <v>35</v>
      </c>
      <c r="Z11" s="2" t="s">
        <v>38</v>
      </c>
      <c r="AA11" s="2" t="s">
        <v>43</v>
      </c>
      <c r="AB11" s="2" t="s">
        <v>80</v>
      </c>
      <c r="AC11" s="2" t="s">
        <v>51</v>
      </c>
      <c r="AD11" s="2" t="s">
        <v>32</v>
      </c>
      <c r="AE11" s="2" t="s">
        <v>57</v>
      </c>
      <c r="AF11" s="2" t="s">
        <v>27</v>
      </c>
      <c r="AG11" s="2" t="s">
        <v>48</v>
      </c>
      <c r="AH11" s="2" t="s">
        <v>91</v>
      </c>
      <c r="AI11" s="2" t="s">
        <v>95</v>
      </c>
      <c r="AJ11" s="2"/>
      <c r="AK11" s="2" t="s">
        <v>99</v>
      </c>
      <c r="AL11" s="2" t="s">
        <v>103</v>
      </c>
      <c r="AM11" s="2" t="s">
        <v>107</v>
      </c>
      <c r="AN11" s="2" t="s">
        <v>112</v>
      </c>
      <c r="AO11" s="2" t="s">
        <v>117</v>
      </c>
    </row>
    <row r="12" spans="1:41" x14ac:dyDescent="0.25">
      <c r="A12" s="2" t="s">
        <v>6</v>
      </c>
      <c r="B12" s="2" t="s">
        <v>9</v>
      </c>
      <c r="C12" s="2" t="s">
        <v>12</v>
      </c>
      <c r="D12" s="3" t="s">
        <v>16</v>
      </c>
      <c r="E12" s="2" t="s">
        <v>18</v>
      </c>
      <c r="F12" s="2"/>
      <c r="G12" s="3" t="s">
        <v>24</v>
      </c>
      <c r="H12" s="2" t="s">
        <v>27</v>
      </c>
      <c r="I12" s="2" t="s">
        <v>33</v>
      </c>
      <c r="J12" s="2" t="s">
        <v>36</v>
      </c>
      <c r="K12" s="2" t="s">
        <v>39</v>
      </c>
      <c r="L12" s="2" t="s">
        <v>44</v>
      </c>
      <c r="M12" s="2" t="s">
        <v>47</v>
      </c>
      <c r="N12" s="2" t="s">
        <v>52</v>
      </c>
      <c r="O12" s="2" t="s">
        <v>33</v>
      </c>
      <c r="P12" s="2" t="s">
        <v>58</v>
      </c>
      <c r="Q12" s="2" t="s">
        <v>48</v>
      </c>
      <c r="R12" s="2" t="s">
        <v>64</v>
      </c>
      <c r="S12" s="3" t="s">
        <v>16</v>
      </c>
      <c r="T12" s="2" t="s">
        <v>18</v>
      </c>
      <c r="U12" s="2"/>
      <c r="V12" s="3" t="s">
        <v>72</v>
      </c>
      <c r="W12" s="2" t="s">
        <v>27</v>
      </c>
      <c r="X12" s="2" t="s">
        <v>33</v>
      </c>
      <c r="Y12" s="2" t="s">
        <v>36</v>
      </c>
      <c r="Z12" s="2" t="s">
        <v>39</v>
      </c>
      <c r="AA12" s="2" t="s">
        <v>44</v>
      </c>
      <c r="AB12" s="2" t="s">
        <v>81</v>
      </c>
      <c r="AC12" s="2" t="s">
        <v>52</v>
      </c>
      <c r="AD12" s="2" t="s">
        <v>33</v>
      </c>
      <c r="AE12" s="2" t="s">
        <v>58</v>
      </c>
      <c r="AF12" s="2" t="s">
        <v>86</v>
      </c>
      <c r="AG12" s="2" t="s">
        <v>88</v>
      </c>
      <c r="AH12" s="2" t="s">
        <v>92</v>
      </c>
      <c r="AI12" s="2" t="s">
        <v>74</v>
      </c>
      <c r="AJ12" s="2" t="s">
        <v>97</v>
      </c>
      <c r="AK12" s="2" t="s">
        <v>100</v>
      </c>
      <c r="AL12" s="2" t="s">
        <v>104</v>
      </c>
      <c r="AM12" s="2" t="s">
        <v>108</v>
      </c>
      <c r="AN12" s="2" t="s">
        <v>113</v>
      </c>
      <c r="AO12" s="2" t="s">
        <v>118</v>
      </c>
    </row>
    <row r="13" spans="1:41" x14ac:dyDescent="0.25">
      <c r="A13" s="2"/>
      <c r="B13" s="2"/>
      <c r="C13" s="2" t="s">
        <v>13</v>
      </c>
      <c r="D13" s="2"/>
      <c r="E13" s="2" t="s">
        <v>19</v>
      </c>
      <c r="F13" s="2" t="s">
        <v>20</v>
      </c>
      <c r="G13" s="2"/>
      <c r="H13" s="2" t="s">
        <v>28</v>
      </c>
      <c r="I13" s="2"/>
      <c r="J13" s="2"/>
      <c r="K13" s="2" t="s">
        <v>40</v>
      </c>
      <c r="L13" s="2" t="s">
        <v>27</v>
      </c>
      <c r="M13" s="2" t="s">
        <v>48</v>
      </c>
      <c r="N13" s="2" t="s">
        <v>53</v>
      </c>
      <c r="O13" s="2" t="s">
        <v>55</v>
      </c>
      <c r="P13" s="2" t="s">
        <v>27</v>
      </c>
      <c r="Q13" s="2" t="s">
        <v>29</v>
      </c>
      <c r="R13" s="2" t="s">
        <v>65</v>
      </c>
      <c r="S13" s="2"/>
      <c r="T13" s="2" t="s">
        <v>19</v>
      </c>
      <c r="U13" s="2" t="s">
        <v>20</v>
      </c>
      <c r="V13" s="2"/>
      <c r="W13" s="2" t="s">
        <v>74</v>
      </c>
      <c r="X13" s="2"/>
      <c r="Y13" s="2"/>
      <c r="Z13" s="2" t="s">
        <v>40</v>
      </c>
      <c r="AA13" s="2" t="s">
        <v>27</v>
      </c>
      <c r="AB13" s="2"/>
      <c r="AC13" s="2" t="s">
        <v>53</v>
      </c>
      <c r="AD13" s="2"/>
      <c r="AE13" s="2" t="s">
        <v>27</v>
      </c>
      <c r="AF13" s="2"/>
      <c r="AG13" s="2" t="s">
        <v>89</v>
      </c>
      <c r="AH13" s="2"/>
      <c r="AI13" s="2"/>
      <c r="AJ13" s="2"/>
      <c r="AK13" s="2"/>
      <c r="AL13" s="2" t="s">
        <v>105</v>
      </c>
      <c r="AM13" s="2" t="s">
        <v>109</v>
      </c>
      <c r="AN13" s="2" t="s">
        <v>114</v>
      </c>
      <c r="AO13" s="2" t="s">
        <v>119</v>
      </c>
    </row>
    <row r="14" spans="1:41" x14ac:dyDescent="0.25">
      <c r="A14" s="2"/>
      <c r="B14" s="2"/>
      <c r="C14" s="2"/>
      <c r="D14" s="2"/>
      <c r="E14" s="2"/>
      <c r="F14" s="2"/>
      <c r="G14" s="2"/>
      <c r="H14" s="2" t="s">
        <v>29</v>
      </c>
      <c r="I14" s="2"/>
      <c r="J14" s="2"/>
      <c r="K14" s="2" t="s">
        <v>41</v>
      </c>
      <c r="L14" s="2"/>
      <c r="M14" s="2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 t="s">
        <v>41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s">
        <v>110</v>
      </c>
      <c r="AN14" s="3" t="s">
        <v>115</v>
      </c>
      <c r="AO14" s="2"/>
    </row>
    <row r="15" spans="1:41" x14ac:dyDescent="0.25">
      <c r="A15" s="3" t="s">
        <v>7</v>
      </c>
      <c r="B15" s="3" t="s">
        <v>10</v>
      </c>
      <c r="C15" s="3" t="s">
        <v>14</v>
      </c>
      <c r="D15" s="3" t="s">
        <v>17</v>
      </c>
      <c r="E15" s="3" t="s">
        <v>21</v>
      </c>
      <c r="F15" s="3" t="s">
        <v>22</v>
      </c>
      <c r="G15" s="3" t="s">
        <v>25</v>
      </c>
      <c r="H15" s="3" t="s">
        <v>30</v>
      </c>
      <c r="I15" s="3" t="s">
        <v>34</v>
      </c>
      <c r="J15" s="3" t="s">
        <v>37</v>
      </c>
      <c r="K15" s="3" t="s">
        <v>42</v>
      </c>
      <c r="L15" s="3" t="s">
        <v>45</v>
      </c>
      <c r="M15" s="3" t="s">
        <v>49</v>
      </c>
      <c r="N15" s="3" t="s">
        <v>54</v>
      </c>
      <c r="O15" s="3" t="s">
        <v>56</v>
      </c>
      <c r="P15" s="3" t="s">
        <v>59</v>
      </c>
      <c r="Q15" s="3" t="s">
        <v>61</v>
      </c>
      <c r="R15" s="3" t="s">
        <v>66</v>
      </c>
      <c r="S15" s="3" t="s">
        <v>68</v>
      </c>
      <c r="T15" s="3" t="s">
        <v>70</v>
      </c>
      <c r="U15" s="3" t="s">
        <v>71</v>
      </c>
      <c r="V15" s="3" t="s">
        <v>73</v>
      </c>
      <c r="W15" s="3" t="s">
        <v>75</v>
      </c>
      <c r="X15" s="3" t="s">
        <v>76</v>
      </c>
      <c r="Y15" s="3" t="s">
        <v>77</v>
      </c>
      <c r="Z15" s="3" t="s">
        <v>78</v>
      </c>
      <c r="AA15" s="3" t="s">
        <v>79</v>
      </c>
      <c r="AB15" s="3" t="s">
        <v>82</v>
      </c>
      <c r="AC15" s="3" t="s">
        <v>83</v>
      </c>
      <c r="AD15" s="3" t="s">
        <v>84</v>
      </c>
      <c r="AE15" s="3" t="s">
        <v>85</v>
      </c>
      <c r="AF15" s="3" t="s">
        <v>87</v>
      </c>
      <c r="AG15" s="3" t="s">
        <v>90</v>
      </c>
      <c r="AH15" s="3" t="s">
        <v>93</v>
      </c>
      <c r="AI15" s="3" t="s">
        <v>96</v>
      </c>
      <c r="AJ15" s="3" t="s">
        <v>98</v>
      </c>
      <c r="AK15" s="3" t="s">
        <v>101</v>
      </c>
      <c r="AL15" s="3" t="s">
        <v>106</v>
      </c>
      <c r="AM15" s="3" t="s">
        <v>111</v>
      </c>
      <c r="AN15" s="3" t="s">
        <v>116</v>
      </c>
      <c r="AO15" s="3" t="s">
        <v>120</v>
      </c>
    </row>
    <row r="16" spans="1:41" x14ac:dyDescent="0.25">
      <c r="A16" s="3" t="s">
        <v>121</v>
      </c>
      <c r="B16" s="3" t="s">
        <v>121</v>
      </c>
      <c r="C16" s="3" t="s">
        <v>121</v>
      </c>
      <c r="D16" s="3" t="s">
        <v>121</v>
      </c>
      <c r="E16" s="3" t="s">
        <v>121</v>
      </c>
      <c r="F16" s="3" t="s">
        <v>121</v>
      </c>
      <c r="G16" s="3" t="s">
        <v>121</v>
      </c>
      <c r="H16" s="3" t="s">
        <v>121</v>
      </c>
      <c r="I16" s="3" t="s">
        <v>121</v>
      </c>
      <c r="J16" s="3" t="s">
        <v>121</v>
      </c>
      <c r="K16" s="3" t="s">
        <v>121</v>
      </c>
      <c r="L16" s="3" t="s">
        <v>121</v>
      </c>
      <c r="M16" s="3" t="s">
        <v>121</v>
      </c>
      <c r="N16" s="3" t="s">
        <v>121</v>
      </c>
      <c r="O16" s="3" t="s">
        <v>121</v>
      </c>
      <c r="P16" s="3" t="s">
        <v>121</v>
      </c>
      <c r="Q16" s="3" t="s">
        <v>121</v>
      </c>
      <c r="R16" s="3" t="s">
        <v>121</v>
      </c>
      <c r="S16" s="3" t="s">
        <v>121</v>
      </c>
      <c r="T16" s="3" t="s">
        <v>121</v>
      </c>
      <c r="U16" s="3" t="s">
        <v>121</v>
      </c>
      <c r="V16" s="3" t="s">
        <v>121</v>
      </c>
      <c r="W16" s="3" t="s">
        <v>121</v>
      </c>
      <c r="X16" s="3" t="s">
        <v>121</v>
      </c>
      <c r="Y16" s="3" t="s">
        <v>121</v>
      </c>
      <c r="Z16" s="3" t="s">
        <v>121</v>
      </c>
      <c r="AA16" s="3" t="s">
        <v>121</v>
      </c>
      <c r="AB16" s="3" t="s">
        <v>121</v>
      </c>
      <c r="AC16" s="3" t="s">
        <v>121</v>
      </c>
      <c r="AD16" s="3" t="s">
        <v>121</v>
      </c>
      <c r="AE16" s="3" t="s">
        <v>121</v>
      </c>
      <c r="AF16" s="3" t="s">
        <v>121</v>
      </c>
      <c r="AG16" s="3" t="s">
        <v>121</v>
      </c>
      <c r="AH16" s="3" t="s">
        <v>121</v>
      </c>
      <c r="AI16" s="3" t="s">
        <v>121</v>
      </c>
      <c r="AJ16" s="3" t="s">
        <v>121</v>
      </c>
      <c r="AK16" s="3" t="s">
        <v>121</v>
      </c>
      <c r="AL16" s="3" t="s">
        <v>121</v>
      </c>
      <c r="AM16" s="3" t="s">
        <v>121</v>
      </c>
      <c r="AN16" s="3" t="s">
        <v>121</v>
      </c>
      <c r="AO16" s="3" t="s">
        <v>121</v>
      </c>
    </row>
    <row r="17" spans="1:41" x14ac:dyDescent="0.25">
      <c r="A17" s="1">
        <v>1</v>
      </c>
      <c r="B17" s="1" t="s">
        <v>122</v>
      </c>
      <c r="C17" s="1" t="s">
        <v>123</v>
      </c>
      <c r="D17" s="1" t="s">
        <v>124</v>
      </c>
      <c r="E17" s="4">
        <v>45292</v>
      </c>
      <c r="F17" s="4">
        <v>45464</v>
      </c>
      <c r="G17" s="1" t="s">
        <v>125</v>
      </c>
      <c r="H17" s="5">
        <v>195984.99</v>
      </c>
      <c r="I17" s="5">
        <v>12644.65</v>
      </c>
      <c r="J17" s="5">
        <v>28365.23</v>
      </c>
      <c r="K17" s="5">
        <v>10900.75</v>
      </c>
      <c r="L17" s="5">
        <v>2979.89</v>
      </c>
      <c r="M17" s="5">
        <v>54890.52</v>
      </c>
      <c r="N17" s="5">
        <v>140835</v>
      </c>
      <c r="O17" s="5">
        <v>0</v>
      </c>
      <c r="P17" s="5">
        <v>259.47000000000003</v>
      </c>
      <c r="Q17" s="5">
        <v>141094.47</v>
      </c>
      <c r="R17" s="1" t="s">
        <v>126</v>
      </c>
      <c r="S17" s="1" t="s">
        <v>124</v>
      </c>
      <c r="T17" s="4">
        <v>45292</v>
      </c>
      <c r="U17" s="4">
        <v>45464</v>
      </c>
      <c r="V17" s="1" t="s">
        <v>125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141094.47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1" t="s">
        <v>127</v>
      </c>
    </row>
    <row r="18" spans="1:41" x14ac:dyDescent="0.25">
      <c r="A18" s="1">
        <f>A17+1</f>
        <v>2</v>
      </c>
      <c r="B18" s="1" t="s">
        <v>128</v>
      </c>
      <c r="C18" s="1" t="s">
        <v>123</v>
      </c>
      <c r="D18" s="1" t="s">
        <v>124</v>
      </c>
      <c r="E18" s="4">
        <v>45292</v>
      </c>
      <c r="F18" s="4">
        <v>45462</v>
      </c>
      <c r="G18" s="1" t="s">
        <v>125</v>
      </c>
      <c r="H18" s="5">
        <v>418598.42</v>
      </c>
      <c r="I18" s="5">
        <v>28164.31</v>
      </c>
      <c r="J18" s="5">
        <v>36112.82</v>
      </c>
      <c r="K18" s="5">
        <v>17074.97</v>
      </c>
      <c r="L18" s="5">
        <v>2933.91</v>
      </c>
      <c r="M18" s="5">
        <v>84286.01</v>
      </c>
      <c r="N18" s="5">
        <v>320896.71999999997</v>
      </c>
      <c r="O18" s="5">
        <v>0</v>
      </c>
      <c r="P18" s="5">
        <v>13415.69</v>
      </c>
      <c r="Q18" s="5">
        <v>334312.40999999997</v>
      </c>
      <c r="R18" s="1" t="s">
        <v>129</v>
      </c>
      <c r="S18" s="1" t="s">
        <v>124</v>
      </c>
      <c r="T18" s="4">
        <v>45292</v>
      </c>
      <c r="U18" s="4">
        <v>45462</v>
      </c>
      <c r="V18" s="1" t="s">
        <v>125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334312.40999999997</v>
      </c>
      <c r="AH18" s="5">
        <v>12646.86</v>
      </c>
      <c r="AI18" s="5">
        <v>0</v>
      </c>
      <c r="AJ18" s="5">
        <v>0</v>
      </c>
      <c r="AK18" s="5">
        <v>0</v>
      </c>
      <c r="AL18" s="5">
        <v>12646.86</v>
      </c>
      <c r="AM18" s="5">
        <v>0</v>
      </c>
      <c r="AN18" s="5">
        <v>12646.86</v>
      </c>
      <c r="AO18" s="1" t="s">
        <v>127</v>
      </c>
    </row>
    <row r="19" spans="1:41" x14ac:dyDescent="0.25">
      <c r="A19" s="1">
        <f t="shared" ref="A19:A82" si="0">A18+1</f>
        <v>3</v>
      </c>
      <c r="B19" s="1" t="s">
        <v>130</v>
      </c>
      <c r="C19" s="1" t="s">
        <v>123</v>
      </c>
      <c r="D19" s="1" t="s">
        <v>124</v>
      </c>
      <c r="E19" s="4">
        <v>45292</v>
      </c>
      <c r="F19" s="4">
        <v>45484</v>
      </c>
      <c r="G19" s="1" t="s">
        <v>125</v>
      </c>
      <c r="H19" s="5">
        <v>700059.09</v>
      </c>
      <c r="I19" s="5">
        <v>52189.03</v>
      </c>
      <c r="J19" s="5">
        <v>18328.740000000002</v>
      </c>
      <c r="K19" s="5">
        <v>23537</v>
      </c>
      <c r="L19" s="5">
        <v>3272.99</v>
      </c>
      <c r="M19" s="5">
        <v>97327.76</v>
      </c>
      <c r="N19" s="5">
        <v>602731.32999999996</v>
      </c>
      <c r="O19" s="5">
        <v>0</v>
      </c>
      <c r="P19" s="5">
        <v>0</v>
      </c>
      <c r="Q19" s="5">
        <v>602731.32999999996</v>
      </c>
      <c r="R19" s="1" t="s">
        <v>131</v>
      </c>
      <c r="S19" s="1" t="s">
        <v>124</v>
      </c>
      <c r="T19" s="4">
        <v>45292</v>
      </c>
      <c r="U19" s="4">
        <v>45484</v>
      </c>
      <c r="V19" s="1" t="s">
        <v>125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602731.32999999996</v>
      </c>
      <c r="AH19" s="5">
        <v>63046.27</v>
      </c>
      <c r="AI19" s="5">
        <v>0</v>
      </c>
      <c r="AJ19" s="5">
        <v>0</v>
      </c>
      <c r="AK19" s="5">
        <v>0</v>
      </c>
      <c r="AL19" s="5">
        <v>63046.27</v>
      </c>
      <c r="AM19" s="5">
        <v>0</v>
      </c>
      <c r="AN19" s="5">
        <v>63046.27</v>
      </c>
      <c r="AO19" s="1" t="s">
        <v>127</v>
      </c>
    </row>
    <row r="20" spans="1:41" x14ac:dyDescent="0.25">
      <c r="A20" s="1">
        <f t="shared" si="0"/>
        <v>4</v>
      </c>
      <c r="B20" s="1" t="s">
        <v>132</v>
      </c>
      <c r="C20" s="1" t="s">
        <v>123</v>
      </c>
      <c r="D20" s="1" t="s">
        <v>124</v>
      </c>
      <c r="E20" s="4">
        <v>45292</v>
      </c>
      <c r="F20" s="4">
        <v>45439</v>
      </c>
      <c r="G20" s="1" t="s">
        <v>125</v>
      </c>
      <c r="H20" s="5">
        <v>457507.67</v>
      </c>
      <c r="I20" s="5">
        <v>33639.85</v>
      </c>
      <c r="J20" s="5">
        <v>0</v>
      </c>
      <c r="K20" s="5">
        <v>16650</v>
      </c>
      <c r="L20" s="5">
        <v>2189.66</v>
      </c>
      <c r="M20" s="5">
        <v>52479.51</v>
      </c>
      <c r="N20" s="5">
        <v>387028.16</v>
      </c>
      <c r="O20" s="5">
        <v>0</v>
      </c>
      <c r="P20" s="5">
        <v>18000</v>
      </c>
      <c r="Q20" s="5">
        <v>405028.16</v>
      </c>
      <c r="R20" s="1" t="s">
        <v>133</v>
      </c>
      <c r="S20" s="1" t="s">
        <v>124</v>
      </c>
      <c r="T20" s="4">
        <v>45292</v>
      </c>
      <c r="U20" s="4">
        <v>45439</v>
      </c>
      <c r="V20" s="1" t="s">
        <v>125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405028.16</v>
      </c>
      <c r="AH20" s="5">
        <v>23505.63</v>
      </c>
      <c r="AI20" s="5">
        <v>0</v>
      </c>
      <c r="AJ20" s="5">
        <v>0</v>
      </c>
      <c r="AK20" s="5">
        <v>0</v>
      </c>
      <c r="AL20" s="5">
        <v>23505.63</v>
      </c>
      <c r="AM20" s="5">
        <v>0</v>
      </c>
      <c r="AN20" s="5">
        <v>23505.63</v>
      </c>
      <c r="AO20" s="1" t="s">
        <v>127</v>
      </c>
    </row>
    <row r="21" spans="1:41" x14ac:dyDescent="0.25">
      <c r="A21" s="1">
        <f t="shared" si="0"/>
        <v>5</v>
      </c>
      <c r="B21" s="1" t="s">
        <v>134</v>
      </c>
      <c r="C21" s="1" t="s">
        <v>123</v>
      </c>
      <c r="D21" s="1" t="s">
        <v>124</v>
      </c>
      <c r="E21" s="4">
        <v>45292</v>
      </c>
      <c r="F21" s="4">
        <v>45446</v>
      </c>
      <c r="G21" s="1" t="s">
        <v>125</v>
      </c>
      <c r="H21" s="5">
        <v>463998.86</v>
      </c>
      <c r="I21" s="5">
        <v>33548.85</v>
      </c>
      <c r="J21" s="5">
        <v>17929.89</v>
      </c>
      <c r="K21" s="5">
        <v>17025</v>
      </c>
      <c r="L21" s="5">
        <v>933.91</v>
      </c>
      <c r="M21" s="5">
        <v>69437.649999999994</v>
      </c>
      <c r="N21" s="5">
        <v>385561.21</v>
      </c>
      <c r="O21" s="5">
        <v>0</v>
      </c>
      <c r="P21" s="5">
        <v>9000</v>
      </c>
      <c r="Q21" s="5">
        <v>394561.21</v>
      </c>
      <c r="R21" s="1" t="s">
        <v>135</v>
      </c>
      <c r="S21" s="1" t="s">
        <v>124</v>
      </c>
      <c r="T21" s="4">
        <v>45292</v>
      </c>
      <c r="U21" s="4">
        <v>45446</v>
      </c>
      <c r="V21" s="1" t="s">
        <v>125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394561.21</v>
      </c>
      <c r="AH21" s="5">
        <v>21684.18</v>
      </c>
      <c r="AI21" s="5">
        <v>0</v>
      </c>
      <c r="AJ21" s="5">
        <v>0</v>
      </c>
      <c r="AK21" s="5">
        <v>0</v>
      </c>
      <c r="AL21" s="5">
        <v>21684.18</v>
      </c>
      <c r="AM21" s="5">
        <v>0</v>
      </c>
      <c r="AN21" s="5">
        <v>21684.18</v>
      </c>
      <c r="AO21" s="1" t="s">
        <v>127</v>
      </c>
    </row>
    <row r="22" spans="1:41" x14ac:dyDescent="0.25">
      <c r="A22" s="1">
        <f t="shared" si="0"/>
        <v>6</v>
      </c>
      <c r="B22" s="1" t="s">
        <v>136</v>
      </c>
      <c r="C22" s="1" t="s">
        <v>123</v>
      </c>
      <c r="D22" s="1" t="s">
        <v>124</v>
      </c>
      <c r="E22" s="4">
        <v>45292</v>
      </c>
      <c r="F22" s="4">
        <v>45476</v>
      </c>
      <c r="G22" s="1" t="s">
        <v>125</v>
      </c>
      <c r="H22" s="5">
        <v>519929.32</v>
      </c>
      <c r="I22" s="5">
        <v>39798.85</v>
      </c>
      <c r="J22" s="5">
        <v>-7073.56</v>
      </c>
      <c r="K22" s="5">
        <v>20450</v>
      </c>
      <c r="L22" s="5">
        <v>1433.91</v>
      </c>
      <c r="M22" s="5">
        <v>54609.2</v>
      </c>
      <c r="N22" s="5">
        <v>457136.21</v>
      </c>
      <c r="O22" s="5">
        <v>0</v>
      </c>
      <c r="P22" s="5">
        <v>8183.91</v>
      </c>
      <c r="Q22" s="5">
        <v>465320.12</v>
      </c>
      <c r="R22" s="1" t="s">
        <v>137</v>
      </c>
      <c r="S22" s="1" t="s">
        <v>124</v>
      </c>
      <c r="T22" s="4">
        <v>45292</v>
      </c>
      <c r="U22" s="4">
        <v>45476</v>
      </c>
      <c r="V22" s="1" t="s">
        <v>125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465320.12</v>
      </c>
      <c r="AH22" s="5">
        <v>35564.019999999997</v>
      </c>
      <c r="AI22" s="5">
        <v>0</v>
      </c>
      <c r="AJ22" s="5">
        <v>0</v>
      </c>
      <c r="AK22" s="5">
        <v>0</v>
      </c>
      <c r="AL22" s="5">
        <v>35564.019999999997</v>
      </c>
      <c r="AM22" s="5">
        <v>0</v>
      </c>
      <c r="AN22" s="5">
        <v>35564.019999999997</v>
      </c>
      <c r="AO22" s="1" t="s">
        <v>127</v>
      </c>
    </row>
    <row r="23" spans="1:41" x14ac:dyDescent="0.25">
      <c r="A23" s="1">
        <f t="shared" si="0"/>
        <v>7</v>
      </c>
      <c r="B23" s="1" t="s">
        <v>138</v>
      </c>
      <c r="C23" s="1" t="s">
        <v>123</v>
      </c>
      <c r="D23" s="1" t="s">
        <v>124</v>
      </c>
      <c r="E23" s="4">
        <v>45292</v>
      </c>
      <c r="F23" s="4">
        <v>45447</v>
      </c>
      <c r="G23" s="1" t="s">
        <v>125</v>
      </c>
      <c r="H23" s="5">
        <v>428745.86</v>
      </c>
      <c r="I23" s="5">
        <v>32499.74</v>
      </c>
      <c r="J23" s="5">
        <v>3542.29</v>
      </c>
      <c r="K23" s="5">
        <v>16586.07</v>
      </c>
      <c r="L23" s="5">
        <v>2706.9</v>
      </c>
      <c r="M23" s="5">
        <v>55335</v>
      </c>
      <c r="N23" s="5">
        <v>373410.86</v>
      </c>
      <c r="O23" s="5">
        <v>0</v>
      </c>
      <c r="P23" s="5">
        <v>0</v>
      </c>
      <c r="Q23" s="5">
        <v>373410.86</v>
      </c>
      <c r="R23" s="1" t="s">
        <v>139</v>
      </c>
      <c r="S23" s="1" t="s">
        <v>124</v>
      </c>
      <c r="T23" s="4">
        <v>45292</v>
      </c>
      <c r="U23" s="4">
        <v>45447</v>
      </c>
      <c r="V23" s="1" t="s">
        <v>125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373410.86</v>
      </c>
      <c r="AH23" s="5">
        <v>18511.63</v>
      </c>
      <c r="AI23" s="5">
        <v>0</v>
      </c>
      <c r="AJ23" s="5">
        <v>0</v>
      </c>
      <c r="AK23" s="5">
        <v>0</v>
      </c>
      <c r="AL23" s="5">
        <v>18511.63</v>
      </c>
      <c r="AM23" s="5">
        <v>0</v>
      </c>
      <c r="AN23" s="5">
        <v>18511.63</v>
      </c>
      <c r="AO23" s="1" t="s">
        <v>127</v>
      </c>
    </row>
    <row r="24" spans="1:41" x14ac:dyDescent="0.25">
      <c r="A24" s="1">
        <f t="shared" si="0"/>
        <v>8</v>
      </c>
      <c r="B24" s="1" t="s">
        <v>140</v>
      </c>
      <c r="C24" s="1" t="s">
        <v>123</v>
      </c>
      <c r="D24" s="1" t="s">
        <v>124</v>
      </c>
      <c r="E24" s="4">
        <v>45292</v>
      </c>
      <c r="F24" s="4">
        <v>45415</v>
      </c>
      <c r="G24" s="1" t="s">
        <v>125</v>
      </c>
      <c r="H24" s="5">
        <v>215134.75</v>
      </c>
      <c r="I24" s="5">
        <v>14712.64</v>
      </c>
      <c r="J24" s="5">
        <v>18070.11</v>
      </c>
      <c r="K24" s="5">
        <v>10100</v>
      </c>
      <c r="L24" s="5">
        <v>4413.79</v>
      </c>
      <c r="M24" s="5">
        <v>47296.54</v>
      </c>
      <c r="N24" s="5">
        <v>166451.72</v>
      </c>
      <c r="O24" s="5">
        <v>0</v>
      </c>
      <c r="P24" s="5">
        <v>1386.49</v>
      </c>
      <c r="Q24" s="5">
        <v>167838.21</v>
      </c>
      <c r="R24" s="1" t="s">
        <v>141</v>
      </c>
      <c r="S24" s="1" t="s">
        <v>124</v>
      </c>
      <c r="T24" s="4">
        <v>45292</v>
      </c>
      <c r="U24" s="4">
        <v>45415</v>
      </c>
      <c r="V24" s="1" t="s">
        <v>125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167838.21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1" t="s">
        <v>127</v>
      </c>
    </row>
    <row r="25" spans="1:41" x14ac:dyDescent="0.25">
      <c r="A25" s="1">
        <f t="shared" si="0"/>
        <v>9</v>
      </c>
      <c r="B25" s="1" t="s">
        <v>142</v>
      </c>
      <c r="C25" s="1" t="s">
        <v>123</v>
      </c>
      <c r="D25" s="1" t="s">
        <v>124</v>
      </c>
      <c r="E25" s="4">
        <v>45292</v>
      </c>
      <c r="F25" s="4">
        <v>45408</v>
      </c>
      <c r="G25" s="1" t="s">
        <v>125</v>
      </c>
      <c r="H25" s="5">
        <v>300316.86</v>
      </c>
      <c r="I25" s="5">
        <v>22662.84</v>
      </c>
      <c r="J25" s="5">
        <v>5700</v>
      </c>
      <c r="K25" s="5">
        <v>11787.5</v>
      </c>
      <c r="L25" s="5">
        <v>0</v>
      </c>
      <c r="M25" s="5">
        <v>40150.339999999997</v>
      </c>
      <c r="N25" s="5">
        <v>260166.52</v>
      </c>
      <c r="O25" s="5">
        <v>0</v>
      </c>
      <c r="P25" s="5">
        <v>0</v>
      </c>
      <c r="Q25" s="5">
        <v>260166.52</v>
      </c>
      <c r="R25" s="1" t="s">
        <v>143</v>
      </c>
      <c r="S25" s="1" t="s">
        <v>124</v>
      </c>
      <c r="T25" s="4">
        <v>45292</v>
      </c>
      <c r="U25" s="4">
        <v>45408</v>
      </c>
      <c r="V25" s="1" t="s">
        <v>125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260166.52</v>
      </c>
      <c r="AH25" s="5">
        <v>1524.98</v>
      </c>
      <c r="AI25" s="5">
        <v>0</v>
      </c>
      <c r="AJ25" s="5">
        <v>0</v>
      </c>
      <c r="AK25" s="5">
        <v>0</v>
      </c>
      <c r="AL25" s="5">
        <v>1524.98</v>
      </c>
      <c r="AM25" s="5">
        <v>0</v>
      </c>
      <c r="AN25" s="5">
        <v>1524.98</v>
      </c>
      <c r="AO25" s="1" t="s">
        <v>127</v>
      </c>
    </row>
    <row r="26" spans="1:41" x14ac:dyDescent="0.25">
      <c r="A26" s="1">
        <f t="shared" si="0"/>
        <v>10</v>
      </c>
      <c r="B26" s="1" t="s">
        <v>144</v>
      </c>
      <c r="C26" s="1" t="s">
        <v>123</v>
      </c>
      <c r="D26" s="1" t="s">
        <v>124</v>
      </c>
      <c r="E26" s="4">
        <v>45292</v>
      </c>
      <c r="F26" s="4">
        <v>45370</v>
      </c>
      <c r="G26" s="1" t="s">
        <v>125</v>
      </c>
      <c r="H26" s="5">
        <v>92386.19</v>
      </c>
      <c r="I26" s="5">
        <v>6084.55</v>
      </c>
      <c r="J26" s="5">
        <v>11853.13</v>
      </c>
      <c r="K26" s="5">
        <v>4948.75</v>
      </c>
      <c r="L26" s="5">
        <v>1433.91</v>
      </c>
      <c r="M26" s="5">
        <v>24320.34</v>
      </c>
      <c r="N26" s="5">
        <v>68065.850000000006</v>
      </c>
      <c r="O26" s="5">
        <v>0</v>
      </c>
      <c r="P26" s="5">
        <v>0</v>
      </c>
      <c r="Q26" s="5">
        <v>68065.850000000006</v>
      </c>
      <c r="R26" s="1" t="s">
        <v>145</v>
      </c>
      <c r="S26" s="1" t="s">
        <v>124</v>
      </c>
      <c r="T26" s="4">
        <v>45292</v>
      </c>
      <c r="U26" s="4">
        <v>45370</v>
      </c>
      <c r="V26" s="1" t="s">
        <v>125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68065.850000000006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1" t="s">
        <v>127</v>
      </c>
    </row>
    <row r="27" spans="1:41" x14ac:dyDescent="0.25">
      <c r="A27" s="1">
        <f t="shared" si="0"/>
        <v>11</v>
      </c>
      <c r="B27" s="1" t="s">
        <v>146</v>
      </c>
      <c r="C27" s="1" t="s">
        <v>123</v>
      </c>
      <c r="D27" s="1" t="s">
        <v>124</v>
      </c>
      <c r="E27" s="4">
        <v>45292</v>
      </c>
      <c r="F27" s="4">
        <v>45427</v>
      </c>
      <c r="G27" s="1" t="s">
        <v>125</v>
      </c>
      <c r="H27" s="5">
        <v>1149997.1200000001</v>
      </c>
      <c r="I27" s="5">
        <v>79597.7</v>
      </c>
      <c r="J27" s="5">
        <v>50752.87</v>
      </c>
      <c r="K27" s="5">
        <v>18900</v>
      </c>
      <c r="L27" s="5">
        <v>16715.52</v>
      </c>
      <c r="M27" s="5">
        <v>165966.09</v>
      </c>
      <c r="N27" s="5">
        <v>936272.41</v>
      </c>
      <c r="O27" s="5">
        <v>0</v>
      </c>
      <c r="P27" s="5">
        <v>47758.62</v>
      </c>
      <c r="Q27" s="5">
        <v>984031.03</v>
      </c>
      <c r="R27" s="1" t="s">
        <v>147</v>
      </c>
      <c r="S27" s="1" t="s">
        <v>124</v>
      </c>
      <c r="T27" s="4">
        <v>45292</v>
      </c>
      <c r="U27" s="4">
        <v>45427</v>
      </c>
      <c r="V27" s="1" t="s">
        <v>125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984031.03</v>
      </c>
      <c r="AH27" s="5">
        <v>148507.76</v>
      </c>
      <c r="AI27" s="5">
        <v>0</v>
      </c>
      <c r="AJ27" s="5">
        <v>0</v>
      </c>
      <c r="AK27" s="5">
        <v>0</v>
      </c>
      <c r="AL27" s="5">
        <v>148507.76</v>
      </c>
      <c r="AM27" s="5">
        <v>0</v>
      </c>
      <c r="AN27" s="5">
        <v>148507.76</v>
      </c>
      <c r="AO27" s="1" t="s">
        <v>127</v>
      </c>
    </row>
    <row r="28" spans="1:41" x14ac:dyDescent="0.25">
      <c r="A28" s="1">
        <f t="shared" si="0"/>
        <v>12</v>
      </c>
      <c r="B28" s="1" t="s">
        <v>148</v>
      </c>
      <c r="C28" s="1" t="s">
        <v>123</v>
      </c>
      <c r="D28" s="1" t="s">
        <v>124</v>
      </c>
      <c r="E28" s="4">
        <v>45292</v>
      </c>
      <c r="F28" s="4">
        <v>45350</v>
      </c>
      <c r="G28" s="1" t="s">
        <v>125</v>
      </c>
      <c r="H28" s="5">
        <v>237017.71</v>
      </c>
      <c r="I28" s="5">
        <v>17289.27</v>
      </c>
      <c r="J28" s="5">
        <v>10482.76</v>
      </c>
      <c r="K28" s="5">
        <v>6562.5</v>
      </c>
      <c r="L28" s="5">
        <v>1091.95</v>
      </c>
      <c r="M28" s="5">
        <v>35426.480000000003</v>
      </c>
      <c r="N28" s="5">
        <v>200908.76</v>
      </c>
      <c r="O28" s="5">
        <v>0</v>
      </c>
      <c r="P28" s="5">
        <v>682.47</v>
      </c>
      <c r="Q28" s="5">
        <v>201591.23</v>
      </c>
      <c r="R28" s="1" t="s">
        <v>149</v>
      </c>
      <c r="S28" s="1" t="s">
        <v>124</v>
      </c>
      <c r="T28" s="4">
        <v>45292</v>
      </c>
      <c r="U28" s="4">
        <v>45350</v>
      </c>
      <c r="V28" s="1" t="s">
        <v>125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201591.23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1" t="s">
        <v>127</v>
      </c>
    </row>
    <row r="29" spans="1:41" x14ac:dyDescent="0.25">
      <c r="A29" s="1">
        <f t="shared" si="0"/>
        <v>13</v>
      </c>
      <c r="B29" s="1" t="s">
        <v>150</v>
      </c>
      <c r="C29" s="1" t="s">
        <v>123</v>
      </c>
      <c r="D29" s="1" t="s">
        <v>124</v>
      </c>
      <c r="E29" s="4">
        <v>45292</v>
      </c>
      <c r="F29" s="4">
        <v>45395</v>
      </c>
      <c r="G29" s="1" t="s">
        <v>125</v>
      </c>
      <c r="H29" s="5">
        <v>304547.8</v>
      </c>
      <c r="I29" s="5">
        <v>22065.13</v>
      </c>
      <c r="J29" s="5">
        <v>13882.09</v>
      </c>
      <c r="K29" s="5">
        <v>10800</v>
      </c>
      <c r="L29" s="5">
        <v>3818.97</v>
      </c>
      <c r="M29" s="5">
        <v>50566.19</v>
      </c>
      <c r="N29" s="5">
        <v>253981.61</v>
      </c>
      <c r="O29" s="5">
        <v>0</v>
      </c>
      <c r="P29" s="5">
        <v>0</v>
      </c>
      <c r="Q29" s="5">
        <v>253981.61</v>
      </c>
      <c r="R29" s="1" t="s">
        <v>151</v>
      </c>
      <c r="S29" s="1" t="s">
        <v>124</v>
      </c>
      <c r="T29" s="4">
        <v>45292</v>
      </c>
      <c r="U29" s="4">
        <v>45395</v>
      </c>
      <c r="V29" s="1" t="s">
        <v>125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253981.61</v>
      </c>
      <c r="AH29" s="5">
        <v>597.24</v>
      </c>
      <c r="AI29" s="5">
        <v>0</v>
      </c>
      <c r="AJ29" s="5">
        <v>0</v>
      </c>
      <c r="AK29" s="5">
        <v>0</v>
      </c>
      <c r="AL29" s="5">
        <v>597.24</v>
      </c>
      <c r="AM29" s="5">
        <v>0</v>
      </c>
      <c r="AN29" s="5">
        <v>597.24</v>
      </c>
      <c r="AO29" s="1" t="s">
        <v>127</v>
      </c>
    </row>
    <row r="30" spans="1:41" x14ac:dyDescent="0.25">
      <c r="A30" s="1">
        <f t="shared" si="0"/>
        <v>14</v>
      </c>
      <c r="B30" s="1" t="s">
        <v>152</v>
      </c>
      <c r="C30" s="1" t="s">
        <v>123</v>
      </c>
      <c r="D30" s="1" t="s">
        <v>124</v>
      </c>
      <c r="E30" s="4">
        <v>45292</v>
      </c>
      <c r="F30" s="4">
        <v>45390</v>
      </c>
      <c r="G30" s="1" t="s">
        <v>125</v>
      </c>
      <c r="H30" s="5">
        <v>807388.41</v>
      </c>
      <c r="I30" s="5">
        <v>57811.25</v>
      </c>
      <c r="J30" s="5">
        <v>13290.5</v>
      </c>
      <c r="K30" s="5">
        <v>12050</v>
      </c>
      <c r="L30" s="5">
        <v>7091.95</v>
      </c>
      <c r="M30" s="5">
        <v>90243.7</v>
      </c>
      <c r="N30" s="5">
        <v>681684.94</v>
      </c>
      <c r="O30" s="5">
        <v>0</v>
      </c>
      <c r="P30" s="5">
        <v>35459.769999999997</v>
      </c>
      <c r="Q30" s="5">
        <v>717144.71</v>
      </c>
      <c r="R30" s="1" t="s">
        <v>153</v>
      </c>
      <c r="S30" s="1" t="s">
        <v>124</v>
      </c>
      <c r="T30" s="4">
        <v>45292</v>
      </c>
      <c r="U30" s="4">
        <v>45390</v>
      </c>
      <c r="V30" s="1" t="s">
        <v>125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717144.71</v>
      </c>
      <c r="AH30" s="5">
        <v>85928.94</v>
      </c>
      <c r="AI30" s="5">
        <v>0</v>
      </c>
      <c r="AJ30" s="5">
        <v>0</v>
      </c>
      <c r="AK30" s="5">
        <v>0</v>
      </c>
      <c r="AL30" s="5">
        <v>85928.94</v>
      </c>
      <c r="AM30" s="5">
        <v>0</v>
      </c>
      <c r="AN30" s="5">
        <v>85928.94</v>
      </c>
      <c r="AO30" s="1" t="s">
        <v>127</v>
      </c>
    </row>
    <row r="31" spans="1:41" x14ac:dyDescent="0.25">
      <c r="A31" s="1">
        <f t="shared" si="0"/>
        <v>15</v>
      </c>
      <c r="B31" s="1" t="s">
        <v>154</v>
      </c>
      <c r="C31" s="1" t="s">
        <v>123</v>
      </c>
      <c r="D31" s="1" t="s">
        <v>124</v>
      </c>
      <c r="E31" s="4">
        <v>45292</v>
      </c>
      <c r="F31" s="4">
        <v>45315</v>
      </c>
      <c r="G31" s="1" t="s">
        <v>125</v>
      </c>
      <c r="H31" s="5">
        <v>63136.78</v>
      </c>
      <c r="I31" s="5">
        <v>0</v>
      </c>
      <c r="J31" s="5">
        <v>3057.47</v>
      </c>
      <c r="K31" s="5">
        <v>2019</v>
      </c>
      <c r="L31" s="5">
        <v>545.98</v>
      </c>
      <c r="M31" s="5">
        <v>5622.45</v>
      </c>
      <c r="N31" s="5">
        <v>57514.33</v>
      </c>
      <c r="O31" s="5">
        <v>0</v>
      </c>
      <c r="P31" s="5">
        <v>0</v>
      </c>
      <c r="Q31" s="5">
        <v>57514.33</v>
      </c>
      <c r="R31" s="1" t="s">
        <v>155</v>
      </c>
      <c r="S31" s="1" t="s">
        <v>124</v>
      </c>
      <c r="T31" s="4">
        <v>45292</v>
      </c>
      <c r="U31" s="4">
        <v>45315</v>
      </c>
      <c r="V31" s="1" t="s">
        <v>125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57514.33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1" t="s">
        <v>127</v>
      </c>
    </row>
    <row r="32" spans="1:41" x14ac:dyDescent="0.25">
      <c r="A32" s="1">
        <f t="shared" si="0"/>
        <v>16</v>
      </c>
      <c r="B32" s="1" t="s">
        <v>156</v>
      </c>
      <c r="C32" s="1" t="s">
        <v>123</v>
      </c>
      <c r="D32" s="1" t="s">
        <v>124</v>
      </c>
      <c r="E32" s="4">
        <v>45292</v>
      </c>
      <c r="F32" s="4">
        <v>45329</v>
      </c>
      <c r="G32" s="1" t="s">
        <v>125</v>
      </c>
      <c r="H32" s="5">
        <v>116197.5</v>
      </c>
      <c r="I32" s="5">
        <v>8557.5</v>
      </c>
      <c r="J32" s="5">
        <v>4200</v>
      </c>
      <c r="K32" s="5">
        <v>3161.5</v>
      </c>
      <c r="L32" s="5">
        <v>750</v>
      </c>
      <c r="M32" s="5">
        <v>16669</v>
      </c>
      <c r="N32" s="5">
        <v>99528.5</v>
      </c>
      <c r="O32" s="5">
        <v>0</v>
      </c>
      <c r="P32" s="5">
        <v>0</v>
      </c>
      <c r="Q32" s="5">
        <v>99528.5</v>
      </c>
      <c r="R32" s="1" t="s">
        <v>157</v>
      </c>
      <c r="S32" s="1" t="s">
        <v>124</v>
      </c>
      <c r="T32" s="4">
        <v>45292</v>
      </c>
      <c r="U32" s="4">
        <v>45329</v>
      </c>
      <c r="V32" s="1" t="s">
        <v>125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99528.5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1" t="s">
        <v>127</v>
      </c>
    </row>
    <row r="33" spans="1:41" x14ac:dyDescent="0.25">
      <c r="A33" s="1">
        <f t="shared" si="0"/>
        <v>17</v>
      </c>
      <c r="B33" s="1" t="s">
        <v>158</v>
      </c>
      <c r="C33" s="1" t="s">
        <v>123</v>
      </c>
      <c r="D33" s="1" t="s">
        <v>124</v>
      </c>
      <c r="E33" s="4">
        <v>45292</v>
      </c>
      <c r="F33" s="4">
        <v>45431</v>
      </c>
      <c r="G33" s="1" t="s">
        <v>125</v>
      </c>
      <c r="H33" s="5">
        <v>286300.38</v>
      </c>
      <c r="I33" s="5">
        <v>19552.39</v>
      </c>
      <c r="J33" s="5">
        <v>29685.34</v>
      </c>
      <c r="K33" s="5">
        <v>12802.5</v>
      </c>
      <c r="L33" s="5">
        <v>2433.91</v>
      </c>
      <c r="M33" s="5">
        <v>64474.14</v>
      </c>
      <c r="N33" s="5">
        <v>221826.24</v>
      </c>
      <c r="O33" s="5">
        <v>0</v>
      </c>
      <c r="P33" s="5">
        <v>0</v>
      </c>
      <c r="Q33" s="5">
        <v>221826.24</v>
      </c>
      <c r="R33" s="1" t="s">
        <v>159</v>
      </c>
      <c r="S33" s="1" t="s">
        <v>124</v>
      </c>
      <c r="T33" s="4">
        <v>45292</v>
      </c>
      <c r="U33" s="4">
        <v>45431</v>
      </c>
      <c r="V33" s="1" t="s">
        <v>125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221826.24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1" t="s">
        <v>127</v>
      </c>
    </row>
    <row r="34" spans="1:41" x14ac:dyDescent="0.25">
      <c r="A34" s="1">
        <f t="shared" si="0"/>
        <v>18</v>
      </c>
      <c r="B34" s="1" t="s">
        <v>160</v>
      </c>
      <c r="C34" s="1" t="s">
        <v>123</v>
      </c>
      <c r="D34" s="1" t="s">
        <v>124</v>
      </c>
      <c r="E34" s="4">
        <v>45292</v>
      </c>
      <c r="F34" s="4">
        <v>45326</v>
      </c>
      <c r="G34" s="1" t="s">
        <v>125</v>
      </c>
      <c r="H34" s="5">
        <v>58542.82</v>
      </c>
      <c r="I34" s="5">
        <v>4105.8900000000003</v>
      </c>
      <c r="J34" s="5">
        <v>3958.62</v>
      </c>
      <c r="K34" s="5">
        <v>2321.25</v>
      </c>
      <c r="L34" s="5">
        <v>706.9</v>
      </c>
      <c r="M34" s="5">
        <v>11092.66</v>
      </c>
      <c r="N34" s="5">
        <v>46949.440000000002</v>
      </c>
      <c r="O34" s="5">
        <v>0</v>
      </c>
      <c r="P34" s="5">
        <v>500.72</v>
      </c>
      <c r="Q34" s="5">
        <v>47450.16</v>
      </c>
      <c r="R34" s="1" t="s">
        <v>161</v>
      </c>
      <c r="S34" s="1" t="s">
        <v>124</v>
      </c>
      <c r="T34" s="4">
        <v>45292</v>
      </c>
      <c r="U34" s="4">
        <v>45326</v>
      </c>
      <c r="V34" s="1" t="s">
        <v>125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47450.16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1" t="s">
        <v>127</v>
      </c>
    </row>
    <row r="35" spans="1:41" x14ac:dyDescent="0.25">
      <c r="A35" s="1">
        <f t="shared" si="0"/>
        <v>19</v>
      </c>
      <c r="B35" s="1" t="s">
        <v>162</v>
      </c>
      <c r="C35" s="1" t="s">
        <v>123</v>
      </c>
      <c r="D35" s="1" t="s">
        <v>124</v>
      </c>
      <c r="E35" s="4">
        <v>45292</v>
      </c>
      <c r="F35" s="4">
        <v>45396</v>
      </c>
      <c r="G35" s="1" t="s">
        <v>125</v>
      </c>
      <c r="H35" s="5">
        <v>979514.67</v>
      </c>
      <c r="I35" s="5">
        <v>68252.12</v>
      </c>
      <c r="J35" s="5">
        <v>47478.54</v>
      </c>
      <c r="K35" s="5">
        <v>14850</v>
      </c>
      <c r="L35" s="5">
        <v>7459.77</v>
      </c>
      <c r="M35" s="5">
        <v>138040.43</v>
      </c>
      <c r="N35" s="5">
        <v>804175.39</v>
      </c>
      <c r="O35" s="5">
        <v>0</v>
      </c>
      <c r="P35" s="5">
        <v>37298.85</v>
      </c>
      <c r="Q35" s="5">
        <v>841474.24</v>
      </c>
      <c r="R35" s="1" t="s">
        <v>163</v>
      </c>
      <c r="S35" s="1" t="s">
        <v>124</v>
      </c>
      <c r="T35" s="4">
        <v>45292</v>
      </c>
      <c r="U35" s="4">
        <v>45396</v>
      </c>
      <c r="V35" s="1" t="s">
        <v>125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841474.24</v>
      </c>
      <c r="AH35" s="5">
        <v>112868.56</v>
      </c>
      <c r="AI35" s="5">
        <v>0</v>
      </c>
      <c r="AJ35" s="5">
        <v>0</v>
      </c>
      <c r="AK35" s="5">
        <v>0</v>
      </c>
      <c r="AL35" s="5">
        <v>112868.56</v>
      </c>
      <c r="AM35" s="5">
        <v>0</v>
      </c>
      <c r="AN35" s="5">
        <v>112868.56</v>
      </c>
      <c r="AO35" s="1" t="s">
        <v>127</v>
      </c>
    </row>
    <row r="36" spans="1:41" x14ac:dyDescent="0.25">
      <c r="A36" s="1">
        <f t="shared" si="0"/>
        <v>20</v>
      </c>
      <c r="B36" s="1" t="s">
        <v>164</v>
      </c>
      <c r="C36" s="1" t="s">
        <v>123</v>
      </c>
      <c r="D36" s="1" t="s">
        <v>124</v>
      </c>
      <c r="E36" s="4">
        <v>45292</v>
      </c>
      <c r="F36" s="4">
        <v>45408</v>
      </c>
      <c r="G36" s="1" t="s">
        <v>125</v>
      </c>
      <c r="H36" s="5">
        <v>265949.07</v>
      </c>
      <c r="I36" s="5">
        <v>19026.32</v>
      </c>
      <c r="J36" s="5">
        <v>16514.939999999999</v>
      </c>
      <c r="K36" s="5">
        <v>10762.37</v>
      </c>
      <c r="L36" s="5">
        <v>2091.9499999999998</v>
      </c>
      <c r="M36" s="5">
        <v>48395.58</v>
      </c>
      <c r="N36" s="5">
        <v>217553.49</v>
      </c>
      <c r="O36" s="5">
        <v>0</v>
      </c>
      <c r="P36" s="5">
        <v>0</v>
      </c>
      <c r="Q36" s="5">
        <v>217553.49</v>
      </c>
      <c r="R36" s="1" t="s">
        <v>165</v>
      </c>
      <c r="S36" s="1" t="s">
        <v>124</v>
      </c>
      <c r="T36" s="4">
        <v>45292</v>
      </c>
      <c r="U36" s="4">
        <v>45408</v>
      </c>
      <c r="V36" s="1" t="s">
        <v>125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217553.49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1" t="s">
        <v>127</v>
      </c>
    </row>
    <row r="37" spans="1:41" x14ac:dyDescent="0.25">
      <c r="A37" s="1">
        <f t="shared" si="0"/>
        <v>21</v>
      </c>
      <c r="B37" s="1" t="s">
        <v>166</v>
      </c>
      <c r="C37" s="1" t="s">
        <v>123</v>
      </c>
      <c r="D37" s="1" t="s">
        <v>124</v>
      </c>
      <c r="E37" s="4">
        <v>45292</v>
      </c>
      <c r="F37" s="4">
        <v>45354</v>
      </c>
      <c r="G37" s="1" t="s">
        <v>125</v>
      </c>
      <c r="H37" s="5">
        <v>197376.24</v>
      </c>
      <c r="I37" s="5">
        <v>14865.9</v>
      </c>
      <c r="J37" s="5">
        <v>4119.54</v>
      </c>
      <c r="K37" s="5">
        <v>7000</v>
      </c>
      <c r="L37" s="5">
        <v>0</v>
      </c>
      <c r="M37" s="5">
        <v>25985.439999999999</v>
      </c>
      <c r="N37" s="5">
        <v>171390.8</v>
      </c>
      <c r="O37" s="5">
        <v>0</v>
      </c>
      <c r="P37" s="5">
        <v>0</v>
      </c>
      <c r="Q37" s="5">
        <v>171390.8</v>
      </c>
      <c r="R37" s="1" t="s">
        <v>167</v>
      </c>
      <c r="S37" s="1" t="s">
        <v>124</v>
      </c>
      <c r="T37" s="4">
        <v>45292</v>
      </c>
      <c r="U37" s="4">
        <v>45354</v>
      </c>
      <c r="V37" s="1" t="s">
        <v>125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171390.8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1" t="s">
        <v>127</v>
      </c>
    </row>
    <row r="38" spans="1:41" x14ac:dyDescent="0.25">
      <c r="A38" s="1">
        <f t="shared" si="0"/>
        <v>22</v>
      </c>
      <c r="B38" s="1" t="s">
        <v>168</v>
      </c>
      <c r="C38" s="1" t="s">
        <v>123</v>
      </c>
      <c r="D38" s="1" t="s">
        <v>124</v>
      </c>
      <c r="E38" s="4">
        <v>45292</v>
      </c>
      <c r="F38" s="4">
        <v>45394</v>
      </c>
      <c r="G38" s="1" t="s">
        <v>125</v>
      </c>
      <c r="H38" s="5">
        <v>165641.07</v>
      </c>
      <c r="I38" s="5">
        <v>11548.13</v>
      </c>
      <c r="J38" s="5">
        <v>14265.41</v>
      </c>
      <c r="K38" s="5">
        <v>7816.87</v>
      </c>
      <c r="L38" s="5">
        <v>1250</v>
      </c>
      <c r="M38" s="5">
        <v>34880.410000000003</v>
      </c>
      <c r="N38" s="5">
        <v>130760.66</v>
      </c>
      <c r="O38" s="5">
        <v>0</v>
      </c>
      <c r="P38" s="5">
        <v>0</v>
      </c>
      <c r="Q38" s="5">
        <v>130760.66</v>
      </c>
      <c r="R38" s="1" t="s">
        <v>169</v>
      </c>
      <c r="S38" s="1" t="s">
        <v>124</v>
      </c>
      <c r="T38" s="4">
        <v>45292</v>
      </c>
      <c r="U38" s="4">
        <v>45394</v>
      </c>
      <c r="V38" s="1" t="s">
        <v>125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130760.66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1" t="s">
        <v>127</v>
      </c>
    </row>
    <row r="39" spans="1:41" x14ac:dyDescent="0.25">
      <c r="A39" s="1">
        <f t="shared" si="0"/>
        <v>23</v>
      </c>
      <c r="B39" s="1" t="s">
        <v>170</v>
      </c>
      <c r="C39" s="1" t="s">
        <v>123</v>
      </c>
      <c r="D39" s="1" t="s">
        <v>124</v>
      </c>
      <c r="E39" s="4">
        <v>45292</v>
      </c>
      <c r="F39" s="4">
        <v>45294</v>
      </c>
      <c r="G39" s="1" t="s">
        <v>125</v>
      </c>
      <c r="H39" s="5">
        <v>13793.1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13793.1</v>
      </c>
      <c r="O39" s="5">
        <v>0</v>
      </c>
      <c r="P39" s="5">
        <v>0</v>
      </c>
      <c r="Q39" s="5">
        <v>13793.1</v>
      </c>
      <c r="R39" s="1" t="s">
        <v>171</v>
      </c>
      <c r="S39" s="1" t="s">
        <v>124</v>
      </c>
      <c r="T39" s="4">
        <v>45292</v>
      </c>
      <c r="U39" s="4">
        <v>45294</v>
      </c>
      <c r="V39" s="1" t="s">
        <v>125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13793.1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1" t="s">
        <v>127</v>
      </c>
    </row>
    <row r="40" spans="1:41" x14ac:dyDescent="0.25">
      <c r="A40" s="1">
        <f t="shared" si="0"/>
        <v>24</v>
      </c>
      <c r="B40" s="1" t="s">
        <v>172</v>
      </c>
      <c r="C40" s="1" t="s">
        <v>123</v>
      </c>
      <c r="D40" s="1" t="s">
        <v>124</v>
      </c>
      <c r="E40" s="4">
        <v>45292</v>
      </c>
      <c r="F40" s="4">
        <v>45302</v>
      </c>
      <c r="G40" s="1" t="s">
        <v>125</v>
      </c>
      <c r="H40" s="5">
        <v>59158.04</v>
      </c>
      <c r="I40" s="5">
        <v>0</v>
      </c>
      <c r="J40" s="5">
        <v>0</v>
      </c>
      <c r="K40" s="5">
        <v>0</v>
      </c>
      <c r="L40" s="5">
        <v>1025.8599999999999</v>
      </c>
      <c r="M40" s="5">
        <v>1025.8599999999999</v>
      </c>
      <c r="N40" s="5">
        <v>58132.18</v>
      </c>
      <c r="O40" s="5">
        <v>0</v>
      </c>
      <c r="P40" s="5">
        <v>0</v>
      </c>
      <c r="Q40" s="5">
        <v>58132.18</v>
      </c>
      <c r="R40" s="1" t="s">
        <v>173</v>
      </c>
      <c r="S40" s="1" t="s">
        <v>124</v>
      </c>
      <c r="T40" s="4">
        <v>45292</v>
      </c>
      <c r="U40" s="4">
        <v>45302</v>
      </c>
      <c r="V40" s="1" t="s">
        <v>125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58132.18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1" t="s">
        <v>127</v>
      </c>
    </row>
    <row r="41" spans="1:41" x14ac:dyDescent="0.25">
      <c r="A41" s="1">
        <f t="shared" si="0"/>
        <v>25</v>
      </c>
      <c r="B41" s="1" t="s">
        <v>174</v>
      </c>
      <c r="C41" s="1" t="s">
        <v>123</v>
      </c>
      <c r="D41" s="1" t="s">
        <v>124</v>
      </c>
      <c r="E41" s="4">
        <v>45292</v>
      </c>
      <c r="F41" s="4">
        <v>45303</v>
      </c>
      <c r="G41" s="1" t="s">
        <v>125</v>
      </c>
      <c r="H41" s="5">
        <v>125540.23</v>
      </c>
      <c r="I41" s="5">
        <v>0</v>
      </c>
      <c r="J41" s="5">
        <v>0</v>
      </c>
      <c r="K41" s="5">
        <v>2700</v>
      </c>
      <c r="L41" s="5">
        <v>1459.77</v>
      </c>
      <c r="M41" s="5">
        <v>4159.7700000000004</v>
      </c>
      <c r="N41" s="5">
        <v>114081.61</v>
      </c>
      <c r="O41" s="5">
        <v>0</v>
      </c>
      <c r="P41" s="5">
        <v>7298.85</v>
      </c>
      <c r="Q41" s="5">
        <v>121380.46</v>
      </c>
      <c r="R41" s="1" t="s">
        <v>175</v>
      </c>
      <c r="S41" s="1" t="s">
        <v>124</v>
      </c>
      <c r="T41" s="4">
        <v>45292</v>
      </c>
      <c r="U41" s="4">
        <v>45303</v>
      </c>
      <c r="V41" s="1" t="s">
        <v>125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121380.46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1" t="s">
        <v>127</v>
      </c>
    </row>
    <row r="42" spans="1:41" x14ac:dyDescent="0.25">
      <c r="A42" s="1">
        <f t="shared" si="0"/>
        <v>26</v>
      </c>
      <c r="B42" s="1" t="s">
        <v>176</v>
      </c>
      <c r="C42" s="1" t="s">
        <v>123</v>
      </c>
      <c r="D42" s="1" t="s">
        <v>177</v>
      </c>
      <c r="E42" s="4">
        <v>45292</v>
      </c>
      <c r="F42" s="4">
        <v>45303</v>
      </c>
      <c r="G42" s="1" t="s">
        <v>125</v>
      </c>
      <c r="H42" s="5">
        <v>118241.38</v>
      </c>
      <c r="I42" s="5">
        <v>0</v>
      </c>
      <c r="J42" s="5">
        <v>0</v>
      </c>
      <c r="K42" s="5">
        <v>2700</v>
      </c>
      <c r="L42" s="5">
        <v>1459.77</v>
      </c>
      <c r="M42" s="5">
        <v>4159.7700000000004</v>
      </c>
      <c r="N42" s="5">
        <v>106782.76</v>
      </c>
      <c r="O42" s="5">
        <v>0</v>
      </c>
      <c r="P42" s="5">
        <v>7298.85</v>
      </c>
      <c r="Q42" s="5">
        <v>114081.61</v>
      </c>
      <c r="R42" s="1" t="s">
        <v>178</v>
      </c>
      <c r="S42" s="1" t="s">
        <v>177</v>
      </c>
      <c r="T42" s="4">
        <v>45292</v>
      </c>
      <c r="U42" s="4">
        <v>45303</v>
      </c>
      <c r="V42" s="1" t="s">
        <v>125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114081.61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1" t="s">
        <v>127</v>
      </c>
    </row>
    <row r="43" spans="1:41" x14ac:dyDescent="0.25">
      <c r="A43" s="1">
        <f t="shared" si="0"/>
        <v>27</v>
      </c>
      <c r="B43" s="1" t="s">
        <v>179</v>
      </c>
      <c r="C43" s="1" t="s">
        <v>123</v>
      </c>
      <c r="D43" s="1" t="s">
        <v>124</v>
      </c>
      <c r="E43" s="4">
        <v>45292</v>
      </c>
      <c r="F43" s="4">
        <v>45306</v>
      </c>
      <c r="G43" s="1" t="s">
        <v>125</v>
      </c>
      <c r="H43" s="5">
        <v>153620.68</v>
      </c>
      <c r="I43" s="5">
        <v>0</v>
      </c>
      <c r="J43" s="5">
        <v>0</v>
      </c>
      <c r="K43" s="5">
        <v>2700</v>
      </c>
      <c r="L43" s="5">
        <v>1551.72</v>
      </c>
      <c r="M43" s="5">
        <v>4251.72</v>
      </c>
      <c r="N43" s="5">
        <v>140834.48000000001</v>
      </c>
      <c r="O43" s="5">
        <v>0</v>
      </c>
      <c r="P43" s="5">
        <v>8534.48</v>
      </c>
      <c r="Q43" s="5">
        <v>149368.95999999999</v>
      </c>
      <c r="R43" s="1" t="s">
        <v>180</v>
      </c>
      <c r="S43" s="1" t="s">
        <v>124</v>
      </c>
      <c r="T43" s="4">
        <v>45292</v>
      </c>
      <c r="U43" s="4">
        <v>45306</v>
      </c>
      <c r="V43" s="1" t="s">
        <v>125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149368.95999999999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1" t="s">
        <v>127</v>
      </c>
    </row>
    <row r="44" spans="1:41" x14ac:dyDescent="0.25">
      <c r="A44" s="1">
        <f t="shared" si="0"/>
        <v>28</v>
      </c>
      <c r="B44" s="1" t="s">
        <v>181</v>
      </c>
      <c r="C44" s="1" t="s">
        <v>123</v>
      </c>
      <c r="D44" s="1" t="s">
        <v>124</v>
      </c>
      <c r="E44" s="4">
        <v>45292</v>
      </c>
      <c r="F44" s="4">
        <v>45321</v>
      </c>
      <c r="G44" s="1" t="s">
        <v>125</v>
      </c>
      <c r="H44" s="5">
        <v>135075.51</v>
      </c>
      <c r="I44" s="5">
        <v>10066.549999999999</v>
      </c>
      <c r="J44" s="5">
        <v>3572.41</v>
      </c>
      <c r="K44" s="5">
        <v>3817</v>
      </c>
      <c r="L44" s="5">
        <v>637.92999999999995</v>
      </c>
      <c r="M44" s="5">
        <v>18093.89</v>
      </c>
      <c r="N44" s="5">
        <v>116981.62</v>
      </c>
      <c r="O44" s="5">
        <v>0</v>
      </c>
      <c r="P44" s="5">
        <v>0</v>
      </c>
      <c r="Q44" s="5">
        <v>116981.62</v>
      </c>
      <c r="R44" s="1" t="s">
        <v>182</v>
      </c>
      <c r="S44" s="1" t="s">
        <v>124</v>
      </c>
      <c r="T44" s="4">
        <v>45292</v>
      </c>
      <c r="U44" s="4">
        <v>45321</v>
      </c>
      <c r="V44" s="1" t="s">
        <v>125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116981.62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1" t="s">
        <v>127</v>
      </c>
    </row>
    <row r="45" spans="1:41" x14ac:dyDescent="0.25">
      <c r="A45" s="1">
        <f t="shared" si="0"/>
        <v>29</v>
      </c>
      <c r="B45" s="1" t="s">
        <v>183</v>
      </c>
      <c r="C45" s="1" t="s">
        <v>123</v>
      </c>
      <c r="D45" s="1" t="s">
        <v>124</v>
      </c>
      <c r="E45" s="4">
        <v>45292</v>
      </c>
      <c r="F45" s="4">
        <v>45310</v>
      </c>
      <c r="G45" s="1" t="s">
        <v>125</v>
      </c>
      <c r="H45" s="5">
        <v>32254.6</v>
      </c>
      <c r="I45" s="5">
        <v>2399.4299999999998</v>
      </c>
      <c r="J45" s="5">
        <v>1062.07</v>
      </c>
      <c r="K45" s="5">
        <v>1150</v>
      </c>
      <c r="L45" s="5">
        <v>0</v>
      </c>
      <c r="M45" s="5">
        <v>4611.5</v>
      </c>
      <c r="N45" s="5">
        <v>27643.1</v>
      </c>
      <c r="O45" s="5">
        <v>0</v>
      </c>
      <c r="P45" s="5">
        <v>0</v>
      </c>
      <c r="Q45" s="5">
        <v>27643.1</v>
      </c>
      <c r="R45" s="1" t="s">
        <v>184</v>
      </c>
      <c r="S45" s="1" t="s">
        <v>124</v>
      </c>
      <c r="T45" s="4">
        <v>45292</v>
      </c>
      <c r="U45" s="4">
        <v>45310</v>
      </c>
      <c r="V45" s="1" t="s">
        <v>125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27643.1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1" t="s">
        <v>127</v>
      </c>
    </row>
    <row r="46" spans="1:41" x14ac:dyDescent="0.25">
      <c r="A46" s="1">
        <f t="shared" si="0"/>
        <v>30</v>
      </c>
      <c r="B46" s="1" t="s">
        <v>185</v>
      </c>
      <c r="C46" s="1" t="s">
        <v>123</v>
      </c>
      <c r="D46" s="1" t="s">
        <v>124</v>
      </c>
      <c r="E46" s="4">
        <v>45292</v>
      </c>
      <c r="F46" s="4">
        <v>45310</v>
      </c>
      <c r="G46" s="1" t="s">
        <v>125</v>
      </c>
      <c r="H46" s="5">
        <v>34754.6</v>
      </c>
      <c r="I46" s="5">
        <v>2399.4299999999998</v>
      </c>
      <c r="J46" s="5">
        <v>1062.07</v>
      </c>
      <c r="K46" s="5">
        <v>1262.5</v>
      </c>
      <c r="L46" s="5">
        <v>0</v>
      </c>
      <c r="M46" s="5">
        <v>4724</v>
      </c>
      <c r="N46" s="5">
        <v>27530.6</v>
      </c>
      <c r="O46" s="5">
        <v>0</v>
      </c>
      <c r="P46" s="5">
        <v>2500</v>
      </c>
      <c r="Q46" s="5">
        <v>30030.6</v>
      </c>
      <c r="R46" s="1" t="s">
        <v>186</v>
      </c>
      <c r="S46" s="1" t="s">
        <v>124</v>
      </c>
      <c r="T46" s="4">
        <v>45292</v>
      </c>
      <c r="U46" s="4">
        <v>45310</v>
      </c>
      <c r="V46" s="1" t="s">
        <v>125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30030.6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1" t="s">
        <v>127</v>
      </c>
    </row>
    <row r="47" spans="1:41" x14ac:dyDescent="0.25">
      <c r="A47" s="1">
        <f t="shared" si="0"/>
        <v>31</v>
      </c>
      <c r="B47" s="1" t="s">
        <v>187</v>
      </c>
      <c r="C47" s="1" t="s">
        <v>123</v>
      </c>
      <c r="D47" s="1" t="s">
        <v>124</v>
      </c>
      <c r="E47" s="4">
        <v>45292</v>
      </c>
      <c r="F47" s="4">
        <v>45310</v>
      </c>
      <c r="G47" s="1" t="s">
        <v>125</v>
      </c>
      <c r="H47" s="5">
        <v>29926.53</v>
      </c>
      <c r="I47" s="5">
        <v>2103.5</v>
      </c>
      <c r="J47" s="5">
        <v>2331.08</v>
      </c>
      <c r="K47" s="5">
        <v>1013.75</v>
      </c>
      <c r="L47" s="5">
        <v>250</v>
      </c>
      <c r="M47" s="5">
        <v>5698.33</v>
      </c>
      <c r="N47" s="5">
        <v>24228.2</v>
      </c>
      <c r="O47" s="5">
        <v>0</v>
      </c>
      <c r="P47" s="5">
        <v>0</v>
      </c>
      <c r="Q47" s="5">
        <v>24228.2</v>
      </c>
      <c r="R47" s="1" t="s">
        <v>188</v>
      </c>
      <c r="S47" s="1" t="s">
        <v>124</v>
      </c>
      <c r="T47" s="4">
        <v>45292</v>
      </c>
      <c r="U47" s="4">
        <v>45310</v>
      </c>
      <c r="V47" s="1" t="s">
        <v>125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24228.2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1" t="s">
        <v>127</v>
      </c>
    </row>
    <row r="48" spans="1:41" x14ac:dyDescent="0.25">
      <c r="A48" s="1">
        <f t="shared" si="0"/>
        <v>32</v>
      </c>
      <c r="B48" s="1" t="s">
        <v>189</v>
      </c>
      <c r="C48" s="1" t="s">
        <v>123</v>
      </c>
      <c r="D48" s="1" t="s">
        <v>124</v>
      </c>
      <c r="E48" s="4">
        <v>45292</v>
      </c>
      <c r="F48" s="4">
        <v>45311</v>
      </c>
      <c r="G48" s="1" t="s">
        <v>125</v>
      </c>
      <c r="H48" s="5">
        <v>32254.6</v>
      </c>
      <c r="I48" s="5">
        <v>2399.4299999999998</v>
      </c>
      <c r="J48" s="5">
        <v>1062.07</v>
      </c>
      <c r="K48" s="5">
        <v>1150</v>
      </c>
      <c r="L48" s="5">
        <v>0</v>
      </c>
      <c r="M48" s="5">
        <v>4611.5</v>
      </c>
      <c r="N48" s="5">
        <v>27643.1</v>
      </c>
      <c r="O48" s="5">
        <v>0</v>
      </c>
      <c r="P48" s="5">
        <v>0</v>
      </c>
      <c r="Q48" s="5">
        <v>27643.1</v>
      </c>
      <c r="R48" s="1" t="s">
        <v>190</v>
      </c>
      <c r="S48" s="1" t="s">
        <v>124</v>
      </c>
      <c r="T48" s="4">
        <v>45292</v>
      </c>
      <c r="U48" s="4">
        <v>45311</v>
      </c>
      <c r="V48" s="1" t="s">
        <v>125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27643.1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1" t="s">
        <v>127</v>
      </c>
    </row>
    <row r="49" spans="1:41" x14ac:dyDescent="0.25">
      <c r="A49" s="1">
        <f t="shared" si="0"/>
        <v>33</v>
      </c>
      <c r="B49" s="1" t="s">
        <v>191</v>
      </c>
      <c r="C49" s="1" t="s">
        <v>123</v>
      </c>
      <c r="D49" s="1" t="s">
        <v>124</v>
      </c>
      <c r="E49" s="4">
        <v>45292</v>
      </c>
      <c r="F49" s="4">
        <v>45311</v>
      </c>
      <c r="G49" s="1" t="s">
        <v>125</v>
      </c>
      <c r="H49" s="5">
        <v>32254.6</v>
      </c>
      <c r="I49" s="5">
        <v>2399.4299999999998</v>
      </c>
      <c r="J49" s="5">
        <v>1062.07</v>
      </c>
      <c r="K49" s="5">
        <v>1150</v>
      </c>
      <c r="L49" s="5">
        <v>0</v>
      </c>
      <c r="M49" s="5">
        <v>4611.5</v>
      </c>
      <c r="N49" s="5">
        <v>27643.1</v>
      </c>
      <c r="O49" s="5">
        <v>0</v>
      </c>
      <c r="P49" s="5">
        <v>0</v>
      </c>
      <c r="Q49" s="5">
        <v>27643.1</v>
      </c>
      <c r="R49" s="1" t="s">
        <v>192</v>
      </c>
      <c r="S49" s="1" t="s">
        <v>124</v>
      </c>
      <c r="T49" s="4">
        <v>45292</v>
      </c>
      <c r="U49" s="4">
        <v>45311</v>
      </c>
      <c r="V49" s="1" t="s">
        <v>125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27643.1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1" t="s">
        <v>127</v>
      </c>
    </row>
    <row r="50" spans="1:41" x14ac:dyDescent="0.25">
      <c r="A50" s="1">
        <f t="shared" si="0"/>
        <v>34</v>
      </c>
      <c r="B50" s="1" t="s">
        <v>193</v>
      </c>
      <c r="C50" s="1" t="s">
        <v>123</v>
      </c>
      <c r="D50" s="1" t="s">
        <v>124</v>
      </c>
      <c r="E50" s="4">
        <v>45292</v>
      </c>
      <c r="F50" s="4">
        <v>45310</v>
      </c>
      <c r="G50" s="1" t="s">
        <v>125</v>
      </c>
      <c r="H50" s="5">
        <v>32254.6</v>
      </c>
      <c r="I50" s="5">
        <v>2399.4299999999998</v>
      </c>
      <c r="J50" s="5">
        <v>1062.07</v>
      </c>
      <c r="K50" s="5">
        <v>1150</v>
      </c>
      <c r="L50" s="5">
        <v>0</v>
      </c>
      <c r="M50" s="5">
        <v>4611.5</v>
      </c>
      <c r="N50" s="5">
        <v>27643.1</v>
      </c>
      <c r="O50" s="5">
        <v>0</v>
      </c>
      <c r="P50" s="5">
        <v>0</v>
      </c>
      <c r="Q50" s="5">
        <v>27643.1</v>
      </c>
      <c r="R50" s="1" t="s">
        <v>194</v>
      </c>
      <c r="S50" s="1" t="s">
        <v>124</v>
      </c>
      <c r="T50" s="4">
        <v>45292</v>
      </c>
      <c r="U50" s="4">
        <v>45310</v>
      </c>
      <c r="V50" s="1" t="s">
        <v>125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27643.1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1" t="s">
        <v>127</v>
      </c>
    </row>
    <row r="51" spans="1:41" x14ac:dyDescent="0.25">
      <c r="A51" s="1">
        <f t="shared" si="0"/>
        <v>35</v>
      </c>
      <c r="B51" s="1" t="s">
        <v>195</v>
      </c>
      <c r="C51" s="1" t="s">
        <v>123</v>
      </c>
      <c r="D51" s="1" t="s">
        <v>124</v>
      </c>
      <c r="E51" s="4">
        <v>45292</v>
      </c>
      <c r="F51" s="4">
        <v>45310</v>
      </c>
      <c r="G51" s="1" t="s">
        <v>125</v>
      </c>
      <c r="H51" s="5">
        <v>25045.33</v>
      </c>
      <c r="I51" s="5">
        <v>1740.38</v>
      </c>
      <c r="J51" s="5">
        <v>2170.35</v>
      </c>
      <c r="K51" s="5">
        <v>867</v>
      </c>
      <c r="L51" s="5">
        <v>250</v>
      </c>
      <c r="M51" s="5">
        <v>5027.7299999999996</v>
      </c>
      <c r="N51" s="5">
        <v>20017.599999999999</v>
      </c>
      <c r="O51" s="5">
        <v>0</v>
      </c>
      <c r="P51" s="5">
        <v>0</v>
      </c>
      <c r="Q51" s="5">
        <v>20017.599999999999</v>
      </c>
      <c r="R51" s="1" t="s">
        <v>196</v>
      </c>
      <c r="S51" s="1" t="s">
        <v>124</v>
      </c>
      <c r="T51" s="4">
        <v>45292</v>
      </c>
      <c r="U51" s="4">
        <v>45310</v>
      </c>
      <c r="V51" s="1" t="s">
        <v>125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20017.599999999999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1" t="s">
        <v>127</v>
      </c>
    </row>
    <row r="52" spans="1:41" x14ac:dyDescent="0.25">
      <c r="A52" s="1">
        <f t="shared" si="0"/>
        <v>36</v>
      </c>
      <c r="B52" s="1" t="s">
        <v>197</v>
      </c>
      <c r="C52" s="1" t="s">
        <v>123</v>
      </c>
      <c r="D52" s="1" t="s">
        <v>124</v>
      </c>
      <c r="E52" s="4">
        <v>45292</v>
      </c>
      <c r="F52" s="4">
        <v>45311</v>
      </c>
      <c r="G52" s="1" t="s">
        <v>125</v>
      </c>
      <c r="H52" s="5">
        <v>80636.490000000005</v>
      </c>
      <c r="I52" s="5">
        <v>5998.56</v>
      </c>
      <c r="J52" s="5">
        <v>2655.17</v>
      </c>
      <c r="K52" s="5">
        <v>2387.5</v>
      </c>
      <c r="L52" s="5">
        <v>0</v>
      </c>
      <c r="M52" s="5">
        <v>11041.23</v>
      </c>
      <c r="N52" s="5">
        <v>69595.259999999995</v>
      </c>
      <c r="O52" s="5">
        <v>0</v>
      </c>
      <c r="P52" s="5">
        <v>0</v>
      </c>
      <c r="Q52" s="5">
        <v>69595.259999999995</v>
      </c>
      <c r="R52" s="1" t="s">
        <v>198</v>
      </c>
      <c r="S52" s="1" t="s">
        <v>124</v>
      </c>
      <c r="T52" s="4">
        <v>45292</v>
      </c>
      <c r="U52" s="4">
        <v>45311</v>
      </c>
      <c r="V52" s="1" t="s">
        <v>125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69595.259999999995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1" t="s">
        <v>127</v>
      </c>
    </row>
    <row r="53" spans="1:41" x14ac:dyDescent="0.25">
      <c r="A53" s="1">
        <f t="shared" si="0"/>
        <v>37</v>
      </c>
      <c r="B53" s="1" t="s">
        <v>199</v>
      </c>
      <c r="C53" s="1" t="s">
        <v>123</v>
      </c>
      <c r="D53" s="1" t="s">
        <v>124</v>
      </c>
      <c r="E53" s="4">
        <v>45292</v>
      </c>
      <c r="F53" s="4">
        <v>45311</v>
      </c>
      <c r="G53" s="1" t="s">
        <v>125</v>
      </c>
      <c r="H53" s="5">
        <v>78427.98</v>
      </c>
      <c r="I53" s="5">
        <v>5598.66</v>
      </c>
      <c r="J53" s="5">
        <v>5165.5200000000004</v>
      </c>
      <c r="K53" s="5">
        <v>2325</v>
      </c>
      <c r="L53" s="5">
        <v>479.89</v>
      </c>
      <c r="M53" s="5">
        <v>13569.07</v>
      </c>
      <c r="N53" s="5">
        <v>64858.91</v>
      </c>
      <c r="O53" s="5">
        <v>0</v>
      </c>
      <c r="P53" s="5">
        <v>0</v>
      </c>
      <c r="Q53" s="5">
        <v>64858.91</v>
      </c>
      <c r="R53" s="1" t="s">
        <v>200</v>
      </c>
      <c r="S53" s="1" t="s">
        <v>124</v>
      </c>
      <c r="T53" s="4">
        <v>45292</v>
      </c>
      <c r="U53" s="4">
        <v>45311</v>
      </c>
      <c r="V53" s="1" t="s">
        <v>125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64858.91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1" t="s">
        <v>127</v>
      </c>
    </row>
    <row r="54" spans="1:41" x14ac:dyDescent="0.25">
      <c r="A54" s="1">
        <f t="shared" si="0"/>
        <v>38</v>
      </c>
      <c r="B54" s="1" t="s">
        <v>201</v>
      </c>
      <c r="C54" s="1" t="s">
        <v>123</v>
      </c>
      <c r="D54" s="1" t="s">
        <v>124</v>
      </c>
      <c r="E54" s="4">
        <v>45292</v>
      </c>
      <c r="F54" s="4">
        <v>45311</v>
      </c>
      <c r="G54" s="1" t="s">
        <v>125</v>
      </c>
      <c r="H54" s="5">
        <v>69884.960000000006</v>
      </c>
      <c r="I54" s="5">
        <v>5198.75</v>
      </c>
      <c r="J54" s="5">
        <v>2301.15</v>
      </c>
      <c r="K54" s="5">
        <v>2262.5</v>
      </c>
      <c r="L54" s="5">
        <v>0</v>
      </c>
      <c r="M54" s="5">
        <v>9762.4</v>
      </c>
      <c r="N54" s="5">
        <v>60122.559999999998</v>
      </c>
      <c r="O54" s="5">
        <v>0</v>
      </c>
      <c r="P54" s="5">
        <v>0</v>
      </c>
      <c r="Q54" s="5">
        <v>60122.559999999998</v>
      </c>
      <c r="R54" s="1" t="s">
        <v>202</v>
      </c>
      <c r="S54" s="1" t="s">
        <v>124</v>
      </c>
      <c r="T54" s="4">
        <v>45292</v>
      </c>
      <c r="U54" s="4">
        <v>45311</v>
      </c>
      <c r="V54" s="1" t="s">
        <v>125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60122.559999999998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1" t="s">
        <v>127</v>
      </c>
    </row>
    <row r="55" spans="1:41" x14ac:dyDescent="0.25">
      <c r="A55" s="1">
        <f t="shared" si="0"/>
        <v>39</v>
      </c>
      <c r="B55" s="1" t="s">
        <v>203</v>
      </c>
      <c r="C55" s="1" t="s">
        <v>123</v>
      </c>
      <c r="D55" s="1" t="s">
        <v>124</v>
      </c>
      <c r="E55" s="4">
        <v>45292</v>
      </c>
      <c r="F55" s="4">
        <v>45436</v>
      </c>
      <c r="G55" s="1" t="s">
        <v>125</v>
      </c>
      <c r="H55" s="5">
        <v>570850.94999999995</v>
      </c>
      <c r="I55" s="5">
        <v>33703.72</v>
      </c>
      <c r="J55" s="5">
        <v>39565.17</v>
      </c>
      <c r="K55" s="5">
        <v>16469.900000000001</v>
      </c>
      <c r="L55" s="5">
        <v>2545.98</v>
      </c>
      <c r="M55" s="5">
        <v>92284.77</v>
      </c>
      <c r="N55" s="5">
        <v>387974.68</v>
      </c>
      <c r="O55" s="5">
        <v>0</v>
      </c>
      <c r="P55" s="5">
        <v>90591.5</v>
      </c>
      <c r="Q55" s="5">
        <v>478566.18</v>
      </c>
      <c r="R55" s="1" t="s">
        <v>204</v>
      </c>
      <c r="S55" s="1" t="s">
        <v>124</v>
      </c>
      <c r="T55" s="4">
        <v>45292</v>
      </c>
      <c r="U55" s="4">
        <v>45436</v>
      </c>
      <c r="V55" s="1" t="s">
        <v>125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478566.18</v>
      </c>
      <c r="AH55" s="5">
        <v>38213.24</v>
      </c>
      <c r="AI55" s="5">
        <v>0</v>
      </c>
      <c r="AJ55" s="5">
        <v>0</v>
      </c>
      <c r="AK55" s="5">
        <v>0</v>
      </c>
      <c r="AL55" s="5">
        <v>38213.24</v>
      </c>
      <c r="AM55" s="5">
        <v>0</v>
      </c>
      <c r="AN55" s="5">
        <v>38213.24</v>
      </c>
      <c r="AO55" s="1" t="s">
        <v>127</v>
      </c>
    </row>
    <row r="56" spans="1:41" x14ac:dyDescent="0.25">
      <c r="A56" s="1">
        <f t="shared" si="0"/>
        <v>40</v>
      </c>
      <c r="B56" s="1" t="s">
        <v>205</v>
      </c>
      <c r="C56" s="1" t="s">
        <v>123</v>
      </c>
      <c r="D56" s="1" t="s">
        <v>124</v>
      </c>
      <c r="E56" s="4">
        <v>45292</v>
      </c>
      <c r="F56" s="4">
        <v>45310</v>
      </c>
      <c r="G56" s="1" t="s">
        <v>125</v>
      </c>
      <c r="H56" s="5">
        <v>61580.32</v>
      </c>
      <c r="I56" s="5">
        <v>4345.3599999999997</v>
      </c>
      <c r="J56" s="5">
        <v>4610.76</v>
      </c>
      <c r="K56" s="5">
        <v>1994.13</v>
      </c>
      <c r="L56" s="5">
        <v>479.89</v>
      </c>
      <c r="M56" s="5">
        <v>11430.14</v>
      </c>
      <c r="N56" s="5">
        <v>50150.18</v>
      </c>
      <c r="O56" s="5">
        <v>0</v>
      </c>
      <c r="P56" s="5">
        <v>0</v>
      </c>
      <c r="Q56" s="5">
        <v>50150.18</v>
      </c>
      <c r="R56" s="1" t="s">
        <v>206</v>
      </c>
      <c r="S56" s="1" t="s">
        <v>124</v>
      </c>
      <c r="T56" s="4">
        <v>45292</v>
      </c>
      <c r="U56" s="4">
        <v>45310</v>
      </c>
      <c r="V56" s="1" t="s">
        <v>125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50150.18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1" t="s">
        <v>127</v>
      </c>
    </row>
    <row r="57" spans="1:41" x14ac:dyDescent="0.25">
      <c r="A57" s="1">
        <f t="shared" si="0"/>
        <v>41</v>
      </c>
      <c r="B57" s="1" t="s">
        <v>207</v>
      </c>
      <c r="C57" s="1" t="s">
        <v>123</v>
      </c>
      <c r="D57" s="1" t="s">
        <v>124</v>
      </c>
      <c r="E57" s="4">
        <v>45292</v>
      </c>
      <c r="F57" s="4">
        <v>45310</v>
      </c>
      <c r="G57" s="1" t="s">
        <v>125</v>
      </c>
      <c r="H57" s="5">
        <v>67359.899999999994</v>
      </c>
      <c r="I57" s="5">
        <v>4789.9399999999996</v>
      </c>
      <c r="J57" s="5">
        <v>4610.76</v>
      </c>
      <c r="K57" s="5">
        <v>2262.5</v>
      </c>
      <c r="L57" s="5">
        <v>479.89</v>
      </c>
      <c r="M57" s="5">
        <v>12143.09</v>
      </c>
      <c r="N57" s="5">
        <v>55216.81</v>
      </c>
      <c r="O57" s="5">
        <v>0</v>
      </c>
      <c r="P57" s="5">
        <v>0</v>
      </c>
      <c r="Q57" s="5">
        <v>55216.81</v>
      </c>
      <c r="R57" s="1" t="s">
        <v>208</v>
      </c>
      <c r="S57" s="1" t="s">
        <v>124</v>
      </c>
      <c r="T57" s="4">
        <v>45292</v>
      </c>
      <c r="U57" s="4">
        <v>45310</v>
      </c>
      <c r="V57" s="1" t="s">
        <v>125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55216.81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1" t="s">
        <v>127</v>
      </c>
    </row>
    <row r="58" spans="1:41" x14ac:dyDescent="0.25">
      <c r="A58" s="1">
        <f t="shared" si="0"/>
        <v>42</v>
      </c>
      <c r="B58" s="1" t="s">
        <v>209</v>
      </c>
      <c r="C58" s="1" t="s">
        <v>123</v>
      </c>
      <c r="D58" s="1" t="s">
        <v>124</v>
      </c>
      <c r="E58" s="4">
        <v>45292</v>
      </c>
      <c r="F58" s="4">
        <v>45311</v>
      </c>
      <c r="G58" s="1" t="s">
        <v>125</v>
      </c>
      <c r="H58" s="5">
        <v>53419.91</v>
      </c>
      <c r="I58" s="5">
        <v>3738.3</v>
      </c>
      <c r="J58" s="5">
        <v>4342.0600000000004</v>
      </c>
      <c r="K58" s="5">
        <v>1741.75</v>
      </c>
      <c r="L58" s="5">
        <v>479.89</v>
      </c>
      <c r="M58" s="5">
        <v>10302</v>
      </c>
      <c r="N58" s="5">
        <v>43117.91</v>
      </c>
      <c r="O58" s="5">
        <v>0</v>
      </c>
      <c r="P58" s="5">
        <v>0</v>
      </c>
      <c r="Q58" s="5">
        <v>43117.91</v>
      </c>
      <c r="R58" s="1" t="s">
        <v>210</v>
      </c>
      <c r="S58" s="1" t="s">
        <v>124</v>
      </c>
      <c r="T58" s="4">
        <v>45292</v>
      </c>
      <c r="U58" s="4">
        <v>45311</v>
      </c>
      <c r="V58" s="1" t="s">
        <v>125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43117.91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1" t="s">
        <v>127</v>
      </c>
    </row>
    <row r="59" spans="1:41" x14ac:dyDescent="0.25">
      <c r="A59" s="1">
        <f t="shared" si="0"/>
        <v>43</v>
      </c>
      <c r="B59" s="1" t="s">
        <v>211</v>
      </c>
      <c r="C59" s="1" t="s">
        <v>123</v>
      </c>
      <c r="D59" s="1" t="s">
        <v>124</v>
      </c>
      <c r="E59" s="4">
        <v>45292</v>
      </c>
      <c r="F59" s="4">
        <v>45311</v>
      </c>
      <c r="G59" s="1" t="s">
        <v>125</v>
      </c>
      <c r="H59" s="5">
        <v>41185.160000000003</v>
      </c>
      <c r="I59" s="5">
        <v>3040.8</v>
      </c>
      <c r="J59" s="5">
        <v>1654.7</v>
      </c>
      <c r="K59" s="5">
        <v>1150</v>
      </c>
      <c r="L59" s="5">
        <v>0</v>
      </c>
      <c r="M59" s="5">
        <v>5845.5</v>
      </c>
      <c r="N59" s="5">
        <v>35339.660000000003</v>
      </c>
      <c r="O59" s="5">
        <v>0</v>
      </c>
      <c r="P59" s="5">
        <v>0</v>
      </c>
      <c r="Q59" s="5">
        <v>35339.660000000003</v>
      </c>
      <c r="R59" s="1" t="s">
        <v>212</v>
      </c>
      <c r="S59" s="1" t="s">
        <v>124</v>
      </c>
      <c r="T59" s="4">
        <v>45292</v>
      </c>
      <c r="U59" s="4">
        <v>45311</v>
      </c>
      <c r="V59" s="1" t="s">
        <v>125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35339.660000000003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1" t="s">
        <v>127</v>
      </c>
    </row>
    <row r="60" spans="1:41" x14ac:dyDescent="0.25">
      <c r="A60" s="1">
        <f t="shared" si="0"/>
        <v>44</v>
      </c>
      <c r="B60" s="1" t="s">
        <v>213</v>
      </c>
      <c r="C60" s="1" t="s">
        <v>123</v>
      </c>
      <c r="D60" s="1" t="s">
        <v>124</v>
      </c>
      <c r="E60" s="4">
        <v>45292</v>
      </c>
      <c r="F60" s="4">
        <v>45311</v>
      </c>
      <c r="G60" s="1" t="s">
        <v>125</v>
      </c>
      <c r="H60" s="5">
        <v>32254.6</v>
      </c>
      <c r="I60" s="5">
        <v>2399.4299999999998</v>
      </c>
      <c r="J60" s="5">
        <v>1062.07</v>
      </c>
      <c r="K60" s="5">
        <v>1150</v>
      </c>
      <c r="L60" s="5">
        <v>0</v>
      </c>
      <c r="M60" s="5">
        <v>4611.5</v>
      </c>
      <c r="N60" s="5">
        <v>27643.1</v>
      </c>
      <c r="O60" s="5">
        <v>0</v>
      </c>
      <c r="P60" s="5">
        <v>0</v>
      </c>
      <c r="Q60" s="5">
        <v>27643.1</v>
      </c>
      <c r="R60" s="1" t="s">
        <v>214</v>
      </c>
      <c r="S60" s="1" t="s">
        <v>124</v>
      </c>
      <c r="T60" s="4">
        <v>45292</v>
      </c>
      <c r="U60" s="4">
        <v>45311</v>
      </c>
      <c r="V60" s="1" t="s">
        <v>125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27643.1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1" t="s">
        <v>127</v>
      </c>
    </row>
    <row r="61" spans="1:41" x14ac:dyDescent="0.25">
      <c r="A61" s="1">
        <f t="shared" si="0"/>
        <v>45</v>
      </c>
      <c r="B61" s="1" t="s">
        <v>215</v>
      </c>
      <c r="C61" s="1" t="s">
        <v>123</v>
      </c>
      <c r="D61" s="1" t="s">
        <v>124</v>
      </c>
      <c r="E61" s="4">
        <v>45292</v>
      </c>
      <c r="F61" s="4">
        <v>45310</v>
      </c>
      <c r="G61" s="1" t="s">
        <v>125</v>
      </c>
      <c r="H61" s="5">
        <v>30540.65</v>
      </c>
      <c r="I61" s="5">
        <v>2036.31</v>
      </c>
      <c r="J61" s="5">
        <v>3588.7</v>
      </c>
      <c r="K61" s="5">
        <v>980.75</v>
      </c>
      <c r="L61" s="5">
        <v>479.89</v>
      </c>
      <c r="M61" s="5">
        <v>7085.65</v>
      </c>
      <c r="N61" s="5">
        <v>23455</v>
      </c>
      <c r="O61" s="5">
        <v>0</v>
      </c>
      <c r="P61" s="5">
        <v>0</v>
      </c>
      <c r="Q61" s="5">
        <v>23455</v>
      </c>
      <c r="R61" s="1" t="s">
        <v>216</v>
      </c>
      <c r="S61" s="1" t="s">
        <v>124</v>
      </c>
      <c r="T61" s="4">
        <v>45292</v>
      </c>
      <c r="U61" s="4">
        <v>45310</v>
      </c>
      <c r="V61" s="1" t="s">
        <v>125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23455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1" t="s">
        <v>127</v>
      </c>
    </row>
    <row r="62" spans="1:41" x14ac:dyDescent="0.25">
      <c r="A62" s="1">
        <f t="shared" si="0"/>
        <v>46</v>
      </c>
      <c r="B62" s="1" t="s">
        <v>217</v>
      </c>
      <c r="C62" s="1" t="s">
        <v>123</v>
      </c>
      <c r="D62" s="1" t="s">
        <v>124</v>
      </c>
      <c r="E62" s="4">
        <v>45292</v>
      </c>
      <c r="F62" s="4">
        <v>45310</v>
      </c>
      <c r="G62" s="1" t="s">
        <v>125</v>
      </c>
      <c r="H62" s="5">
        <v>26562.58</v>
      </c>
      <c r="I62" s="5">
        <v>1740.38</v>
      </c>
      <c r="J62" s="5">
        <v>3457.71</v>
      </c>
      <c r="K62" s="5">
        <v>867</v>
      </c>
      <c r="L62" s="5">
        <v>479.89</v>
      </c>
      <c r="M62" s="5">
        <v>6544.98</v>
      </c>
      <c r="N62" s="5">
        <v>20017.599999999999</v>
      </c>
      <c r="O62" s="5">
        <v>0</v>
      </c>
      <c r="P62" s="5">
        <v>0</v>
      </c>
      <c r="Q62" s="5">
        <v>20017.599999999999</v>
      </c>
      <c r="R62" s="1" t="s">
        <v>218</v>
      </c>
      <c r="S62" s="1" t="s">
        <v>124</v>
      </c>
      <c r="T62" s="4">
        <v>45292</v>
      </c>
      <c r="U62" s="4">
        <v>45310</v>
      </c>
      <c r="V62" s="1" t="s">
        <v>125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20017.599999999999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1" t="s">
        <v>127</v>
      </c>
    </row>
    <row r="63" spans="1:41" x14ac:dyDescent="0.25">
      <c r="A63" s="1">
        <f t="shared" si="0"/>
        <v>47</v>
      </c>
      <c r="B63" s="1" t="s">
        <v>219</v>
      </c>
      <c r="C63" s="1" t="s">
        <v>123</v>
      </c>
      <c r="D63" s="1" t="s">
        <v>124</v>
      </c>
      <c r="E63" s="4">
        <v>45292</v>
      </c>
      <c r="F63" s="4">
        <v>45311</v>
      </c>
      <c r="G63" s="1" t="s">
        <v>125</v>
      </c>
      <c r="H63" s="5">
        <v>102504.07</v>
      </c>
      <c r="I63" s="5">
        <v>7518.2</v>
      </c>
      <c r="J63" s="5">
        <v>3327.82</v>
      </c>
      <c r="K63" s="5">
        <v>2625</v>
      </c>
      <c r="L63" s="5">
        <v>1439.66</v>
      </c>
      <c r="M63" s="5">
        <v>14910.68</v>
      </c>
      <c r="N63" s="5">
        <v>87593.39</v>
      </c>
      <c r="O63" s="5">
        <v>0</v>
      </c>
      <c r="P63" s="5">
        <v>0</v>
      </c>
      <c r="Q63" s="5">
        <v>87593.39</v>
      </c>
      <c r="R63" s="1" t="s">
        <v>220</v>
      </c>
      <c r="S63" s="1" t="s">
        <v>124</v>
      </c>
      <c r="T63" s="4">
        <v>45292</v>
      </c>
      <c r="U63" s="4">
        <v>45311</v>
      </c>
      <c r="V63" s="1" t="s">
        <v>125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87593.39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1" t="s">
        <v>127</v>
      </c>
    </row>
    <row r="64" spans="1:41" x14ac:dyDescent="0.25">
      <c r="A64" s="1">
        <f t="shared" si="0"/>
        <v>48</v>
      </c>
      <c r="B64" s="1" t="s">
        <v>221</v>
      </c>
      <c r="C64" s="1" t="s">
        <v>123</v>
      </c>
      <c r="D64" s="1" t="s">
        <v>177</v>
      </c>
      <c r="E64" s="4">
        <v>45292</v>
      </c>
      <c r="F64" s="4">
        <v>45321</v>
      </c>
      <c r="G64" s="1" t="s">
        <v>125</v>
      </c>
      <c r="H64" s="5">
        <v>106163.8</v>
      </c>
      <c r="I64" s="5">
        <v>7974.14</v>
      </c>
      <c r="J64" s="5">
        <v>0</v>
      </c>
      <c r="K64" s="5">
        <v>3325</v>
      </c>
      <c r="L64" s="5">
        <v>0</v>
      </c>
      <c r="M64" s="5">
        <v>11299.14</v>
      </c>
      <c r="N64" s="5">
        <v>92364.66</v>
      </c>
      <c r="O64" s="5">
        <v>0</v>
      </c>
      <c r="P64" s="5">
        <v>2500</v>
      </c>
      <c r="Q64" s="5">
        <v>94864.66</v>
      </c>
      <c r="R64" s="1" t="s">
        <v>222</v>
      </c>
      <c r="S64" s="1" t="s">
        <v>177</v>
      </c>
      <c r="T64" s="4">
        <v>45292</v>
      </c>
      <c r="U64" s="4">
        <v>45321</v>
      </c>
      <c r="V64" s="1" t="s">
        <v>125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94864.66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1" t="s">
        <v>127</v>
      </c>
    </row>
    <row r="65" spans="1:41" x14ac:dyDescent="0.25">
      <c r="A65" s="1">
        <f t="shared" si="0"/>
        <v>49</v>
      </c>
      <c r="B65" s="1" t="s">
        <v>223</v>
      </c>
      <c r="C65" s="1" t="s">
        <v>123</v>
      </c>
      <c r="D65" s="1" t="s">
        <v>124</v>
      </c>
      <c r="E65" s="4">
        <v>45292</v>
      </c>
      <c r="F65" s="4">
        <v>45322</v>
      </c>
      <c r="G65" s="1" t="s">
        <v>125</v>
      </c>
      <c r="H65" s="5">
        <v>97419.16</v>
      </c>
      <c r="I65" s="5">
        <v>7158.24</v>
      </c>
      <c r="J65" s="5">
        <v>3701.15</v>
      </c>
      <c r="K65" s="5">
        <v>3020</v>
      </c>
      <c r="L65" s="5">
        <v>660.92</v>
      </c>
      <c r="M65" s="5">
        <v>14540.31</v>
      </c>
      <c r="N65" s="5">
        <v>82878.850000000006</v>
      </c>
      <c r="O65" s="5">
        <v>0</v>
      </c>
      <c r="P65" s="5">
        <v>0</v>
      </c>
      <c r="Q65" s="5">
        <v>82878.850000000006</v>
      </c>
      <c r="R65" s="1" t="s">
        <v>224</v>
      </c>
      <c r="S65" s="1" t="s">
        <v>124</v>
      </c>
      <c r="T65" s="4">
        <v>45292</v>
      </c>
      <c r="U65" s="4">
        <v>45322</v>
      </c>
      <c r="V65" s="1" t="s">
        <v>125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82878.850000000006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1" t="s">
        <v>127</v>
      </c>
    </row>
    <row r="66" spans="1:41" x14ac:dyDescent="0.25">
      <c r="A66" s="1">
        <f t="shared" si="0"/>
        <v>50</v>
      </c>
      <c r="B66" s="1" t="s">
        <v>225</v>
      </c>
      <c r="C66" s="1" t="s">
        <v>123</v>
      </c>
      <c r="D66" s="1" t="s">
        <v>124</v>
      </c>
      <c r="E66" s="4">
        <v>45292</v>
      </c>
      <c r="F66" s="4">
        <v>45324</v>
      </c>
      <c r="G66" s="1" t="s">
        <v>125</v>
      </c>
      <c r="H66" s="5">
        <v>114870.69</v>
      </c>
      <c r="I66" s="5">
        <v>8836.2099999999991</v>
      </c>
      <c r="J66" s="5">
        <v>0</v>
      </c>
      <c r="K66" s="5">
        <v>3325</v>
      </c>
      <c r="L66" s="5">
        <v>0</v>
      </c>
      <c r="M66" s="5">
        <v>12161.21</v>
      </c>
      <c r="N66" s="5">
        <v>102709.48</v>
      </c>
      <c r="O66" s="5">
        <v>0</v>
      </c>
      <c r="P66" s="5">
        <v>0</v>
      </c>
      <c r="Q66" s="5">
        <v>102709.48</v>
      </c>
      <c r="R66" s="1" t="s">
        <v>226</v>
      </c>
      <c r="S66" s="1" t="s">
        <v>124</v>
      </c>
      <c r="T66" s="4">
        <v>45292</v>
      </c>
      <c r="U66" s="4">
        <v>45324</v>
      </c>
      <c r="V66" s="1" t="s">
        <v>125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102709.48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1" t="s">
        <v>127</v>
      </c>
    </row>
    <row r="67" spans="1:41" x14ac:dyDescent="0.25">
      <c r="A67" s="1">
        <f t="shared" si="0"/>
        <v>51</v>
      </c>
      <c r="B67" s="1" t="s">
        <v>227</v>
      </c>
      <c r="C67" s="1" t="s">
        <v>123</v>
      </c>
      <c r="D67" s="1" t="s">
        <v>124</v>
      </c>
      <c r="E67" s="4">
        <v>45292</v>
      </c>
      <c r="F67" s="4">
        <v>45361</v>
      </c>
      <c r="G67" s="1" t="s">
        <v>125</v>
      </c>
      <c r="H67" s="5">
        <v>86633.91</v>
      </c>
      <c r="I67" s="5">
        <v>6364.94</v>
      </c>
      <c r="J67" s="5">
        <v>3889.66</v>
      </c>
      <c r="K67" s="5">
        <v>5750</v>
      </c>
      <c r="L67" s="5">
        <v>0</v>
      </c>
      <c r="M67" s="5">
        <v>16004.6</v>
      </c>
      <c r="N67" s="5">
        <v>70629.31</v>
      </c>
      <c r="O67" s="5">
        <v>0</v>
      </c>
      <c r="P67" s="5">
        <v>0</v>
      </c>
      <c r="Q67" s="5">
        <v>70629.31</v>
      </c>
      <c r="R67" s="1" t="s">
        <v>228</v>
      </c>
      <c r="S67" s="1" t="s">
        <v>124</v>
      </c>
      <c r="T67" s="4">
        <v>45292</v>
      </c>
      <c r="U67" s="4">
        <v>45361</v>
      </c>
      <c r="V67" s="1" t="s">
        <v>125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70629.31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1" t="s">
        <v>127</v>
      </c>
    </row>
    <row r="68" spans="1:41" x14ac:dyDescent="0.25">
      <c r="A68" s="1">
        <f t="shared" si="0"/>
        <v>52</v>
      </c>
      <c r="B68" s="1" t="s">
        <v>229</v>
      </c>
      <c r="C68" s="1" t="s">
        <v>123</v>
      </c>
      <c r="D68" s="1" t="s">
        <v>124</v>
      </c>
      <c r="E68" s="4">
        <v>45292</v>
      </c>
      <c r="F68" s="4">
        <v>45361</v>
      </c>
      <c r="G68" s="1" t="s">
        <v>125</v>
      </c>
      <c r="H68" s="5">
        <v>86633.91</v>
      </c>
      <c r="I68" s="5">
        <v>6364.94</v>
      </c>
      <c r="J68" s="5">
        <v>3889.66</v>
      </c>
      <c r="K68" s="5">
        <v>5750</v>
      </c>
      <c r="L68" s="5">
        <v>0</v>
      </c>
      <c r="M68" s="5">
        <v>16004.6</v>
      </c>
      <c r="N68" s="5">
        <v>70629.31</v>
      </c>
      <c r="O68" s="5">
        <v>0</v>
      </c>
      <c r="P68" s="5">
        <v>0</v>
      </c>
      <c r="Q68" s="5">
        <v>70629.31</v>
      </c>
      <c r="R68" s="1" t="s">
        <v>230</v>
      </c>
      <c r="S68" s="1" t="s">
        <v>124</v>
      </c>
      <c r="T68" s="4">
        <v>45292</v>
      </c>
      <c r="U68" s="4">
        <v>45361</v>
      </c>
      <c r="V68" s="1" t="s">
        <v>125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70629.31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1" t="s">
        <v>127</v>
      </c>
    </row>
    <row r="69" spans="1:41" x14ac:dyDescent="0.25">
      <c r="A69" s="1">
        <f t="shared" si="0"/>
        <v>53</v>
      </c>
      <c r="B69" s="1" t="s">
        <v>231</v>
      </c>
      <c r="C69" s="1" t="s">
        <v>123</v>
      </c>
      <c r="D69" s="1" t="s">
        <v>124</v>
      </c>
      <c r="E69" s="4">
        <v>45292</v>
      </c>
      <c r="F69" s="4">
        <v>45351</v>
      </c>
      <c r="G69" s="1" t="s">
        <v>125</v>
      </c>
      <c r="H69" s="5">
        <v>59124.07</v>
      </c>
      <c r="I69" s="5">
        <v>4043.52</v>
      </c>
      <c r="J69" s="5">
        <v>4242.76</v>
      </c>
      <c r="K69" s="5">
        <v>3413</v>
      </c>
      <c r="L69" s="5">
        <v>1114.94</v>
      </c>
      <c r="M69" s="5">
        <v>12814.22</v>
      </c>
      <c r="N69" s="5">
        <v>45109.3</v>
      </c>
      <c r="O69" s="5">
        <v>0</v>
      </c>
      <c r="P69" s="5">
        <v>1200.55</v>
      </c>
      <c r="Q69" s="5">
        <v>46309.85</v>
      </c>
      <c r="R69" s="1" t="s">
        <v>232</v>
      </c>
      <c r="S69" s="1" t="s">
        <v>124</v>
      </c>
      <c r="T69" s="4">
        <v>45292</v>
      </c>
      <c r="U69" s="4">
        <v>45351</v>
      </c>
      <c r="V69" s="1" t="s">
        <v>125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46309.85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1" t="s">
        <v>127</v>
      </c>
    </row>
    <row r="70" spans="1:41" x14ac:dyDescent="0.25">
      <c r="A70" s="1">
        <f t="shared" si="0"/>
        <v>54</v>
      </c>
      <c r="B70" s="1" t="s">
        <v>233</v>
      </c>
      <c r="C70" s="1" t="s">
        <v>123</v>
      </c>
      <c r="D70" s="1" t="s">
        <v>124</v>
      </c>
      <c r="E70" s="4">
        <v>45292</v>
      </c>
      <c r="F70" s="4">
        <v>45370</v>
      </c>
      <c r="G70" s="1" t="s">
        <v>125</v>
      </c>
      <c r="H70" s="5">
        <v>86297.5</v>
      </c>
      <c r="I70" s="5">
        <v>5358.04</v>
      </c>
      <c r="J70" s="5">
        <v>10369.81</v>
      </c>
      <c r="K70" s="5">
        <v>4623.75</v>
      </c>
      <c r="L70" s="5">
        <v>1433.91</v>
      </c>
      <c r="M70" s="5">
        <v>21785.51</v>
      </c>
      <c r="N70" s="5">
        <v>59672.69</v>
      </c>
      <c r="O70" s="5">
        <v>0</v>
      </c>
      <c r="P70" s="5">
        <v>4839.3</v>
      </c>
      <c r="Q70" s="5">
        <v>64511.99</v>
      </c>
      <c r="R70" s="1" t="s">
        <v>234</v>
      </c>
      <c r="S70" s="1" t="s">
        <v>124</v>
      </c>
      <c r="T70" s="4">
        <v>45292</v>
      </c>
      <c r="U70" s="4">
        <v>45370</v>
      </c>
      <c r="V70" s="1" t="s">
        <v>125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64511.99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1" t="s">
        <v>127</v>
      </c>
    </row>
    <row r="71" spans="1:41" x14ac:dyDescent="0.25">
      <c r="A71" s="1">
        <f t="shared" si="0"/>
        <v>55</v>
      </c>
      <c r="B71" s="1" t="s">
        <v>235</v>
      </c>
      <c r="C71" s="1" t="s">
        <v>123</v>
      </c>
      <c r="D71" s="1" t="s">
        <v>124</v>
      </c>
      <c r="E71" s="4">
        <v>45292</v>
      </c>
      <c r="F71" s="4">
        <v>45370</v>
      </c>
      <c r="G71" s="1" t="s">
        <v>125</v>
      </c>
      <c r="H71" s="5">
        <v>237393.74</v>
      </c>
      <c r="I71" s="5">
        <v>16060.97</v>
      </c>
      <c r="J71" s="5">
        <v>13575.94</v>
      </c>
      <c r="K71" s="5">
        <v>8818.75</v>
      </c>
      <c r="L71" s="5">
        <v>1433.91</v>
      </c>
      <c r="M71" s="5">
        <v>39889.57</v>
      </c>
      <c r="N71" s="5">
        <v>187053.09</v>
      </c>
      <c r="O71" s="5">
        <v>0</v>
      </c>
      <c r="P71" s="5">
        <v>10451.08</v>
      </c>
      <c r="Q71" s="5">
        <v>197504.17</v>
      </c>
      <c r="R71" s="1" t="s">
        <v>236</v>
      </c>
      <c r="S71" s="1" t="s">
        <v>124</v>
      </c>
      <c r="T71" s="4">
        <v>45292</v>
      </c>
      <c r="U71" s="4">
        <v>45370</v>
      </c>
      <c r="V71" s="1" t="s">
        <v>125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197504.17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1" t="s">
        <v>127</v>
      </c>
    </row>
    <row r="72" spans="1:41" x14ac:dyDescent="0.25">
      <c r="A72" s="1">
        <f t="shared" si="0"/>
        <v>56</v>
      </c>
      <c r="B72" s="1" t="s">
        <v>237</v>
      </c>
      <c r="C72" s="1" t="s">
        <v>123</v>
      </c>
      <c r="D72" s="1" t="s">
        <v>124</v>
      </c>
      <c r="E72" s="4">
        <v>45292</v>
      </c>
      <c r="F72" s="4">
        <v>45380</v>
      </c>
      <c r="G72" s="1" t="s">
        <v>125</v>
      </c>
      <c r="H72" s="5">
        <v>542925.28</v>
      </c>
      <c r="I72" s="5">
        <v>40373.56</v>
      </c>
      <c r="J72" s="5">
        <v>-20689.66</v>
      </c>
      <c r="K72" s="5">
        <v>12050</v>
      </c>
      <c r="L72" s="5">
        <v>6459.77</v>
      </c>
      <c r="M72" s="5">
        <v>38193.67</v>
      </c>
      <c r="N72" s="5">
        <v>472432.76</v>
      </c>
      <c r="O72" s="5">
        <v>0</v>
      </c>
      <c r="P72" s="5">
        <v>32298.85</v>
      </c>
      <c r="Q72" s="5">
        <v>504731.61</v>
      </c>
      <c r="R72" s="1" t="s">
        <v>238</v>
      </c>
      <c r="S72" s="1" t="s">
        <v>124</v>
      </c>
      <c r="T72" s="4">
        <v>45292</v>
      </c>
      <c r="U72" s="4">
        <v>45380</v>
      </c>
      <c r="V72" s="1" t="s">
        <v>125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504731.61</v>
      </c>
      <c r="AH72" s="5">
        <v>43446.32</v>
      </c>
      <c r="AI72" s="5">
        <v>0</v>
      </c>
      <c r="AJ72" s="5">
        <v>0</v>
      </c>
      <c r="AK72" s="5">
        <v>0</v>
      </c>
      <c r="AL72" s="5">
        <v>43446.32</v>
      </c>
      <c r="AM72" s="5">
        <v>0</v>
      </c>
      <c r="AN72" s="5">
        <v>43446.32</v>
      </c>
      <c r="AO72" s="1" t="s">
        <v>127</v>
      </c>
    </row>
    <row r="73" spans="1:41" x14ac:dyDescent="0.25">
      <c r="A73" s="1">
        <f t="shared" si="0"/>
        <v>57</v>
      </c>
      <c r="B73" s="1" t="s">
        <v>239</v>
      </c>
      <c r="C73" s="1" t="s">
        <v>123</v>
      </c>
      <c r="D73" s="1" t="s">
        <v>124</v>
      </c>
      <c r="E73" s="4">
        <v>45292</v>
      </c>
      <c r="F73" s="4">
        <v>45384</v>
      </c>
      <c r="G73" s="1" t="s">
        <v>125</v>
      </c>
      <c r="H73" s="5">
        <v>80771.39</v>
      </c>
      <c r="I73" s="5">
        <v>5263.19</v>
      </c>
      <c r="J73" s="5">
        <v>10264.959999999999</v>
      </c>
      <c r="K73" s="5">
        <v>4908.75</v>
      </c>
      <c r="L73" s="5">
        <v>1250</v>
      </c>
      <c r="M73" s="5">
        <v>21686.9</v>
      </c>
      <c r="N73" s="5">
        <v>58249.53</v>
      </c>
      <c r="O73" s="5">
        <v>0</v>
      </c>
      <c r="P73" s="5">
        <v>834.96</v>
      </c>
      <c r="Q73" s="5">
        <v>59084.49</v>
      </c>
      <c r="R73" s="1" t="s">
        <v>240</v>
      </c>
      <c r="S73" s="1" t="s">
        <v>124</v>
      </c>
      <c r="T73" s="4">
        <v>45292</v>
      </c>
      <c r="U73" s="4">
        <v>45384</v>
      </c>
      <c r="V73" s="1" t="s">
        <v>125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59084.49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1" t="s">
        <v>127</v>
      </c>
    </row>
    <row r="74" spans="1:41" x14ac:dyDescent="0.25">
      <c r="A74" s="1">
        <f t="shared" si="0"/>
        <v>58</v>
      </c>
      <c r="B74" s="1" t="s">
        <v>241</v>
      </c>
      <c r="C74" s="1" t="s">
        <v>123</v>
      </c>
      <c r="D74" s="1" t="s">
        <v>124</v>
      </c>
      <c r="E74" s="4">
        <v>45292</v>
      </c>
      <c r="F74" s="4">
        <v>45404</v>
      </c>
      <c r="G74" s="1" t="s">
        <v>125</v>
      </c>
      <c r="H74" s="5">
        <v>292279.40000000002</v>
      </c>
      <c r="I74" s="5">
        <v>21564.27</v>
      </c>
      <c r="J74" s="5">
        <v>9941</v>
      </c>
      <c r="K74" s="5">
        <v>11752.5</v>
      </c>
      <c r="L74" s="5">
        <v>2002.87</v>
      </c>
      <c r="M74" s="5">
        <v>45260.639999999999</v>
      </c>
      <c r="N74" s="5">
        <v>247018.76</v>
      </c>
      <c r="O74" s="5">
        <v>0</v>
      </c>
      <c r="P74" s="5">
        <v>0</v>
      </c>
      <c r="Q74" s="5">
        <v>247018.76</v>
      </c>
      <c r="R74" s="1" t="s">
        <v>242</v>
      </c>
      <c r="S74" s="1" t="s">
        <v>124</v>
      </c>
      <c r="T74" s="4">
        <v>45292</v>
      </c>
      <c r="U74" s="4">
        <v>45404</v>
      </c>
      <c r="V74" s="1" t="s">
        <v>125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247018.76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1" t="s">
        <v>127</v>
      </c>
    </row>
    <row r="75" spans="1:41" x14ac:dyDescent="0.25">
      <c r="A75" s="1">
        <f t="shared" si="0"/>
        <v>59</v>
      </c>
      <c r="B75" s="1" t="s">
        <v>243</v>
      </c>
      <c r="C75" s="1" t="s">
        <v>123</v>
      </c>
      <c r="D75" s="1" t="s">
        <v>124</v>
      </c>
      <c r="E75" s="4">
        <v>45292</v>
      </c>
      <c r="F75" s="4">
        <v>45399</v>
      </c>
      <c r="G75" s="1" t="s">
        <v>125</v>
      </c>
      <c r="H75" s="5">
        <v>123615.66</v>
      </c>
      <c r="I75" s="5">
        <v>8323.2199999999993</v>
      </c>
      <c r="J75" s="5">
        <v>14163.76</v>
      </c>
      <c r="K75" s="5">
        <v>6529.37</v>
      </c>
      <c r="L75" s="5">
        <v>1250</v>
      </c>
      <c r="M75" s="5">
        <v>30266.35</v>
      </c>
      <c r="N75" s="5">
        <v>93349.31</v>
      </c>
      <c r="O75" s="5">
        <v>0</v>
      </c>
      <c r="P75" s="5">
        <v>0</v>
      </c>
      <c r="Q75" s="5">
        <v>93349.31</v>
      </c>
      <c r="R75" s="1" t="s">
        <v>244</v>
      </c>
      <c r="S75" s="1" t="s">
        <v>124</v>
      </c>
      <c r="T75" s="4">
        <v>45292</v>
      </c>
      <c r="U75" s="4">
        <v>45399</v>
      </c>
      <c r="V75" s="1" t="s">
        <v>125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93349.31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1" t="s">
        <v>127</v>
      </c>
    </row>
    <row r="76" spans="1:41" x14ac:dyDescent="0.25">
      <c r="A76" s="1">
        <f t="shared" si="0"/>
        <v>60</v>
      </c>
      <c r="B76" s="1" t="s">
        <v>245</v>
      </c>
      <c r="C76" s="1" t="s">
        <v>123</v>
      </c>
      <c r="D76" s="1" t="s">
        <v>124</v>
      </c>
      <c r="E76" s="4">
        <v>45292</v>
      </c>
      <c r="F76" s="4">
        <v>45403</v>
      </c>
      <c r="G76" s="1" t="s">
        <v>125</v>
      </c>
      <c r="H76" s="5">
        <v>617671.86</v>
      </c>
      <c r="I76" s="5">
        <v>35793.019999999997</v>
      </c>
      <c r="J76" s="5">
        <v>33859.25</v>
      </c>
      <c r="K76" s="5">
        <v>14850</v>
      </c>
      <c r="L76" s="5">
        <v>1979.89</v>
      </c>
      <c r="M76" s="5">
        <v>86482.16</v>
      </c>
      <c r="N76" s="5">
        <v>414666.26</v>
      </c>
      <c r="O76" s="5">
        <v>0</v>
      </c>
      <c r="P76" s="5">
        <v>116523.44</v>
      </c>
      <c r="Q76" s="5">
        <v>531189.69999999995</v>
      </c>
      <c r="R76" s="1" t="s">
        <v>246</v>
      </c>
      <c r="S76" s="1" t="s">
        <v>124</v>
      </c>
      <c r="T76" s="4">
        <v>45292</v>
      </c>
      <c r="U76" s="4">
        <v>45403</v>
      </c>
      <c r="V76" s="1" t="s">
        <v>125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531189.69999999995</v>
      </c>
      <c r="AH76" s="5">
        <v>48737.94</v>
      </c>
      <c r="AI76" s="5">
        <v>0</v>
      </c>
      <c r="AJ76" s="5">
        <v>0</v>
      </c>
      <c r="AK76" s="5">
        <v>0</v>
      </c>
      <c r="AL76" s="5">
        <v>48737.94</v>
      </c>
      <c r="AM76" s="5">
        <v>0</v>
      </c>
      <c r="AN76" s="5">
        <v>48737.94</v>
      </c>
      <c r="AO76" s="1" t="s">
        <v>127</v>
      </c>
    </row>
    <row r="77" spans="1:41" x14ac:dyDescent="0.25">
      <c r="A77" s="1">
        <f t="shared" si="0"/>
        <v>61</v>
      </c>
      <c r="B77" s="1" t="s">
        <v>247</v>
      </c>
      <c r="C77" s="1" t="s">
        <v>123</v>
      </c>
      <c r="D77" s="1" t="s">
        <v>124</v>
      </c>
      <c r="E77" s="4">
        <v>45292</v>
      </c>
      <c r="F77" s="4">
        <v>45404</v>
      </c>
      <c r="G77" s="1" t="s">
        <v>125</v>
      </c>
      <c r="H77" s="5">
        <v>675524.45</v>
      </c>
      <c r="I77" s="5">
        <v>45675.56</v>
      </c>
      <c r="J77" s="5">
        <v>33742.22</v>
      </c>
      <c r="K77" s="5">
        <v>16100</v>
      </c>
      <c r="L77" s="5">
        <v>8000</v>
      </c>
      <c r="M77" s="5">
        <v>103517.78</v>
      </c>
      <c r="N77" s="5">
        <v>532006.67000000004</v>
      </c>
      <c r="O77" s="5">
        <v>0</v>
      </c>
      <c r="P77" s="5">
        <v>40000</v>
      </c>
      <c r="Q77" s="5">
        <v>572006.67000000004</v>
      </c>
      <c r="R77" s="1" t="s">
        <v>248</v>
      </c>
      <c r="S77" s="1" t="s">
        <v>124</v>
      </c>
      <c r="T77" s="4">
        <v>45292</v>
      </c>
      <c r="U77" s="4">
        <v>45404</v>
      </c>
      <c r="V77" s="1" t="s">
        <v>125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572006.67000000004</v>
      </c>
      <c r="AH77" s="5">
        <v>56901.33</v>
      </c>
      <c r="AI77" s="5">
        <v>0</v>
      </c>
      <c r="AJ77" s="5">
        <v>0</v>
      </c>
      <c r="AK77" s="5">
        <v>0</v>
      </c>
      <c r="AL77" s="5">
        <v>56901.33</v>
      </c>
      <c r="AM77" s="5">
        <v>0</v>
      </c>
      <c r="AN77" s="5">
        <v>56901.33</v>
      </c>
      <c r="AO77" s="1" t="s">
        <v>127</v>
      </c>
    </row>
    <row r="78" spans="1:41" x14ac:dyDescent="0.25">
      <c r="A78" s="1">
        <f t="shared" si="0"/>
        <v>62</v>
      </c>
      <c r="B78" s="1" t="s">
        <v>249</v>
      </c>
      <c r="C78" s="1" t="s">
        <v>123</v>
      </c>
      <c r="D78" s="1" t="s">
        <v>177</v>
      </c>
      <c r="E78" s="4">
        <v>45292</v>
      </c>
      <c r="F78" s="4">
        <v>45404</v>
      </c>
      <c r="G78" s="1" t="s">
        <v>125</v>
      </c>
      <c r="H78" s="5">
        <v>1048666.67</v>
      </c>
      <c r="I78" s="5">
        <v>76666.67</v>
      </c>
      <c r="J78" s="5">
        <v>0</v>
      </c>
      <c r="K78" s="5">
        <v>16100</v>
      </c>
      <c r="L78" s="5">
        <v>8000</v>
      </c>
      <c r="M78" s="5">
        <v>100766.67</v>
      </c>
      <c r="N78" s="5">
        <v>903900</v>
      </c>
      <c r="O78" s="5">
        <v>0</v>
      </c>
      <c r="P78" s="5">
        <v>44000</v>
      </c>
      <c r="Q78" s="5">
        <v>947900</v>
      </c>
      <c r="R78" s="1" t="s">
        <v>250</v>
      </c>
      <c r="S78" s="1" t="s">
        <v>177</v>
      </c>
      <c r="T78" s="4">
        <v>45292</v>
      </c>
      <c r="U78" s="4">
        <v>45404</v>
      </c>
      <c r="V78" s="1" t="s">
        <v>125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947900</v>
      </c>
      <c r="AH78" s="5">
        <v>139475</v>
      </c>
      <c r="AI78" s="5">
        <v>0</v>
      </c>
      <c r="AJ78" s="5">
        <v>0</v>
      </c>
      <c r="AK78" s="5">
        <v>0</v>
      </c>
      <c r="AL78" s="5">
        <v>139475</v>
      </c>
      <c r="AM78" s="5">
        <v>0</v>
      </c>
      <c r="AN78" s="5">
        <v>139475</v>
      </c>
      <c r="AO78" s="1" t="s">
        <v>127</v>
      </c>
    </row>
    <row r="79" spans="1:41" x14ac:dyDescent="0.25">
      <c r="A79" s="1">
        <f t="shared" si="0"/>
        <v>63</v>
      </c>
      <c r="B79" s="1" t="s">
        <v>251</v>
      </c>
      <c r="C79" s="1" t="s">
        <v>123</v>
      </c>
      <c r="D79" s="1" t="s">
        <v>124</v>
      </c>
      <c r="E79" s="4">
        <v>45292</v>
      </c>
      <c r="F79" s="4">
        <v>45415</v>
      </c>
      <c r="G79" s="1" t="s">
        <v>125</v>
      </c>
      <c r="H79" s="5">
        <v>447207.82</v>
      </c>
      <c r="I79" s="5">
        <v>31753.56</v>
      </c>
      <c r="J79" s="5">
        <v>32204.6</v>
      </c>
      <c r="K79" s="5">
        <v>14733</v>
      </c>
      <c r="L79" s="5">
        <v>2206.9</v>
      </c>
      <c r="M79" s="5">
        <v>80898.06</v>
      </c>
      <c r="N79" s="5">
        <v>366309.76</v>
      </c>
      <c r="O79" s="5">
        <v>0</v>
      </c>
      <c r="P79" s="5">
        <v>0</v>
      </c>
      <c r="Q79" s="5">
        <v>366309.76</v>
      </c>
      <c r="R79" s="1" t="s">
        <v>252</v>
      </c>
      <c r="S79" s="1" t="s">
        <v>124</v>
      </c>
      <c r="T79" s="4">
        <v>45292</v>
      </c>
      <c r="U79" s="4">
        <v>45415</v>
      </c>
      <c r="V79" s="1" t="s">
        <v>125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366309.76</v>
      </c>
      <c r="AH79" s="5">
        <v>17446.46</v>
      </c>
      <c r="AI79" s="5">
        <v>0</v>
      </c>
      <c r="AJ79" s="5">
        <v>0</v>
      </c>
      <c r="AK79" s="5">
        <v>0</v>
      </c>
      <c r="AL79" s="5">
        <v>17446.46</v>
      </c>
      <c r="AM79" s="5">
        <v>0</v>
      </c>
      <c r="AN79" s="5">
        <v>17446.46</v>
      </c>
      <c r="AO79" s="1" t="s">
        <v>127</v>
      </c>
    </row>
    <row r="80" spans="1:41" x14ac:dyDescent="0.25">
      <c r="A80" s="1">
        <f t="shared" si="0"/>
        <v>64</v>
      </c>
      <c r="B80" s="1" t="s">
        <v>253</v>
      </c>
      <c r="C80" s="1" t="s">
        <v>123</v>
      </c>
      <c r="D80" s="1" t="s">
        <v>124</v>
      </c>
      <c r="E80" s="4">
        <v>45292</v>
      </c>
      <c r="F80" s="4">
        <v>45425</v>
      </c>
      <c r="G80" s="1" t="s">
        <v>125</v>
      </c>
      <c r="H80" s="5">
        <v>167894.78</v>
      </c>
      <c r="I80" s="5">
        <v>11364.94</v>
      </c>
      <c r="J80" s="5">
        <v>8790.7999999999993</v>
      </c>
      <c r="K80" s="5">
        <v>9100</v>
      </c>
      <c r="L80" s="5">
        <v>522.99</v>
      </c>
      <c r="M80" s="5">
        <v>29778.73</v>
      </c>
      <c r="N80" s="5">
        <v>127279.31</v>
      </c>
      <c r="O80" s="5">
        <v>0</v>
      </c>
      <c r="P80" s="5">
        <v>10836.74</v>
      </c>
      <c r="Q80" s="5">
        <v>138116.04999999999</v>
      </c>
      <c r="R80" s="1" t="s">
        <v>254</v>
      </c>
      <c r="S80" s="1" t="s">
        <v>124</v>
      </c>
      <c r="T80" s="4">
        <v>45292</v>
      </c>
      <c r="U80" s="4">
        <v>45425</v>
      </c>
      <c r="V80" s="1" t="s">
        <v>125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138116.04999999999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1" t="s">
        <v>127</v>
      </c>
    </row>
    <row r="81" spans="1:41" x14ac:dyDescent="0.25">
      <c r="A81" s="1">
        <f t="shared" si="0"/>
        <v>65</v>
      </c>
      <c r="B81" s="1" t="s">
        <v>255</v>
      </c>
      <c r="C81" s="1" t="s">
        <v>123</v>
      </c>
      <c r="D81" s="1" t="s">
        <v>124</v>
      </c>
      <c r="E81" s="4">
        <v>45292</v>
      </c>
      <c r="F81" s="4">
        <v>45428</v>
      </c>
      <c r="G81" s="1" t="s">
        <v>125</v>
      </c>
      <c r="H81" s="5">
        <v>800943.64</v>
      </c>
      <c r="I81" s="5">
        <v>56789.21</v>
      </c>
      <c r="J81" s="5">
        <v>4821.84</v>
      </c>
      <c r="K81" s="5">
        <v>18900</v>
      </c>
      <c r="L81" s="5">
        <v>9643.68</v>
      </c>
      <c r="M81" s="5">
        <v>90154.73</v>
      </c>
      <c r="N81" s="5">
        <v>662570.52</v>
      </c>
      <c r="O81" s="5">
        <v>0</v>
      </c>
      <c r="P81" s="5">
        <v>48218.39</v>
      </c>
      <c r="Q81" s="5">
        <v>710788.91</v>
      </c>
      <c r="R81" s="1" t="s">
        <v>256</v>
      </c>
      <c r="S81" s="1" t="s">
        <v>124</v>
      </c>
      <c r="T81" s="4">
        <v>45292</v>
      </c>
      <c r="U81" s="4">
        <v>45428</v>
      </c>
      <c r="V81" s="1" t="s">
        <v>125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710788.91</v>
      </c>
      <c r="AH81" s="5">
        <v>84657.78</v>
      </c>
      <c r="AI81" s="5">
        <v>0</v>
      </c>
      <c r="AJ81" s="5">
        <v>0</v>
      </c>
      <c r="AK81" s="5">
        <v>0</v>
      </c>
      <c r="AL81" s="5">
        <v>84657.78</v>
      </c>
      <c r="AM81" s="5">
        <v>0</v>
      </c>
      <c r="AN81" s="5">
        <v>84657.78</v>
      </c>
      <c r="AO81" s="1" t="s">
        <v>127</v>
      </c>
    </row>
    <row r="82" spans="1:41" x14ac:dyDescent="0.25">
      <c r="A82" s="1">
        <f t="shared" si="0"/>
        <v>66</v>
      </c>
      <c r="B82" s="1" t="s">
        <v>257</v>
      </c>
      <c r="C82" s="1" t="s">
        <v>123</v>
      </c>
      <c r="D82" s="1" t="s">
        <v>124</v>
      </c>
      <c r="E82" s="4">
        <v>45292</v>
      </c>
      <c r="F82" s="4">
        <v>45431</v>
      </c>
      <c r="G82" s="1" t="s">
        <v>125</v>
      </c>
      <c r="H82" s="5">
        <v>611634.23</v>
      </c>
      <c r="I82" s="5">
        <v>30423.85</v>
      </c>
      <c r="J82" s="5">
        <v>13796.55</v>
      </c>
      <c r="K82" s="5">
        <v>16087.5</v>
      </c>
      <c r="L82" s="5">
        <v>0</v>
      </c>
      <c r="M82" s="5">
        <v>60307.9</v>
      </c>
      <c r="N82" s="5">
        <v>348998.71</v>
      </c>
      <c r="O82" s="5">
        <v>0</v>
      </c>
      <c r="P82" s="5">
        <v>202327.62</v>
      </c>
      <c r="Q82" s="5">
        <v>551326.32999999996</v>
      </c>
      <c r="R82" s="1" t="s">
        <v>258</v>
      </c>
      <c r="S82" s="1" t="s">
        <v>124</v>
      </c>
      <c r="T82" s="4">
        <v>45292</v>
      </c>
      <c r="U82" s="4">
        <v>45431</v>
      </c>
      <c r="V82" s="1" t="s">
        <v>125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551326.32999999996</v>
      </c>
      <c r="AH82" s="5">
        <v>52765.27</v>
      </c>
      <c r="AI82" s="5">
        <v>0</v>
      </c>
      <c r="AJ82" s="5">
        <v>0</v>
      </c>
      <c r="AK82" s="5">
        <v>0</v>
      </c>
      <c r="AL82" s="5">
        <v>52765.27</v>
      </c>
      <c r="AM82" s="5">
        <v>0</v>
      </c>
      <c r="AN82" s="5">
        <v>52765.27</v>
      </c>
      <c r="AO82" s="1" t="s">
        <v>127</v>
      </c>
    </row>
    <row r="83" spans="1:41" x14ac:dyDescent="0.25">
      <c r="A83" s="1">
        <f t="shared" ref="A83:A146" si="1">A82+1</f>
        <v>67</v>
      </c>
      <c r="B83" s="1" t="s">
        <v>259</v>
      </c>
      <c r="C83" s="1" t="s">
        <v>123</v>
      </c>
      <c r="D83" s="1" t="s">
        <v>124</v>
      </c>
      <c r="E83" s="4">
        <v>45292</v>
      </c>
      <c r="F83" s="4">
        <v>45443</v>
      </c>
      <c r="G83" s="1" t="s">
        <v>125</v>
      </c>
      <c r="H83" s="5">
        <v>233378.35</v>
      </c>
      <c r="I83" s="5">
        <v>17432.95</v>
      </c>
      <c r="J83" s="5">
        <v>6750</v>
      </c>
      <c r="K83" s="5">
        <v>12650</v>
      </c>
      <c r="L83" s="5">
        <v>0</v>
      </c>
      <c r="M83" s="5">
        <v>36832.949999999997</v>
      </c>
      <c r="N83" s="5">
        <v>196545.4</v>
      </c>
      <c r="O83" s="5">
        <v>0</v>
      </c>
      <c r="P83" s="5">
        <v>0</v>
      </c>
      <c r="Q83" s="5">
        <v>196545.4</v>
      </c>
      <c r="R83" s="1" t="s">
        <v>260</v>
      </c>
      <c r="S83" s="1" t="s">
        <v>124</v>
      </c>
      <c r="T83" s="4">
        <v>45292</v>
      </c>
      <c r="U83" s="4">
        <v>45443</v>
      </c>
      <c r="V83" s="1" t="s">
        <v>125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196545.4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1" t="s">
        <v>127</v>
      </c>
    </row>
    <row r="84" spans="1:41" x14ac:dyDescent="0.25">
      <c r="A84" s="1">
        <f t="shared" si="1"/>
        <v>68</v>
      </c>
      <c r="B84" s="1" t="s">
        <v>261</v>
      </c>
      <c r="C84" s="1" t="s">
        <v>123</v>
      </c>
      <c r="D84" s="1" t="s">
        <v>124</v>
      </c>
      <c r="E84" s="4">
        <v>45292</v>
      </c>
      <c r="F84" s="4">
        <v>45443</v>
      </c>
      <c r="G84" s="1" t="s">
        <v>125</v>
      </c>
      <c r="H84" s="5">
        <v>182801.65</v>
      </c>
      <c r="I84" s="5">
        <v>11355.19</v>
      </c>
      <c r="J84" s="5">
        <v>21147.41</v>
      </c>
      <c r="K84" s="5">
        <v>10422.620000000001</v>
      </c>
      <c r="L84" s="5">
        <v>2637.93</v>
      </c>
      <c r="M84" s="5">
        <v>45563.15</v>
      </c>
      <c r="N84" s="5">
        <v>125839.62</v>
      </c>
      <c r="O84" s="5">
        <v>0</v>
      </c>
      <c r="P84" s="5">
        <v>11398.88</v>
      </c>
      <c r="Q84" s="5">
        <v>137238.5</v>
      </c>
      <c r="R84" s="1" t="s">
        <v>262</v>
      </c>
      <c r="S84" s="1" t="s">
        <v>124</v>
      </c>
      <c r="T84" s="4">
        <v>45292</v>
      </c>
      <c r="U84" s="4">
        <v>45443</v>
      </c>
      <c r="V84" s="1" t="s">
        <v>125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137238.5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1" t="s">
        <v>127</v>
      </c>
    </row>
    <row r="85" spans="1:41" x14ac:dyDescent="0.25">
      <c r="A85" s="1">
        <f t="shared" si="1"/>
        <v>69</v>
      </c>
      <c r="B85" s="1" t="s">
        <v>263</v>
      </c>
      <c r="C85" s="1" t="s">
        <v>123</v>
      </c>
      <c r="D85" s="1" t="s">
        <v>124</v>
      </c>
      <c r="E85" s="4">
        <v>45292</v>
      </c>
      <c r="F85" s="4">
        <v>45455</v>
      </c>
      <c r="G85" s="1" t="s">
        <v>125</v>
      </c>
      <c r="H85" s="5">
        <v>1119002.29</v>
      </c>
      <c r="I85" s="5">
        <v>80476.44</v>
      </c>
      <c r="J85" s="5">
        <v>13610.34</v>
      </c>
      <c r="K85" s="5">
        <v>20150</v>
      </c>
      <c r="L85" s="5">
        <v>11275.86</v>
      </c>
      <c r="M85" s="5">
        <v>125512.64</v>
      </c>
      <c r="N85" s="5">
        <v>945567.24</v>
      </c>
      <c r="O85" s="5">
        <v>0</v>
      </c>
      <c r="P85" s="5">
        <v>47922.41</v>
      </c>
      <c r="Q85" s="5">
        <v>993489.65</v>
      </c>
      <c r="R85" s="1" t="s">
        <v>264</v>
      </c>
      <c r="S85" s="1" t="s">
        <v>124</v>
      </c>
      <c r="T85" s="4">
        <v>45292</v>
      </c>
      <c r="U85" s="4">
        <v>45455</v>
      </c>
      <c r="V85" s="1" t="s">
        <v>125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993489.65</v>
      </c>
      <c r="AH85" s="5">
        <v>150872.41</v>
      </c>
      <c r="AI85" s="5">
        <v>0</v>
      </c>
      <c r="AJ85" s="5">
        <v>0</v>
      </c>
      <c r="AK85" s="5">
        <v>0</v>
      </c>
      <c r="AL85" s="5">
        <v>150872.41</v>
      </c>
      <c r="AM85" s="5">
        <v>0</v>
      </c>
      <c r="AN85" s="5">
        <v>150872.41</v>
      </c>
      <c r="AO85" s="1" t="s">
        <v>127</v>
      </c>
    </row>
    <row r="86" spans="1:41" x14ac:dyDescent="0.25">
      <c r="A86" s="1">
        <f t="shared" si="1"/>
        <v>70</v>
      </c>
      <c r="B86" s="1" t="s">
        <v>265</v>
      </c>
      <c r="C86" s="1" t="s">
        <v>123</v>
      </c>
      <c r="D86" s="1" t="s">
        <v>124</v>
      </c>
      <c r="E86" s="4">
        <v>45292</v>
      </c>
      <c r="F86" s="4">
        <v>45457</v>
      </c>
      <c r="G86" s="1" t="s">
        <v>125</v>
      </c>
      <c r="H86" s="5">
        <v>955432.28</v>
      </c>
      <c r="I86" s="5">
        <v>66734.89</v>
      </c>
      <c r="J86" s="5">
        <v>19120.14</v>
      </c>
      <c r="K86" s="5">
        <v>22950</v>
      </c>
      <c r="L86" s="5">
        <v>11459.77</v>
      </c>
      <c r="M86" s="5">
        <v>120264.8</v>
      </c>
      <c r="N86" s="5">
        <v>777868.63</v>
      </c>
      <c r="O86" s="5">
        <v>0</v>
      </c>
      <c r="P86" s="5">
        <v>57298.85</v>
      </c>
      <c r="Q86" s="5">
        <v>835167.48</v>
      </c>
      <c r="R86" s="1" t="s">
        <v>266</v>
      </c>
      <c r="S86" s="1" t="s">
        <v>124</v>
      </c>
      <c r="T86" s="4">
        <v>45292</v>
      </c>
      <c r="U86" s="4">
        <v>45457</v>
      </c>
      <c r="V86" s="1" t="s">
        <v>125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835167.48</v>
      </c>
      <c r="AH86" s="5">
        <v>111291.87</v>
      </c>
      <c r="AI86" s="5">
        <v>0</v>
      </c>
      <c r="AJ86" s="5">
        <v>0</v>
      </c>
      <c r="AK86" s="5">
        <v>0</v>
      </c>
      <c r="AL86" s="5">
        <v>111291.87</v>
      </c>
      <c r="AM86" s="5">
        <v>0</v>
      </c>
      <c r="AN86" s="5">
        <v>111291.87</v>
      </c>
      <c r="AO86" s="1" t="s">
        <v>127</v>
      </c>
    </row>
    <row r="87" spans="1:41" x14ac:dyDescent="0.25">
      <c r="A87" s="1">
        <f t="shared" si="1"/>
        <v>71</v>
      </c>
      <c r="B87" s="1" t="s">
        <v>267</v>
      </c>
      <c r="C87" s="1" t="s">
        <v>123</v>
      </c>
      <c r="D87" s="1" t="s">
        <v>124</v>
      </c>
      <c r="E87" s="4">
        <v>45292</v>
      </c>
      <c r="F87" s="4">
        <v>45464</v>
      </c>
      <c r="G87" s="1" t="s">
        <v>125</v>
      </c>
      <c r="H87" s="5">
        <v>390809.02</v>
      </c>
      <c r="I87" s="5">
        <v>27802.68</v>
      </c>
      <c r="J87" s="5">
        <v>22187.360000000001</v>
      </c>
      <c r="K87" s="5">
        <v>16882.5</v>
      </c>
      <c r="L87" s="5">
        <v>4729.8900000000003</v>
      </c>
      <c r="M87" s="5">
        <v>71602.429999999993</v>
      </c>
      <c r="N87" s="5">
        <v>316749.69</v>
      </c>
      <c r="O87" s="5">
        <v>0</v>
      </c>
      <c r="P87" s="5">
        <v>2456.9</v>
      </c>
      <c r="Q87" s="5">
        <v>319206.59000000003</v>
      </c>
      <c r="R87" s="1" t="s">
        <v>268</v>
      </c>
      <c r="S87" s="1" t="s">
        <v>124</v>
      </c>
      <c r="T87" s="4">
        <v>45292</v>
      </c>
      <c r="U87" s="4">
        <v>45464</v>
      </c>
      <c r="V87" s="1" t="s">
        <v>125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319206.59000000003</v>
      </c>
      <c r="AH87" s="5">
        <v>10380.99</v>
      </c>
      <c r="AI87" s="5">
        <v>0</v>
      </c>
      <c r="AJ87" s="5">
        <v>0</v>
      </c>
      <c r="AK87" s="5">
        <v>0</v>
      </c>
      <c r="AL87" s="5">
        <v>10380.99</v>
      </c>
      <c r="AM87" s="5">
        <v>0</v>
      </c>
      <c r="AN87" s="5">
        <v>10380.99</v>
      </c>
      <c r="AO87" s="1" t="s">
        <v>127</v>
      </c>
    </row>
    <row r="88" spans="1:41" x14ac:dyDescent="0.25">
      <c r="A88" s="1">
        <f t="shared" si="1"/>
        <v>72</v>
      </c>
      <c r="B88" s="1" t="s">
        <v>269</v>
      </c>
      <c r="C88" s="1" t="s">
        <v>123</v>
      </c>
      <c r="D88" s="1" t="s">
        <v>124</v>
      </c>
      <c r="E88" s="4">
        <v>45292</v>
      </c>
      <c r="F88" s="4">
        <v>45467</v>
      </c>
      <c r="G88" s="1" t="s">
        <v>125</v>
      </c>
      <c r="H88" s="5">
        <v>165324.42000000001</v>
      </c>
      <c r="I88" s="5">
        <v>10656.03</v>
      </c>
      <c r="J88" s="5">
        <v>24295.98</v>
      </c>
      <c r="K88" s="5">
        <v>9970</v>
      </c>
      <c r="L88" s="5">
        <v>2500</v>
      </c>
      <c r="M88" s="5">
        <v>47422.01</v>
      </c>
      <c r="N88" s="5">
        <v>117902.41</v>
      </c>
      <c r="O88" s="5">
        <v>0</v>
      </c>
      <c r="P88" s="5">
        <v>0</v>
      </c>
      <c r="Q88" s="5">
        <v>117902.41</v>
      </c>
      <c r="R88" s="1" t="s">
        <v>270</v>
      </c>
      <c r="S88" s="1" t="s">
        <v>124</v>
      </c>
      <c r="T88" s="4">
        <v>45292</v>
      </c>
      <c r="U88" s="4">
        <v>45467</v>
      </c>
      <c r="V88" s="1" t="s">
        <v>125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117902.41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1" t="s">
        <v>127</v>
      </c>
    </row>
    <row r="89" spans="1:41" x14ac:dyDescent="0.25">
      <c r="A89" s="1">
        <f t="shared" si="1"/>
        <v>73</v>
      </c>
      <c r="B89" s="1" t="s">
        <v>271</v>
      </c>
      <c r="C89" s="1" t="s">
        <v>123</v>
      </c>
      <c r="D89" s="1" t="s">
        <v>124</v>
      </c>
      <c r="E89" s="4">
        <v>45292</v>
      </c>
      <c r="F89" s="4">
        <v>45471</v>
      </c>
      <c r="G89" s="1" t="s">
        <v>125</v>
      </c>
      <c r="H89" s="5">
        <v>1180352.49</v>
      </c>
      <c r="I89" s="5">
        <v>83065.13</v>
      </c>
      <c r="J89" s="5">
        <v>25747.13</v>
      </c>
      <c r="K89" s="5">
        <v>24200</v>
      </c>
      <c r="L89" s="5">
        <v>12459.77</v>
      </c>
      <c r="M89" s="5">
        <v>145472.03</v>
      </c>
      <c r="N89" s="5">
        <v>972581.61</v>
      </c>
      <c r="O89" s="5">
        <v>0</v>
      </c>
      <c r="P89" s="5">
        <v>62298.85</v>
      </c>
      <c r="Q89" s="5">
        <v>1034880.46</v>
      </c>
      <c r="R89" s="1" t="s">
        <v>272</v>
      </c>
      <c r="S89" s="1" t="s">
        <v>124</v>
      </c>
      <c r="T89" s="4">
        <v>45292</v>
      </c>
      <c r="U89" s="4">
        <v>45471</v>
      </c>
      <c r="V89" s="1" t="s">
        <v>125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1034880.46</v>
      </c>
      <c r="AH89" s="5">
        <v>161220.12</v>
      </c>
      <c r="AI89" s="5">
        <v>0</v>
      </c>
      <c r="AJ89" s="5">
        <v>0</v>
      </c>
      <c r="AK89" s="5">
        <v>0</v>
      </c>
      <c r="AL89" s="5">
        <v>161220.12</v>
      </c>
      <c r="AM89" s="5">
        <v>0</v>
      </c>
      <c r="AN89" s="5">
        <v>161220.12</v>
      </c>
      <c r="AO89" s="1" t="s">
        <v>127</v>
      </c>
    </row>
    <row r="90" spans="1:41" x14ac:dyDescent="0.25">
      <c r="A90" s="1">
        <f t="shared" si="1"/>
        <v>74</v>
      </c>
      <c r="B90" s="1" t="s">
        <v>273</v>
      </c>
      <c r="C90" s="1" t="s">
        <v>123</v>
      </c>
      <c r="D90" s="1" t="s">
        <v>124</v>
      </c>
      <c r="E90" s="4">
        <v>45292</v>
      </c>
      <c r="F90" s="4">
        <v>45473</v>
      </c>
      <c r="G90" s="1" t="s">
        <v>125</v>
      </c>
      <c r="H90" s="5">
        <v>571930.27</v>
      </c>
      <c r="I90" s="5">
        <v>41357.040000000001</v>
      </c>
      <c r="J90" s="5">
        <v>31173.78</v>
      </c>
      <c r="K90" s="5">
        <v>21144.18</v>
      </c>
      <c r="L90" s="5">
        <v>3114.94</v>
      </c>
      <c r="M90" s="5">
        <v>96789.94</v>
      </c>
      <c r="N90" s="5">
        <v>475140.33</v>
      </c>
      <c r="O90" s="5">
        <v>0</v>
      </c>
      <c r="P90" s="5">
        <v>0</v>
      </c>
      <c r="Q90" s="5">
        <v>475140.33</v>
      </c>
      <c r="R90" s="1" t="s">
        <v>274</v>
      </c>
      <c r="S90" s="1" t="s">
        <v>124</v>
      </c>
      <c r="T90" s="4">
        <v>45292</v>
      </c>
      <c r="U90" s="4">
        <v>45473</v>
      </c>
      <c r="V90" s="1" t="s">
        <v>125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475140.33</v>
      </c>
      <c r="AH90" s="5">
        <v>37528.07</v>
      </c>
      <c r="AI90" s="5">
        <v>0</v>
      </c>
      <c r="AJ90" s="5">
        <v>0</v>
      </c>
      <c r="AK90" s="5">
        <v>0</v>
      </c>
      <c r="AL90" s="5">
        <v>37528.07</v>
      </c>
      <c r="AM90" s="5">
        <v>0</v>
      </c>
      <c r="AN90" s="5">
        <v>37528.07</v>
      </c>
      <c r="AO90" s="1" t="s">
        <v>127</v>
      </c>
    </row>
    <row r="91" spans="1:41" x14ac:dyDescent="0.25">
      <c r="A91" s="1">
        <f t="shared" si="1"/>
        <v>75</v>
      </c>
      <c r="B91" s="1" t="s">
        <v>275</v>
      </c>
      <c r="C91" s="1" t="s">
        <v>123</v>
      </c>
      <c r="D91" s="1" t="s">
        <v>124</v>
      </c>
      <c r="E91" s="4">
        <v>45292</v>
      </c>
      <c r="F91" s="4">
        <v>45483</v>
      </c>
      <c r="G91" s="1" t="s">
        <v>125</v>
      </c>
      <c r="H91" s="5">
        <v>255790.28</v>
      </c>
      <c r="I91" s="5">
        <v>15082.12</v>
      </c>
      <c r="J91" s="5">
        <v>33120.85</v>
      </c>
      <c r="K91" s="5">
        <v>12852.68</v>
      </c>
      <c r="L91" s="5">
        <v>3318.97</v>
      </c>
      <c r="M91" s="5">
        <v>64374.62</v>
      </c>
      <c r="N91" s="5">
        <v>168132.8</v>
      </c>
      <c r="O91" s="5">
        <v>0</v>
      </c>
      <c r="P91" s="5">
        <v>23282.86</v>
      </c>
      <c r="Q91" s="5">
        <v>191415.66</v>
      </c>
      <c r="R91" s="1" t="s">
        <v>276</v>
      </c>
      <c r="S91" s="1" t="s">
        <v>124</v>
      </c>
      <c r="T91" s="4">
        <v>45292</v>
      </c>
      <c r="U91" s="4">
        <v>45483</v>
      </c>
      <c r="V91" s="1" t="s">
        <v>125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191415.66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1" t="s">
        <v>127</v>
      </c>
    </row>
    <row r="92" spans="1:41" x14ac:dyDescent="0.25">
      <c r="A92" s="1">
        <f t="shared" si="1"/>
        <v>76</v>
      </c>
      <c r="B92" s="1" t="s">
        <v>277</v>
      </c>
      <c r="C92" s="1" t="s">
        <v>123</v>
      </c>
      <c r="D92" s="1" t="s">
        <v>124</v>
      </c>
      <c r="E92" s="4">
        <v>45292</v>
      </c>
      <c r="F92" s="4">
        <v>45483</v>
      </c>
      <c r="G92" s="1" t="s">
        <v>125</v>
      </c>
      <c r="H92" s="5">
        <v>855648.2</v>
      </c>
      <c r="I92" s="5">
        <v>60280.63</v>
      </c>
      <c r="J92" s="5">
        <v>0</v>
      </c>
      <c r="K92" s="5">
        <v>25750</v>
      </c>
      <c r="L92" s="5">
        <v>12000</v>
      </c>
      <c r="M92" s="5">
        <v>98030.63</v>
      </c>
      <c r="N92" s="5">
        <v>697617.57</v>
      </c>
      <c r="O92" s="5">
        <v>0</v>
      </c>
      <c r="P92" s="5">
        <v>60000</v>
      </c>
      <c r="Q92" s="5">
        <v>757617.57</v>
      </c>
      <c r="R92" s="1" t="s">
        <v>278</v>
      </c>
      <c r="S92" s="1" t="s">
        <v>124</v>
      </c>
      <c r="T92" s="4">
        <v>45292</v>
      </c>
      <c r="U92" s="4">
        <v>45483</v>
      </c>
      <c r="V92" s="1" t="s">
        <v>125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757617.57</v>
      </c>
      <c r="AH92" s="5">
        <v>94023.51</v>
      </c>
      <c r="AI92" s="5">
        <v>0</v>
      </c>
      <c r="AJ92" s="5">
        <v>0</v>
      </c>
      <c r="AK92" s="5">
        <v>0</v>
      </c>
      <c r="AL92" s="5">
        <v>94023.51</v>
      </c>
      <c r="AM92" s="5">
        <v>0</v>
      </c>
      <c r="AN92" s="5">
        <v>94023.51</v>
      </c>
      <c r="AO92" s="1" t="s">
        <v>127</v>
      </c>
    </row>
    <row r="93" spans="1:41" x14ac:dyDescent="0.25">
      <c r="A93" s="1">
        <f t="shared" si="1"/>
        <v>77</v>
      </c>
      <c r="B93" s="1" t="s">
        <v>279</v>
      </c>
      <c r="C93" s="1" t="s">
        <v>123</v>
      </c>
      <c r="D93" s="1" t="s">
        <v>124</v>
      </c>
      <c r="E93" s="4">
        <v>45292</v>
      </c>
      <c r="F93" s="4">
        <v>45490</v>
      </c>
      <c r="G93" s="1" t="s">
        <v>125</v>
      </c>
      <c r="H93" s="5">
        <v>448601.45</v>
      </c>
      <c r="I93" s="5">
        <v>32622.13</v>
      </c>
      <c r="J93" s="5">
        <v>22829.89</v>
      </c>
      <c r="K93" s="5">
        <v>19945</v>
      </c>
      <c r="L93" s="5">
        <v>1683.91</v>
      </c>
      <c r="M93" s="5">
        <v>77080.929999999993</v>
      </c>
      <c r="N93" s="5">
        <v>371520.52</v>
      </c>
      <c r="O93" s="5">
        <v>0</v>
      </c>
      <c r="P93" s="5">
        <v>0</v>
      </c>
      <c r="Q93" s="5">
        <v>371520.52</v>
      </c>
      <c r="R93" s="1" t="s">
        <v>280</v>
      </c>
      <c r="S93" s="1" t="s">
        <v>124</v>
      </c>
      <c r="T93" s="4">
        <v>45292</v>
      </c>
      <c r="U93" s="4">
        <v>45490</v>
      </c>
      <c r="V93" s="1" t="s">
        <v>125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371520.52</v>
      </c>
      <c r="AH93" s="5">
        <v>18228.080000000002</v>
      </c>
      <c r="AI93" s="5">
        <v>0</v>
      </c>
      <c r="AJ93" s="5">
        <v>0</v>
      </c>
      <c r="AK93" s="5">
        <v>0</v>
      </c>
      <c r="AL93" s="5">
        <v>18228.080000000002</v>
      </c>
      <c r="AM93" s="5">
        <v>0</v>
      </c>
      <c r="AN93" s="5">
        <v>18228.080000000002</v>
      </c>
      <c r="AO93" s="1" t="s">
        <v>127</v>
      </c>
    </row>
    <row r="94" spans="1:41" x14ac:dyDescent="0.25">
      <c r="A94" s="1">
        <f t="shared" si="1"/>
        <v>78</v>
      </c>
      <c r="B94" s="1" t="s">
        <v>281</v>
      </c>
      <c r="C94" s="1" t="s">
        <v>123</v>
      </c>
      <c r="D94" s="1" t="s">
        <v>124</v>
      </c>
      <c r="E94" s="4">
        <v>45292</v>
      </c>
      <c r="F94" s="4">
        <v>45492</v>
      </c>
      <c r="G94" s="1" t="s">
        <v>125</v>
      </c>
      <c r="H94" s="5">
        <v>522909.39</v>
      </c>
      <c r="I94" s="5">
        <v>34764.79</v>
      </c>
      <c r="J94" s="5">
        <v>35377.24</v>
      </c>
      <c r="K94" s="5">
        <v>19629.43</v>
      </c>
      <c r="L94" s="5">
        <v>3000</v>
      </c>
      <c r="M94" s="5">
        <v>92771.46</v>
      </c>
      <c r="N94" s="5">
        <v>397548.07</v>
      </c>
      <c r="O94" s="5">
        <v>0</v>
      </c>
      <c r="P94" s="5">
        <v>32589.86</v>
      </c>
      <c r="Q94" s="5">
        <v>430137.93</v>
      </c>
      <c r="R94" s="1" t="s">
        <v>282</v>
      </c>
      <c r="S94" s="1" t="s">
        <v>124</v>
      </c>
      <c r="T94" s="4">
        <v>45292</v>
      </c>
      <c r="U94" s="4">
        <v>45492</v>
      </c>
      <c r="V94" s="1" t="s">
        <v>125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430137.93</v>
      </c>
      <c r="AH94" s="5">
        <v>28527.59</v>
      </c>
      <c r="AI94" s="5">
        <v>0</v>
      </c>
      <c r="AJ94" s="5">
        <v>0</v>
      </c>
      <c r="AK94" s="5">
        <v>0</v>
      </c>
      <c r="AL94" s="5">
        <v>28527.59</v>
      </c>
      <c r="AM94" s="5">
        <v>0</v>
      </c>
      <c r="AN94" s="5">
        <v>28527.59</v>
      </c>
      <c r="AO94" s="1" t="s">
        <v>127</v>
      </c>
    </row>
    <row r="95" spans="1:41" x14ac:dyDescent="0.25">
      <c r="A95" s="1">
        <f t="shared" si="1"/>
        <v>79</v>
      </c>
      <c r="B95" s="1" t="s">
        <v>283</v>
      </c>
      <c r="C95" s="1" t="s">
        <v>123</v>
      </c>
      <c r="D95" s="1" t="s">
        <v>124</v>
      </c>
      <c r="E95" s="4">
        <v>45292</v>
      </c>
      <c r="F95" s="4">
        <v>45495</v>
      </c>
      <c r="G95" s="1" t="s">
        <v>125</v>
      </c>
      <c r="H95" s="5">
        <v>673266.11</v>
      </c>
      <c r="I95" s="5">
        <v>46870.83</v>
      </c>
      <c r="J95" s="5">
        <v>9800</v>
      </c>
      <c r="K95" s="5">
        <v>23802.5</v>
      </c>
      <c r="L95" s="5">
        <v>7000</v>
      </c>
      <c r="M95" s="5">
        <v>87473.33</v>
      </c>
      <c r="N95" s="5">
        <v>538647.5</v>
      </c>
      <c r="O95" s="5">
        <v>0</v>
      </c>
      <c r="P95" s="5">
        <v>47145.279999999999</v>
      </c>
      <c r="Q95" s="5">
        <v>585792.78</v>
      </c>
      <c r="R95" s="1" t="s">
        <v>284</v>
      </c>
      <c r="S95" s="1" t="s">
        <v>124</v>
      </c>
      <c r="T95" s="4">
        <v>45292</v>
      </c>
      <c r="U95" s="4">
        <v>45495</v>
      </c>
      <c r="V95" s="1" t="s">
        <v>125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585792.78</v>
      </c>
      <c r="AH95" s="5">
        <v>59658.559999999998</v>
      </c>
      <c r="AI95" s="5">
        <v>0</v>
      </c>
      <c r="AJ95" s="5">
        <v>0</v>
      </c>
      <c r="AK95" s="5">
        <v>0</v>
      </c>
      <c r="AL95" s="5">
        <v>59658.559999999998</v>
      </c>
      <c r="AM95" s="5">
        <v>0</v>
      </c>
      <c r="AN95" s="5">
        <v>59658.559999999998</v>
      </c>
      <c r="AO95" s="1" t="s">
        <v>127</v>
      </c>
    </row>
    <row r="96" spans="1:41" x14ac:dyDescent="0.25">
      <c r="A96" s="1">
        <f t="shared" si="1"/>
        <v>80</v>
      </c>
      <c r="B96" s="1" t="s">
        <v>285</v>
      </c>
      <c r="C96" s="1" t="s">
        <v>123</v>
      </c>
      <c r="D96" s="1" t="s">
        <v>124</v>
      </c>
      <c r="E96" s="4">
        <v>45292</v>
      </c>
      <c r="F96" s="4">
        <v>45497</v>
      </c>
      <c r="G96" s="1" t="s">
        <v>125</v>
      </c>
      <c r="H96" s="5">
        <v>213736.81</v>
      </c>
      <c r="I96" s="5">
        <v>12902.3</v>
      </c>
      <c r="J96" s="5">
        <v>19873.560000000001</v>
      </c>
      <c r="K96" s="5">
        <v>11232.5</v>
      </c>
      <c r="L96" s="5">
        <v>3548.85</v>
      </c>
      <c r="M96" s="5">
        <v>47557.21</v>
      </c>
      <c r="N96" s="5">
        <v>143595.07999999999</v>
      </c>
      <c r="O96" s="5">
        <v>0</v>
      </c>
      <c r="P96" s="5">
        <v>22584.52</v>
      </c>
      <c r="Q96" s="5">
        <v>166179.6</v>
      </c>
      <c r="R96" s="1" t="s">
        <v>286</v>
      </c>
      <c r="S96" s="1" t="s">
        <v>124</v>
      </c>
      <c r="T96" s="4">
        <v>45292</v>
      </c>
      <c r="U96" s="4">
        <v>45497</v>
      </c>
      <c r="V96" s="1" t="s">
        <v>125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166179.6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1" t="s">
        <v>127</v>
      </c>
    </row>
    <row r="97" spans="1:41" x14ac:dyDescent="0.25">
      <c r="A97" s="1">
        <f t="shared" si="1"/>
        <v>81</v>
      </c>
      <c r="B97" s="1" t="s">
        <v>287</v>
      </c>
      <c r="C97" s="1" t="s">
        <v>123</v>
      </c>
      <c r="D97" s="1" t="s">
        <v>124</v>
      </c>
      <c r="E97" s="4">
        <v>45292</v>
      </c>
      <c r="F97" s="4">
        <v>45498</v>
      </c>
      <c r="G97" s="1" t="s">
        <v>125</v>
      </c>
      <c r="H97" s="5">
        <v>741929.73</v>
      </c>
      <c r="I97" s="5">
        <v>57698.28</v>
      </c>
      <c r="J97" s="5">
        <v>-15457.47</v>
      </c>
      <c r="K97" s="5">
        <v>26512.5</v>
      </c>
      <c r="L97" s="5">
        <v>7068.97</v>
      </c>
      <c r="M97" s="5">
        <v>75822.28</v>
      </c>
      <c r="N97" s="5">
        <v>665866.81000000006</v>
      </c>
      <c r="O97" s="5">
        <v>0</v>
      </c>
      <c r="P97" s="5">
        <v>240.64</v>
      </c>
      <c r="Q97" s="5">
        <v>666107.44999999995</v>
      </c>
      <c r="R97" s="1" t="s">
        <v>288</v>
      </c>
      <c r="S97" s="1" t="s">
        <v>124</v>
      </c>
      <c r="T97" s="4">
        <v>45292</v>
      </c>
      <c r="U97" s="4">
        <v>45498</v>
      </c>
      <c r="V97" s="1" t="s">
        <v>125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666107.44999999995</v>
      </c>
      <c r="AH97" s="5">
        <v>75721.490000000005</v>
      </c>
      <c r="AI97" s="5">
        <v>0</v>
      </c>
      <c r="AJ97" s="5">
        <v>0</v>
      </c>
      <c r="AK97" s="5">
        <v>0</v>
      </c>
      <c r="AL97" s="5">
        <v>75721.490000000005</v>
      </c>
      <c r="AM97" s="5">
        <v>0</v>
      </c>
      <c r="AN97" s="5">
        <v>75721.490000000005</v>
      </c>
      <c r="AO97" s="1" t="s">
        <v>127</v>
      </c>
    </row>
    <row r="98" spans="1:41" x14ac:dyDescent="0.25">
      <c r="A98" s="1">
        <f t="shared" si="1"/>
        <v>82</v>
      </c>
      <c r="B98" s="1" t="s">
        <v>289</v>
      </c>
      <c r="C98" s="1" t="s">
        <v>123</v>
      </c>
      <c r="D98" s="1" t="s">
        <v>124</v>
      </c>
      <c r="E98" s="4">
        <v>45292</v>
      </c>
      <c r="F98" s="4">
        <v>45498</v>
      </c>
      <c r="G98" s="1" t="s">
        <v>125</v>
      </c>
      <c r="H98" s="5">
        <v>572701.57999999996</v>
      </c>
      <c r="I98" s="5">
        <v>41136.92</v>
      </c>
      <c r="J98" s="5">
        <v>27603.31</v>
      </c>
      <c r="K98" s="5">
        <v>21977.41</v>
      </c>
      <c r="L98" s="5">
        <v>3568.97</v>
      </c>
      <c r="M98" s="5">
        <v>94286.61</v>
      </c>
      <c r="N98" s="5">
        <v>471665.68</v>
      </c>
      <c r="O98" s="5">
        <v>0</v>
      </c>
      <c r="P98" s="5">
        <v>6749.29</v>
      </c>
      <c r="Q98" s="5">
        <v>478414.97</v>
      </c>
      <c r="R98" s="1" t="s">
        <v>290</v>
      </c>
      <c r="S98" s="1" t="s">
        <v>124</v>
      </c>
      <c r="T98" s="4">
        <v>45292</v>
      </c>
      <c r="U98" s="4">
        <v>45498</v>
      </c>
      <c r="V98" s="1" t="s">
        <v>125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478414.97</v>
      </c>
      <c r="AH98" s="5">
        <v>38182.99</v>
      </c>
      <c r="AI98" s="5">
        <v>0</v>
      </c>
      <c r="AJ98" s="5">
        <v>0</v>
      </c>
      <c r="AK98" s="5">
        <v>0</v>
      </c>
      <c r="AL98" s="5">
        <v>38182.99</v>
      </c>
      <c r="AM98" s="5">
        <v>0</v>
      </c>
      <c r="AN98" s="5">
        <v>38182.99</v>
      </c>
      <c r="AO98" s="1" t="s">
        <v>127</v>
      </c>
    </row>
    <row r="99" spans="1:41" x14ac:dyDescent="0.25">
      <c r="A99" s="1">
        <f t="shared" si="1"/>
        <v>83</v>
      </c>
      <c r="B99" s="1" t="s">
        <v>291</v>
      </c>
      <c r="C99" s="1" t="s">
        <v>123</v>
      </c>
      <c r="D99" s="1" t="s">
        <v>124</v>
      </c>
      <c r="E99" s="4">
        <v>45292</v>
      </c>
      <c r="F99" s="4">
        <v>45502</v>
      </c>
      <c r="G99" s="1" t="s">
        <v>125</v>
      </c>
      <c r="H99" s="5">
        <v>624540.66</v>
      </c>
      <c r="I99" s="5">
        <v>45186.78</v>
      </c>
      <c r="J99" s="5">
        <v>28564.37</v>
      </c>
      <c r="K99" s="5">
        <v>23875</v>
      </c>
      <c r="L99" s="5">
        <v>1864.94</v>
      </c>
      <c r="M99" s="5">
        <v>99491.09</v>
      </c>
      <c r="N99" s="5">
        <v>518366.38</v>
      </c>
      <c r="O99" s="5">
        <v>0</v>
      </c>
      <c r="P99" s="5">
        <v>6683.19</v>
      </c>
      <c r="Q99" s="5">
        <v>525049.56999999995</v>
      </c>
      <c r="R99" s="1" t="s">
        <v>292</v>
      </c>
      <c r="S99" s="1" t="s">
        <v>124</v>
      </c>
      <c r="T99" s="4">
        <v>45292</v>
      </c>
      <c r="U99" s="4">
        <v>45502</v>
      </c>
      <c r="V99" s="1" t="s">
        <v>125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525049.56999999995</v>
      </c>
      <c r="AH99" s="5">
        <v>47509.91</v>
      </c>
      <c r="AI99" s="5">
        <v>0</v>
      </c>
      <c r="AJ99" s="5">
        <v>0</v>
      </c>
      <c r="AK99" s="5">
        <v>0</v>
      </c>
      <c r="AL99" s="5">
        <v>47509.91</v>
      </c>
      <c r="AM99" s="5">
        <v>0</v>
      </c>
      <c r="AN99" s="5">
        <v>47509.91</v>
      </c>
      <c r="AO99" s="1" t="s">
        <v>127</v>
      </c>
    </row>
    <row r="100" spans="1:41" x14ac:dyDescent="0.25">
      <c r="A100" s="1">
        <f t="shared" si="1"/>
        <v>84</v>
      </c>
      <c r="B100" s="1" t="s">
        <v>293</v>
      </c>
      <c r="C100" s="1" t="s">
        <v>123</v>
      </c>
      <c r="D100" s="1" t="s">
        <v>124</v>
      </c>
      <c r="E100" s="4">
        <v>45292</v>
      </c>
      <c r="F100" s="4">
        <v>45504</v>
      </c>
      <c r="G100" s="1" t="s">
        <v>125</v>
      </c>
      <c r="H100" s="5">
        <v>588884.80000000005</v>
      </c>
      <c r="I100" s="5">
        <v>43440.21</v>
      </c>
      <c r="J100" s="5">
        <v>20501.150000000001</v>
      </c>
      <c r="K100" s="5">
        <v>23186.19</v>
      </c>
      <c r="L100" s="5">
        <v>3660.92</v>
      </c>
      <c r="M100" s="5">
        <v>90788.47</v>
      </c>
      <c r="N100" s="5">
        <v>498096.33</v>
      </c>
      <c r="O100" s="5">
        <v>0</v>
      </c>
      <c r="P100" s="5">
        <v>0</v>
      </c>
      <c r="Q100" s="5">
        <v>498096.33</v>
      </c>
      <c r="R100" s="1" t="s">
        <v>294</v>
      </c>
      <c r="S100" s="1" t="s">
        <v>124</v>
      </c>
      <c r="T100" s="4">
        <v>45292</v>
      </c>
      <c r="U100" s="4">
        <v>45504</v>
      </c>
      <c r="V100" s="1" t="s">
        <v>125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498096.33</v>
      </c>
      <c r="AH100" s="5">
        <v>42119.27</v>
      </c>
      <c r="AI100" s="5">
        <v>0</v>
      </c>
      <c r="AJ100" s="5">
        <v>0</v>
      </c>
      <c r="AK100" s="5">
        <v>0</v>
      </c>
      <c r="AL100" s="5">
        <v>42119.27</v>
      </c>
      <c r="AM100" s="5">
        <v>0</v>
      </c>
      <c r="AN100" s="5">
        <v>42119.27</v>
      </c>
      <c r="AO100" s="1" t="s">
        <v>127</v>
      </c>
    </row>
    <row r="101" spans="1:41" x14ac:dyDescent="0.25">
      <c r="A101" s="1">
        <f t="shared" si="1"/>
        <v>85</v>
      </c>
      <c r="B101" s="1" t="s">
        <v>295</v>
      </c>
      <c r="C101" s="1" t="s">
        <v>123</v>
      </c>
      <c r="D101" s="1" t="s">
        <v>124</v>
      </c>
      <c r="E101" s="4">
        <v>45292</v>
      </c>
      <c r="F101" s="4">
        <v>45492</v>
      </c>
      <c r="G101" s="1" t="s">
        <v>125</v>
      </c>
      <c r="H101" s="5">
        <v>245942.45</v>
      </c>
      <c r="I101" s="5">
        <v>15136.38</v>
      </c>
      <c r="J101" s="5">
        <v>32860.51</v>
      </c>
      <c r="K101" s="5">
        <v>13447.41</v>
      </c>
      <c r="L101" s="5">
        <v>3479.89</v>
      </c>
      <c r="M101" s="5">
        <v>64924.19</v>
      </c>
      <c r="N101" s="5">
        <v>168189.17</v>
      </c>
      <c r="O101" s="5">
        <v>0</v>
      </c>
      <c r="P101" s="5">
        <v>12829.09</v>
      </c>
      <c r="Q101" s="5">
        <v>181018.26</v>
      </c>
      <c r="R101" s="1" t="s">
        <v>296</v>
      </c>
      <c r="S101" s="1" t="s">
        <v>124</v>
      </c>
      <c r="T101" s="4">
        <v>45292</v>
      </c>
      <c r="U101" s="4">
        <v>45492</v>
      </c>
      <c r="V101" s="1" t="s">
        <v>125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181018.26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1" t="s">
        <v>127</v>
      </c>
    </row>
    <row r="102" spans="1:41" x14ac:dyDescent="0.25">
      <c r="A102" s="1">
        <f t="shared" si="1"/>
        <v>86</v>
      </c>
      <c r="B102" s="1" t="s">
        <v>297</v>
      </c>
      <c r="C102" s="1" t="s">
        <v>123</v>
      </c>
      <c r="D102" s="1" t="s">
        <v>124</v>
      </c>
      <c r="E102" s="4">
        <v>45292</v>
      </c>
      <c r="F102" s="4">
        <v>45504</v>
      </c>
      <c r="G102" s="1" t="s">
        <v>125</v>
      </c>
      <c r="H102" s="5">
        <v>1228881.8899999999</v>
      </c>
      <c r="I102" s="5">
        <v>90000</v>
      </c>
      <c r="J102" s="5">
        <v>23001.15</v>
      </c>
      <c r="K102" s="5">
        <v>28250</v>
      </c>
      <c r="L102" s="5">
        <v>3660.92</v>
      </c>
      <c r="M102" s="5">
        <v>144912.07</v>
      </c>
      <c r="N102" s="5">
        <v>1081491.3700000001</v>
      </c>
      <c r="O102" s="5">
        <v>2478.4499999999998</v>
      </c>
      <c r="P102" s="5">
        <v>0</v>
      </c>
      <c r="Q102" s="5">
        <v>1083969.82</v>
      </c>
      <c r="R102" s="1" t="s">
        <v>298</v>
      </c>
      <c r="S102" s="1" t="s">
        <v>124</v>
      </c>
      <c r="T102" s="4">
        <v>45292</v>
      </c>
      <c r="U102" s="4">
        <v>45504</v>
      </c>
      <c r="V102" s="1" t="s">
        <v>125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1083969.82</v>
      </c>
      <c r="AH102" s="5">
        <v>173492.46</v>
      </c>
      <c r="AI102" s="5">
        <v>0</v>
      </c>
      <c r="AJ102" s="5">
        <v>0</v>
      </c>
      <c r="AK102" s="5">
        <v>0</v>
      </c>
      <c r="AL102" s="5">
        <v>173492.46</v>
      </c>
      <c r="AM102" s="5">
        <v>0</v>
      </c>
      <c r="AN102" s="5">
        <v>173492.46</v>
      </c>
      <c r="AO102" s="1" t="s">
        <v>127</v>
      </c>
    </row>
    <row r="103" spans="1:41" x14ac:dyDescent="0.25">
      <c r="A103" s="1">
        <f t="shared" si="1"/>
        <v>87</v>
      </c>
      <c r="B103" s="1" t="s">
        <v>299</v>
      </c>
      <c r="C103" s="1" t="s">
        <v>123</v>
      </c>
      <c r="D103" s="1" t="s">
        <v>124</v>
      </c>
      <c r="E103" s="4">
        <v>45292</v>
      </c>
      <c r="F103" s="4">
        <v>45495</v>
      </c>
      <c r="G103" s="1" t="s">
        <v>125</v>
      </c>
      <c r="H103" s="5">
        <v>586067.89</v>
      </c>
      <c r="I103" s="5">
        <v>40833.33</v>
      </c>
      <c r="J103" s="5">
        <v>34566.949999999997</v>
      </c>
      <c r="K103" s="5">
        <v>22125</v>
      </c>
      <c r="L103" s="5">
        <v>1750</v>
      </c>
      <c r="M103" s="5">
        <v>99275.28</v>
      </c>
      <c r="N103" s="5">
        <v>467875</v>
      </c>
      <c r="O103" s="5">
        <v>0</v>
      </c>
      <c r="P103" s="5">
        <v>18917.61</v>
      </c>
      <c r="Q103" s="5">
        <v>486792.61</v>
      </c>
      <c r="R103" s="1" t="s">
        <v>300</v>
      </c>
      <c r="S103" s="1" t="s">
        <v>124</v>
      </c>
      <c r="T103" s="4">
        <v>45292</v>
      </c>
      <c r="U103" s="4">
        <v>45495</v>
      </c>
      <c r="V103" s="1" t="s">
        <v>125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486792.61</v>
      </c>
      <c r="AH103" s="5">
        <v>39858.519999999997</v>
      </c>
      <c r="AI103" s="5">
        <v>0</v>
      </c>
      <c r="AJ103" s="5">
        <v>0</v>
      </c>
      <c r="AK103" s="5">
        <v>0</v>
      </c>
      <c r="AL103" s="5">
        <v>39858.519999999997</v>
      </c>
      <c r="AM103" s="5">
        <v>0</v>
      </c>
      <c r="AN103" s="5">
        <v>39858.519999999997</v>
      </c>
      <c r="AO103" s="1" t="s">
        <v>127</v>
      </c>
    </row>
    <row r="104" spans="1:41" x14ac:dyDescent="0.25">
      <c r="A104" s="1">
        <f t="shared" si="1"/>
        <v>88</v>
      </c>
      <c r="B104" s="1" t="s">
        <v>301</v>
      </c>
      <c r="C104" s="1" t="s">
        <v>123</v>
      </c>
      <c r="D104" s="1" t="s">
        <v>124</v>
      </c>
      <c r="E104" s="4">
        <v>45292</v>
      </c>
      <c r="F104" s="4">
        <v>45499</v>
      </c>
      <c r="G104" s="1" t="s">
        <v>125</v>
      </c>
      <c r="H104" s="5">
        <v>666973.34</v>
      </c>
      <c r="I104" s="5">
        <v>48804.57</v>
      </c>
      <c r="J104" s="5">
        <v>27731.88</v>
      </c>
      <c r="K104" s="5">
        <v>24048.13</v>
      </c>
      <c r="L104" s="5">
        <v>3591.95</v>
      </c>
      <c r="M104" s="5">
        <v>104176.53</v>
      </c>
      <c r="N104" s="5">
        <v>561606.66</v>
      </c>
      <c r="O104" s="5">
        <v>0</v>
      </c>
      <c r="P104" s="5">
        <v>1190.1500000000001</v>
      </c>
      <c r="Q104" s="5">
        <v>562796.81000000006</v>
      </c>
      <c r="R104" s="1" t="s">
        <v>302</v>
      </c>
      <c r="S104" s="1" t="s">
        <v>124</v>
      </c>
      <c r="T104" s="4">
        <v>45292</v>
      </c>
      <c r="U104" s="4">
        <v>45499</v>
      </c>
      <c r="V104" s="1" t="s">
        <v>125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562796.81000000006</v>
      </c>
      <c r="AH104" s="5">
        <v>55059.360000000001</v>
      </c>
      <c r="AI104" s="5">
        <v>0</v>
      </c>
      <c r="AJ104" s="5">
        <v>0</v>
      </c>
      <c r="AK104" s="5">
        <v>0</v>
      </c>
      <c r="AL104" s="5">
        <v>55059.360000000001</v>
      </c>
      <c r="AM104" s="5">
        <v>0</v>
      </c>
      <c r="AN104" s="5">
        <v>55059.360000000001</v>
      </c>
      <c r="AO104" s="1" t="s">
        <v>127</v>
      </c>
    </row>
    <row r="105" spans="1:41" x14ac:dyDescent="0.25">
      <c r="A105" s="1">
        <f t="shared" si="1"/>
        <v>89</v>
      </c>
      <c r="B105" s="1" t="s">
        <v>303</v>
      </c>
      <c r="C105" s="1" t="s">
        <v>123</v>
      </c>
      <c r="D105" s="1" t="s">
        <v>124</v>
      </c>
      <c r="E105" s="4">
        <v>45292</v>
      </c>
      <c r="F105" s="4">
        <v>45511</v>
      </c>
      <c r="G105" s="1" t="s">
        <v>125</v>
      </c>
      <c r="H105" s="5">
        <v>451885.9</v>
      </c>
      <c r="I105" s="5">
        <v>29850.33</v>
      </c>
      <c r="J105" s="5">
        <v>41303.97</v>
      </c>
      <c r="K105" s="5">
        <v>19094.52</v>
      </c>
      <c r="L105" s="5">
        <v>3750</v>
      </c>
      <c r="M105" s="5">
        <v>93998.82</v>
      </c>
      <c r="N105" s="5">
        <v>339109.48</v>
      </c>
      <c r="O105" s="5">
        <v>0</v>
      </c>
      <c r="P105" s="5">
        <v>18777.599999999999</v>
      </c>
      <c r="Q105" s="5">
        <v>357887.08</v>
      </c>
      <c r="R105" s="1" t="s">
        <v>304</v>
      </c>
      <c r="S105" s="1" t="s">
        <v>124</v>
      </c>
      <c r="T105" s="4">
        <v>45292</v>
      </c>
      <c r="U105" s="4">
        <v>45511</v>
      </c>
      <c r="V105" s="1" t="s">
        <v>125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357887.08</v>
      </c>
      <c r="AH105" s="5">
        <v>16183.06</v>
      </c>
      <c r="AI105" s="5">
        <v>0</v>
      </c>
      <c r="AJ105" s="5">
        <v>0</v>
      </c>
      <c r="AK105" s="5">
        <v>0</v>
      </c>
      <c r="AL105" s="5">
        <v>16183.06</v>
      </c>
      <c r="AM105" s="5">
        <v>0</v>
      </c>
      <c r="AN105" s="5">
        <v>16183.06</v>
      </c>
      <c r="AO105" s="1" t="s">
        <v>127</v>
      </c>
    </row>
    <row r="106" spans="1:41" x14ac:dyDescent="0.25">
      <c r="A106" s="1">
        <f t="shared" si="1"/>
        <v>90</v>
      </c>
      <c r="B106" s="1" t="s">
        <v>305</v>
      </c>
      <c r="C106" s="1" t="s">
        <v>123</v>
      </c>
      <c r="D106" s="1" t="s">
        <v>124</v>
      </c>
      <c r="E106" s="4">
        <v>45292</v>
      </c>
      <c r="F106" s="4">
        <v>45512</v>
      </c>
      <c r="G106" s="1" t="s">
        <v>125</v>
      </c>
      <c r="H106" s="5">
        <v>793178.83</v>
      </c>
      <c r="I106" s="5">
        <v>59110.15</v>
      </c>
      <c r="J106" s="5">
        <v>11328.74</v>
      </c>
      <c r="K106" s="5">
        <v>27200</v>
      </c>
      <c r="L106" s="5">
        <v>7272.99</v>
      </c>
      <c r="M106" s="5">
        <v>104911.88</v>
      </c>
      <c r="N106" s="5">
        <v>682121.84</v>
      </c>
      <c r="O106" s="5">
        <v>0</v>
      </c>
      <c r="P106" s="5">
        <v>6145.11</v>
      </c>
      <c r="Q106" s="5">
        <v>688266.95</v>
      </c>
      <c r="R106" s="1" t="s">
        <v>306</v>
      </c>
      <c r="S106" s="1" t="s">
        <v>124</v>
      </c>
      <c r="T106" s="4">
        <v>45292</v>
      </c>
      <c r="U106" s="4">
        <v>45512</v>
      </c>
      <c r="V106" s="1" t="s">
        <v>125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688266.95</v>
      </c>
      <c r="AH106" s="5">
        <v>80153.39</v>
      </c>
      <c r="AI106" s="5">
        <v>0</v>
      </c>
      <c r="AJ106" s="5">
        <v>0</v>
      </c>
      <c r="AK106" s="5">
        <v>0</v>
      </c>
      <c r="AL106" s="5">
        <v>80153.39</v>
      </c>
      <c r="AM106" s="5">
        <v>0</v>
      </c>
      <c r="AN106" s="5">
        <v>80153.39</v>
      </c>
      <c r="AO106" s="1" t="s">
        <v>127</v>
      </c>
    </row>
    <row r="107" spans="1:41" x14ac:dyDescent="0.25">
      <c r="A107" s="1">
        <f t="shared" si="1"/>
        <v>91</v>
      </c>
      <c r="B107" s="1" t="s">
        <v>307</v>
      </c>
      <c r="C107" s="1" t="s">
        <v>123</v>
      </c>
      <c r="D107" s="1" t="s">
        <v>124</v>
      </c>
      <c r="E107" s="4">
        <v>45292</v>
      </c>
      <c r="F107" s="4">
        <v>45513</v>
      </c>
      <c r="G107" s="1" t="s">
        <v>125</v>
      </c>
      <c r="H107" s="5">
        <v>1189117.81</v>
      </c>
      <c r="I107" s="5">
        <v>84462.64</v>
      </c>
      <c r="J107" s="5">
        <v>0</v>
      </c>
      <c r="K107" s="5">
        <v>28250</v>
      </c>
      <c r="L107" s="5">
        <v>15183.91</v>
      </c>
      <c r="M107" s="5">
        <v>127896.55</v>
      </c>
      <c r="N107" s="5">
        <v>985301.72</v>
      </c>
      <c r="O107" s="5">
        <v>0</v>
      </c>
      <c r="P107" s="5">
        <v>75919.539999999994</v>
      </c>
      <c r="Q107" s="5">
        <v>1061221.26</v>
      </c>
      <c r="R107" s="1" t="s">
        <v>308</v>
      </c>
      <c r="S107" s="1" t="s">
        <v>124</v>
      </c>
      <c r="T107" s="4">
        <v>45292</v>
      </c>
      <c r="U107" s="4">
        <v>45513</v>
      </c>
      <c r="V107" s="1" t="s">
        <v>125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1061221.26</v>
      </c>
      <c r="AH107" s="5">
        <v>167805.32</v>
      </c>
      <c r="AI107" s="5">
        <v>0</v>
      </c>
      <c r="AJ107" s="5">
        <v>0</v>
      </c>
      <c r="AK107" s="5">
        <v>0</v>
      </c>
      <c r="AL107" s="5">
        <v>167805.32</v>
      </c>
      <c r="AM107" s="5">
        <v>0</v>
      </c>
      <c r="AN107" s="5">
        <v>167805.32</v>
      </c>
      <c r="AO107" s="1" t="s">
        <v>127</v>
      </c>
    </row>
    <row r="108" spans="1:41" x14ac:dyDescent="0.25">
      <c r="A108" s="1">
        <f t="shared" si="1"/>
        <v>92</v>
      </c>
      <c r="B108" s="1" t="s">
        <v>309</v>
      </c>
      <c r="C108" s="1" t="s">
        <v>123</v>
      </c>
      <c r="D108" s="1" t="s">
        <v>124</v>
      </c>
      <c r="E108" s="4">
        <v>45292</v>
      </c>
      <c r="F108" s="4">
        <v>45523</v>
      </c>
      <c r="G108" s="1" t="s">
        <v>125</v>
      </c>
      <c r="H108" s="5">
        <v>297899.28999999998</v>
      </c>
      <c r="I108" s="5">
        <v>19069.97</v>
      </c>
      <c r="J108" s="5">
        <v>31229.89</v>
      </c>
      <c r="K108" s="5">
        <v>17005.240000000002</v>
      </c>
      <c r="L108" s="5">
        <v>3933.91</v>
      </c>
      <c r="M108" s="5">
        <v>71239.009999999995</v>
      </c>
      <c r="N108" s="5">
        <v>211834.42</v>
      </c>
      <c r="O108" s="5">
        <v>0</v>
      </c>
      <c r="P108" s="5">
        <v>14825.86</v>
      </c>
      <c r="Q108" s="5">
        <v>226660.28</v>
      </c>
      <c r="R108" s="1" t="s">
        <v>310</v>
      </c>
      <c r="S108" s="1" t="s">
        <v>124</v>
      </c>
      <c r="T108" s="4">
        <v>45292</v>
      </c>
      <c r="U108" s="4">
        <v>45523</v>
      </c>
      <c r="V108" s="1" t="s">
        <v>125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226660.28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1" t="s">
        <v>127</v>
      </c>
    </row>
    <row r="109" spans="1:41" x14ac:dyDescent="0.25">
      <c r="A109" s="1">
        <f t="shared" si="1"/>
        <v>93</v>
      </c>
      <c r="B109" s="1" t="s">
        <v>311</v>
      </c>
      <c r="C109" s="1" t="s">
        <v>123</v>
      </c>
      <c r="D109" s="1" t="s">
        <v>124</v>
      </c>
      <c r="E109" s="4">
        <v>45292</v>
      </c>
      <c r="F109" s="4">
        <v>45524</v>
      </c>
      <c r="G109" s="1" t="s">
        <v>125</v>
      </c>
      <c r="H109" s="5">
        <v>206133.15</v>
      </c>
      <c r="I109" s="5">
        <v>13113.03</v>
      </c>
      <c r="J109" s="5">
        <v>31729.89</v>
      </c>
      <c r="K109" s="5">
        <v>12000</v>
      </c>
      <c r="L109" s="5">
        <v>3933.91</v>
      </c>
      <c r="M109" s="5">
        <v>60776.83</v>
      </c>
      <c r="N109" s="5">
        <v>145356.32</v>
      </c>
      <c r="O109" s="5">
        <v>0</v>
      </c>
      <c r="P109" s="5">
        <v>0</v>
      </c>
      <c r="Q109" s="5">
        <v>145356.32</v>
      </c>
      <c r="R109" s="1" t="s">
        <v>312</v>
      </c>
      <c r="S109" s="1" t="s">
        <v>124</v>
      </c>
      <c r="T109" s="4">
        <v>45292</v>
      </c>
      <c r="U109" s="4">
        <v>45524</v>
      </c>
      <c r="V109" s="1" t="s">
        <v>125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145356.32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1" t="s">
        <v>127</v>
      </c>
    </row>
    <row r="110" spans="1:41" x14ac:dyDescent="0.25">
      <c r="A110" s="1">
        <f t="shared" si="1"/>
        <v>94</v>
      </c>
      <c r="B110" s="1" t="s">
        <v>313</v>
      </c>
      <c r="C110" s="1" t="s">
        <v>123</v>
      </c>
      <c r="D110" s="1" t="s">
        <v>124</v>
      </c>
      <c r="E110" s="4">
        <v>45292</v>
      </c>
      <c r="F110" s="4">
        <v>45525</v>
      </c>
      <c r="G110" s="1" t="s">
        <v>125</v>
      </c>
      <c r="H110" s="5">
        <v>960886.56</v>
      </c>
      <c r="I110" s="5">
        <v>60144.25</v>
      </c>
      <c r="J110" s="5">
        <v>33852.870000000003</v>
      </c>
      <c r="K110" s="5">
        <v>29295</v>
      </c>
      <c r="L110" s="5">
        <v>7479.89</v>
      </c>
      <c r="M110" s="5">
        <v>130772.01</v>
      </c>
      <c r="N110" s="5">
        <v>692436.03</v>
      </c>
      <c r="O110" s="5">
        <v>0</v>
      </c>
      <c r="P110" s="5">
        <v>137678.51999999999</v>
      </c>
      <c r="Q110" s="5">
        <v>830114.55</v>
      </c>
      <c r="R110" s="1" t="s">
        <v>314</v>
      </c>
      <c r="S110" s="1" t="s">
        <v>124</v>
      </c>
      <c r="T110" s="4">
        <v>45292</v>
      </c>
      <c r="U110" s="4">
        <v>45525</v>
      </c>
      <c r="V110" s="1" t="s">
        <v>125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830114.55</v>
      </c>
      <c r="AH110" s="5">
        <v>110028.64</v>
      </c>
      <c r="AI110" s="5">
        <v>0</v>
      </c>
      <c r="AJ110" s="5">
        <v>0</v>
      </c>
      <c r="AK110" s="5">
        <v>0</v>
      </c>
      <c r="AL110" s="5">
        <v>110028.64</v>
      </c>
      <c r="AM110" s="5">
        <v>0</v>
      </c>
      <c r="AN110" s="5">
        <v>110028.64</v>
      </c>
      <c r="AO110" s="1" t="s">
        <v>127</v>
      </c>
    </row>
    <row r="111" spans="1:41" x14ac:dyDescent="0.25">
      <c r="A111" s="1">
        <f t="shared" si="1"/>
        <v>95</v>
      </c>
      <c r="B111" s="1" t="s">
        <v>315</v>
      </c>
      <c r="C111" s="1" t="s">
        <v>123</v>
      </c>
      <c r="D111" s="1" t="s">
        <v>124</v>
      </c>
      <c r="E111" s="4">
        <v>45292</v>
      </c>
      <c r="F111" s="4">
        <v>45531</v>
      </c>
      <c r="G111" s="1" t="s">
        <v>125</v>
      </c>
      <c r="H111" s="5">
        <v>669291.26</v>
      </c>
      <c r="I111" s="5">
        <v>50323.28</v>
      </c>
      <c r="J111" s="5">
        <v>22098.560000000001</v>
      </c>
      <c r="K111" s="5">
        <v>26362.5</v>
      </c>
      <c r="L111" s="5">
        <v>2298.85</v>
      </c>
      <c r="M111" s="5">
        <v>101083.19</v>
      </c>
      <c r="N111" s="5">
        <v>563965.07999999996</v>
      </c>
      <c r="O111" s="5">
        <v>0</v>
      </c>
      <c r="P111" s="5">
        <v>4242.99</v>
      </c>
      <c r="Q111" s="5">
        <v>568208.06999999995</v>
      </c>
      <c r="R111" s="1" t="s">
        <v>316</v>
      </c>
      <c r="S111" s="1" t="s">
        <v>124</v>
      </c>
      <c r="T111" s="4">
        <v>45292</v>
      </c>
      <c r="U111" s="4">
        <v>45531</v>
      </c>
      <c r="V111" s="1" t="s">
        <v>125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568208.06999999995</v>
      </c>
      <c r="AH111" s="5">
        <v>56141.61</v>
      </c>
      <c r="AI111" s="5">
        <v>0</v>
      </c>
      <c r="AJ111" s="5">
        <v>0</v>
      </c>
      <c r="AK111" s="5">
        <v>0</v>
      </c>
      <c r="AL111" s="5">
        <v>56141.61</v>
      </c>
      <c r="AM111" s="5">
        <v>0</v>
      </c>
      <c r="AN111" s="5">
        <v>56141.61</v>
      </c>
      <c r="AO111" s="1" t="s">
        <v>127</v>
      </c>
    </row>
    <row r="112" spans="1:41" x14ac:dyDescent="0.25">
      <c r="A112" s="1">
        <f t="shared" si="1"/>
        <v>96</v>
      </c>
      <c r="B112" s="1" t="s">
        <v>317</v>
      </c>
      <c r="C112" s="1" t="s">
        <v>123</v>
      </c>
      <c r="D112" s="1" t="s">
        <v>124</v>
      </c>
      <c r="E112" s="4">
        <v>45292</v>
      </c>
      <c r="F112" s="4">
        <v>45521</v>
      </c>
      <c r="G112" s="1" t="s">
        <v>125</v>
      </c>
      <c r="H112" s="5">
        <v>686182.76</v>
      </c>
      <c r="I112" s="5">
        <v>49133.62</v>
      </c>
      <c r="J112" s="5">
        <v>43557.760000000002</v>
      </c>
      <c r="K112" s="5">
        <v>26512.5</v>
      </c>
      <c r="L112" s="5">
        <v>3887.93</v>
      </c>
      <c r="M112" s="5">
        <v>123091.81</v>
      </c>
      <c r="N112" s="5">
        <v>563090.94999999995</v>
      </c>
      <c r="O112" s="5">
        <v>0</v>
      </c>
      <c r="P112" s="5">
        <v>0</v>
      </c>
      <c r="Q112" s="5">
        <v>563090.94999999995</v>
      </c>
      <c r="R112" s="1" t="s">
        <v>318</v>
      </c>
      <c r="S112" s="1" t="s">
        <v>124</v>
      </c>
      <c r="T112" s="4">
        <v>45292</v>
      </c>
      <c r="U112" s="4">
        <v>45521</v>
      </c>
      <c r="V112" s="1" t="s">
        <v>125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563090.94999999995</v>
      </c>
      <c r="AH112" s="5">
        <v>55118.19</v>
      </c>
      <c r="AI112" s="5">
        <v>0</v>
      </c>
      <c r="AJ112" s="5">
        <v>0</v>
      </c>
      <c r="AK112" s="5">
        <v>0</v>
      </c>
      <c r="AL112" s="5">
        <v>55118.19</v>
      </c>
      <c r="AM112" s="5">
        <v>0</v>
      </c>
      <c r="AN112" s="5">
        <v>55118.19</v>
      </c>
      <c r="AO112" s="1" t="s">
        <v>127</v>
      </c>
    </row>
    <row r="113" spans="1:41" x14ac:dyDescent="0.25">
      <c r="A113" s="1">
        <f t="shared" si="1"/>
        <v>97</v>
      </c>
      <c r="B113" s="1" t="s">
        <v>319</v>
      </c>
      <c r="C113" s="1" t="s">
        <v>123</v>
      </c>
      <c r="D113" s="1" t="s">
        <v>124</v>
      </c>
      <c r="E113" s="4">
        <v>45292</v>
      </c>
      <c r="F113" s="4">
        <v>45532</v>
      </c>
      <c r="G113" s="1" t="s">
        <v>125</v>
      </c>
      <c r="H113" s="5">
        <v>525613.68999999994</v>
      </c>
      <c r="I113" s="5">
        <v>32634.18</v>
      </c>
      <c r="J113" s="5">
        <v>45143.91</v>
      </c>
      <c r="K113" s="5">
        <v>21255.09</v>
      </c>
      <c r="L113" s="5">
        <v>4091.95</v>
      </c>
      <c r="M113" s="5">
        <v>103125.13</v>
      </c>
      <c r="N113" s="5">
        <v>370355.08</v>
      </c>
      <c r="O113" s="5">
        <v>0</v>
      </c>
      <c r="P113" s="5">
        <v>52133.48</v>
      </c>
      <c r="Q113" s="5">
        <v>422488.56</v>
      </c>
      <c r="R113" s="1" t="s">
        <v>320</v>
      </c>
      <c r="S113" s="1" t="s">
        <v>124</v>
      </c>
      <c r="T113" s="4">
        <v>45292</v>
      </c>
      <c r="U113" s="4">
        <v>45532</v>
      </c>
      <c r="V113" s="1" t="s">
        <v>125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422488.56</v>
      </c>
      <c r="AH113" s="5">
        <v>26997.71</v>
      </c>
      <c r="AI113" s="5">
        <v>0</v>
      </c>
      <c r="AJ113" s="5">
        <v>0</v>
      </c>
      <c r="AK113" s="5">
        <v>0</v>
      </c>
      <c r="AL113" s="5">
        <v>26997.71</v>
      </c>
      <c r="AM113" s="5">
        <v>0</v>
      </c>
      <c r="AN113" s="5">
        <v>26997.71</v>
      </c>
      <c r="AO113" s="1" t="s">
        <v>127</v>
      </c>
    </row>
    <row r="114" spans="1:41" x14ac:dyDescent="0.25">
      <c r="A114" s="1">
        <f t="shared" si="1"/>
        <v>98</v>
      </c>
      <c r="B114" s="1" t="s">
        <v>321</v>
      </c>
      <c r="C114" s="1" t="s">
        <v>123</v>
      </c>
      <c r="D114" s="1" t="s">
        <v>124</v>
      </c>
      <c r="E114" s="4">
        <v>45292</v>
      </c>
      <c r="F114" s="4">
        <v>45535</v>
      </c>
      <c r="G114" s="1" t="s">
        <v>125</v>
      </c>
      <c r="H114" s="5">
        <v>929454.8</v>
      </c>
      <c r="I114" s="5">
        <v>68582.38</v>
      </c>
      <c r="J114" s="5">
        <v>30245.98</v>
      </c>
      <c r="K114" s="5">
        <v>32300</v>
      </c>
      <c r="L114" s="5">
        <v>7637.93</v>
      </c>
      <c r="M114" s="5">
        <v>138766.29</v>
      </c>
      <c r="N114" s="5">
        <v>790688.51</v>
      </c>
      <c r="O114" s="5">
        <v>0</v>
      </c>
      <c r="P114" s="5">
        <v>0</v>
      </c>
      <c r="Q114" s="5">
        <v>790688.51</v>
      </c>
      <c r="R114" s="1" t="s">
        <v>322</v>
      </c>
      <c r="S114" s="1" t="s">
        <v>124</v>
      </c>
      <c r="T114" s="4">
        <v>45292</v>
      </c>
      <c r="U114" s="4">
        <v>45535</v>
      </c>
      <c r="V114" s="1" t="s">
        <v>125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790688.51</v>
      </c>
      <c r="AH114" s="5">
        <v>100637.7</v>
      </c>
      <c r="AI114" s="5">
        <v>0</v>
      </c>
      <c r="AJ114" s="5">
        <v>0</v>
      </c>
      <c r="AK114" s="5">
        <v>0</v>
      </c>
      <c r="AL114" s="5">
        <v>100637.7</v>
      </c>
      <c r="AM114" s="5">
        <v>0</v>
      </c>
      <c r="AN114" s="5">
        <v>100637.7</v>
      </c>
      <c r="AO114" s="1" t="s">
        <v>127</v>
      </c>
    </row>
    <row r="115" spans="1:41" x14ac:dyDescent="0.25">
      <c r="A115" s="1">
        <f t="shared" si="1"/>
        <v>99</v>
      </c>
      <c r="B115" s="1" t="s">
        <v>323</v>
      </c>
      <c r="C115" s="1" t="s">
        <v>123</v>
      </c>
      <c r="D115" s="1" t="s">
        <v>124</v>
      </c>
      <c r="E115" s="4">
        <v>45292</v>
      </c>
      <c r="F115" s="4">
        <v>45536</v>
      </c>
      <c r="G115" s="1" t="s">
        <v>125</v>
      </c>
      <c r="H115" s="5">
        <v>599246.86</v>
      </c>
      <c r="I115" s="5">
        <v>42696.25</v>
      </c>
      <c r="J115" s="5">
        <v>37775.86</v>
      </c>
      <c r="K115" s="5">
        <v>24740.29</v>
      </c>
      <c r="L115" s="5">
        <v>4137.93</v>
      </c>
      <c r="M115" s="5">
        <v>109350.33</v>
      </c>
      <c r="N115" s="5">
        <v>487614.74</v>
      </c>
      <c r="O115" s="5">
        <v>0</v>
      </c>
      <c r="P115" s="5">
        <v>2281.79</v>
      </c>
      <c r="Q115" s="5">
        <v>489896.53</v>
      </c>
      <c r="R115" s="1" t="s">
        <v>324</v>
      </c>
      <c r="S115" s="1" t="s">
        <v>124</v>
      </c>
      <c r="T115" s="4">
        <v>45292</v>
      </c>
      <c r="U115" s="4">
        <v>45536</v>
      </c>
      <c r="V115" s="1" t="s">
        <v>125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489896.53</v>
      </c>
      <c r="AH115" s="5">
        <v>40479.31</v>
      </c>
      <c r="AI115" s="5">
        <v>0</v>
      </c>
      <c r="AJ115" s="5">
        <v>0</v>
      </c>
      <c r="AK115" s="5">
        <v>0</v>
      </c>
      <c r="AL115" s="5">
        <v>40479.31</v>
      </c>
      <c r="AM115" s="5">
        <v>0</v>
      </c>
      <c r="AN115" s="5">
        <v>40479.31</v>
      </c>
      <c r="AO115" s="1" t="s">
        <v>127</v>
      </c>
    </row>
    <row r="116" spans="1:41" x14ac:dyDescent="0.25">
      <c r="A116" s="1">
        <f t="shared" si="1"/>
        <v>100</v>
      </c>
      <c r="B116" s="1" t="s">
        <v>325</v>
      </c>
      <c r="C116" s="1" t="s">
        <v>123</v>
      </c>
      <c r="D116" s="1" t="s">
        <v>124</v>
      </c>
      <c r="E116" s="4">
        <v>45292</v>
      </c>
      <c r="F116" s="4">
        <v>45537</v>
      </c>
      <c r="G116" s="1" t="s">
        <v>125</v>
      </c>
      <c r="H116" s="5">
        <v>588162.1</v>
      </c>
      <c r="I116" s="5">
        <v>41054.29</v>
      </c>
      <c r="J116" s="5">
        <v>39828.74</v>
      </c>
      <c r="K116" s="5">
        <v>24111</v>
      </c>
      <c r="L116" s="5">
        <v>4160.92</v>
      </c>
      <c r="M116" s="5">
        <v>109154.95</v>
      </c>
      <c r="N116" s="5">
        <v>468540.49</v>
      </c>
      <c r="O116" s="5">
        <v>0</v>
      </c>
      <c r="P116" s="5">
        <v>10466.66</v>
      </c>
      <c r="Q116" s="5">
        <v>479007.15</v>
      </c>
      <c r="R116" s="1" t="s">
        <v>326</v>
      </c>
      <c r="S116" s="1" t="s">
        <v>124</v>
      </c>
      <c r="T116" s="4">
        <v>45292</v>
      </c>
      <c r="U116" s="4">
        <v>45537</v>
      </c>
      <c r="V116" s="1" t="s">
        <v>125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479007.15</v>
      </c>
      <c r="AH116" s="5">
        <v>38301.43</v>
      </c>
      <c r="AI116" s="5">
        <v>0</v>
      </c>
      <c r="AJ116" s="5">
        <v>0</v>
      </c>
      <c r="AK116" s="5">
        <v>0</v>
      </c>
      <c r="AL116" s="5">
        <v>38301.43</v>
      </c>
      <c r="AM116" s="5">
        <v>0</v>
      </c>
      <c r="AN116" s="5">
        <v>38301.43</v>
      </c>
      <c r="AO116" s="1" t="s">
        <v>127</v>
      </c>
    </row>
    <row r="117" spans="1:41" x14ac:dyDescent="0.25">
      <c r="A117" s="1">
        <f t="shared" si="1"/>
        <v>101</v>
      </c>
      <c r="B117" s="1" t="s">
        <v>327</v>
      </c>
      <c r="C117" s="1" t="s">
        <v>123</v>
      </c>
      <c r="D117" s="1" t="s">
        <v>124</v>
      </c>
      <c r="E117" s="4">
        <v>45292</v>
      </c>
      <c r="F117" s="4">
        <v>45548</v>
      </c>
      <c r="G117" s="1" t="s">
        <v>125</v>
      </c>
      <c r="H117" s="5">
        <v>645063.65</v>
      </c>
      <c r="I117" s="5">
        <v>47037.84</v>
      </c>
      <c r="J117" s="5">
        <v>30494.83</v>
      </c>
      <c r="K117" s="5">
        <v>27662.5</v>
      </c>
      <c r="L117" s="5">
        <v>2591.9499999999998</v>
      </c>
      <c r="M117" s="5">
        <v>107787.12</v>
      </c>
      <c r="N117" s="5">
        <v>536791.52</v>
      </c>
      <c r="O117" s="5">
        <v>0</v>
      </c>
      <c r="P117" s="5">
        <v>485.01</v>
      </c>
      <c r="Q117" s="5">
        <v>537276.53</v>
      </c>
      <c r="R117" s="1" t="s">
        <v>328</v>
      </c>
      <c r="S117" s="1" t="s">
        <v>124</v>
      </c>
      <c r="T117" s="4">
        <v>45292</v>
      </c>
      <c r="U117" s="4">
        <v>45548</v>
      </c>
      <c r="V117" s="1" t="s">
        <v>125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537276.53</v>
      </c>
      <c r="AH117" s="5">
        <v>49955.31</v>
      </c>
      <c r="AI117" s="5">
        <v>0</v>
      </c>
      <c r="AJ117" s="5">
        <v>0</v>
      </c>
      <c r="AK117" s="5">
        <v>0</v>
      </c>
      <c r="AL117" s="5">
        <v>49955.31</v>
      </c>
      <c r="AM117" s="5">
        <v>0</v>
      </c>
      <c r="AN117" s="5">
        <v>49955.31</v>
      </c>
      <c r="AO117" s="1" t="s">
        <v>127</v>
      </c>
    </row>
    <row r="118" spans="1:41" x14ac:dyDescent="0.25">
      <c r="A118" s="1">
        <f t="shared" si="1"/>
        <v>102</v>
      </c>
      <c r="B118" s="1" t="s">
        <v>329</v>
      </c>
      <c r="C118" s="1" t="s">
        <v>123</v>
      </c>
      <c r="D118" s="1" t="s">
        <v>124</v>
      </c>
      <c r="E118" s="4">
        <v>45292</v>
      </c>
      <c r="F118" s="4">
        <v>45541</v>
      </c>
      <c r="G118" s="1" t="s">
        <v>125</v>
      </c>
      <c r="H118" s="5">
        <v>849500.43</v>
      </c>
      <c r="I118" s="5">
        <v>63405.17</v>
      </c>
      <c r="J118" s="5">
        <v>21300</v>
      </c>
      <c r="K118" s="5">
        <v>30300</v>
      </c>
      <c r="L118" s="5">
        <v>0</v>
      </c>
      <c r="M118" s="5">
        <v>115005.17</v>
      </c>
      <c r="N118" s="5">
        <v>730562.07</v>
      </c>
      <c r="O118" s="5">
        <v>0</v>
      </c>
      <c r="P118" s="5">
        <v>3933.19</v>
      </c>
      <c r="Q118" s="5">
        <v>734495.26</v>
      </c>
      <c r="R118" s="1" t="s">
        <v>330</v>
      </c>
      <c r="S118" s="1" t="s">
        <v>124</v>
      </c>
      <c r="T118" s="4">
        <v>45292</v>
      </c>
      <c r="U118" s="4">
        <v>45541</v>
      </c>
      <c r="V118" s="1" t="s">
        <v>125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734495.26</v>
      </c>
      <c r="AH118" s="5">
        <v>89399.05</v>
      </c>
      <c r="AI118" s="5">
        <v>0</v>
      </c>
      <c r="AJ118" s="5">
        <v>0</v>
      </c>
      <c r="AK118" s="5">
        <v>0</v>
      </c>
      <c r="AL118" s="5">
        <v>89399.05</v>
      </c>
      <c r="AM118" s="5">
        <v>0</v>
      </c>
      <c r="AN118" s="5">
        <v>89399.05</v>
      </c>
      <c r="AO118" s="1" t="s">
        <v>127</v>
      </c>
    </row>
    <row r="119" spans="1:41" x14ac:dyDescent="0.25">
      <c r="A119" s="1">
        <f t="shared" si="1"/>
        <v>103</v>
      </c>
      <c r="B119" s="1" t="s">
        <v>331</v>
      </c>
      <c r="C119" s="1" t="s">
        <v>123</v>
      </c>
      <c r="D119" s="1" t="s">
        <v>124</v>
      </c>
      <c r="E119" s="4">
        <v>45292</v>
      </c>
      <c r="F119" s="4">
        <v>45516</v>
      </c>
      <c r="G119" s="1" t="s">
        <v>125</v>
      </c>
      <c r="H119" s="5">
        <v>703083.17</v>
      </c>
      <c r="I119" s="5">
        <v>46284.480000000003</v>
      </c>
      <c r="J119" s="5">
        <v>30836.21</v>
      </c>
      <c r="K119" s="5">
        <v>25929</v>
      </c>
      <c r="L119" s="5">
        <v>3818.97</v>
      </c>
      <c r="M119" s="5">
        <v>106868.66</v>
      </c>
      <c r="N119" s="5">
        <v>529484.79</v>
      </c>
      <c r="O119" s="5">
        <v>0</v>
      </c>
      <c r="P119" s="5">
        <v>66729.72</v>
      </c>
      <c r="Q119" s="5">
        <v>596214.51</v>
      </c>
      <c r="R119" s="1" t="s">
        <v>332</v>
      </c>
      <c r="S119" s="1" t="s">
        <v>124</v>
      </c>
      <c r="T119" s="4">
        <v>45292</v>
      </c>
      <c r="U119" s="4">
        <v>45516</v>
      </c>
      <c r="V119" s="1" t="s">
        <v>125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596214.51</v>
      </c>
      <c r="AH119" s="5">
        <v>61742.9</v>
      </c>
      <c r="AI119" s="5">
        <v>0</v>
      </c>
      <c r="AJ119" s="5">
        <v>0</v>
      </c>
      <c r="AK119" s="5">
        <v>0</v>
      </c>
      <c r="AL119" s="5">
        <v>61742.9</v>
      </c>
      <c r="AM119" s="5">
        <v>0</v>
      </c>
      <c r="AN119" s="5">
        <v>61742.9</v>
      </c>
      <c r="AO119" s="1" t="s">
        <v>127</v>
      </c>
    </row>
    <row r="120" spans="1:41" x14ac:dyDescent="0.25">
      <c r="A120" s="1">
        <f t="shared" si="1"/>
        <v>104</v>
      </c>
      <c r="B120" s="1" t="s">
        <v>333</v>
      </c>
      <c r="C120" s="1" t="s">
        <v>123</v>
      </c>
      <c r="D120" s="1" t="s">
        <v>124</v>
      </c>
      <c r="E120" s="4">
        <v>45292</v>
      </c>
      <c r="F120" s="4">
        <v>45543</v>
      </c>
      <c r="G120" s="1" t="s">
        <v>125</v>
      </c>
      <c r="H120" s="5">
        <v>1128116.0900000001</v>
      </c>
      <c r="I120" s="5">
        <v>85057.47</v>
      </c>
      <c r="J120" s="5">
        <v>14616.09</v>
      </c>
      <c r="K120" s="5">
        <v>32300</v>
      </c>
      <c r="L120" s="5">
        <v>7752.87</v>
      </c>
      <c r="M120" s="5">
        <v>139726.43</v>
      </c>
      <c r="N120" s="5">
        <v>988389.66</v>
      </c>
      <c r="O120" s="5">
        <v>0</v>
      </c>
      <c r="P120" s="5">
        <v>0</v>
      </c>
      <c r="Q120" s="5">
        <v>988389.66</v>
      </c>
      <c r="R120" s="1" t="s">
        <v>334</v>
      </c>
      <c r="S120" s="1" t="s">
        <v>124</v>
      </c>
      <c r="T120" s="4">
        <v>45292</v>
      </c>
      <c r="U120" s="4">
        <v>45543</v>
      </c>
      <c r="V120" s="1" t="s">
        <v>125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988389.66</v>
      </c>
      <c r="AH120" s="5">
        <v>149597.42000000001</v>
      </c>
      <c r="AI120" s="5">
        <v>0</v>
      </c>
      <c r="AJ120" s="5">
        <v>0</v>
      </c>
      <c r="AK120" s="5">
        <v>0</v>
      </c>
      <c r="AL120" s="5">
        <v>149597.42000000001</v>
      </c>
      <c r="AM120" s="5">
        <v>0</v>
      </c>
      <c r="AN120" s="5">
        <v>149597.42000000001</v>
      </c>
      <c r="AO120" s="1" t="s">
        <v>127</v>
      </c>
    </row>
    <row r="121" spans="1:41" x14ac:dyDescent="0.25">
      <c r="A121" s="1">
        <f t="shared" si="1"/>
        <v>105</v>
      </c>
      <c r="B121" s="1" t="s">
        <v>335</v>
      </c>
      <c r="C121" s="1" t="s">
        <v>123</v>
      </c>
      <c r="D121" s="1" t="s">
        <v>124</v>
      </c>
      <c r="E121" s="4">
        <v>45292</v>
      </c>
      <c r="F121" s="4">
        <v>45520</v>
      </c>
      <c r="G121" s="1" t="s">
        <v>125</v>
      </c>
      <c r="H121" s="5">
        <v>1427181.04</v>
      </c>
      <c r="I121" s="5">
        <v>90000</v>
      </c>
      <c r="J121" s="5">
        <v>27155.17</v>
      </c>
      <c r="K121" s="5">
        <v>31050</v>
      </c>
      <c r="L121" s="5">
        <v>15643.68</v>
      </c>
      <c r="M121" s="5">
        <v>163848.85</v>
      </c>
      <c r="N121" s="5">
        <v>1174639.6599999999</v>
      </c>
      <c r="O121" s="5">
        <v>10474.14</v>
      </c>
      <c r="P121" s="5">
        <v>78218.39</v>
      </c>
      <c r="Q121" s="5">
        <v>1263332.19</v>
      </c>
      <c r="R121" s="1" t="s">
        <v>336</v>
      </c>
      <c r="S121" s="1" t="s">
        <v>124</v>
      </c>
      <c r="T121" s="4">
        <v>45292</v>
      </c>
      <c r="U121" s="4">
        <v>45520</v>
      </c>
      <c r="V121" s="1" t="s">
        <v>125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1263332.19</v>
      </c>
      <c r="AH121" s="5">
        <v>218333.05</v>
      </c>
      <c r="AI121" s="5">
        <v>0</v>
      </c>
      <c r="AJ121" s="5">
        <v>0</v>
      </c>
      <c r="AK121" s="5">
        <v>0</v>
      </c>
      <c r="AL121" s="5">
        <v>218333.05</v>
      </c>
      <c r="AM121" s="5">
        <v>0</v>
      </c>
      <c r="AN121" s="5">
        <v>218333.05</v>
      </c>
      <c r="AO121" s="1" t="s">
        <v>127</v>
      </c>
    </row>
    <row r="122" spans="1:41" x14ac:dyDescent="0.25">
      <c r="A122" s="1">
        <f t="shared" si="1"/>
        <v>106</v>
      </c>
      <c r="B122" s="1" t="s">
        <v>337</v>
      </c>
      <c r="C122" s="1" t="s">
        <v>123</v>
      </c>
      <c r="D122" s="1" t="s">
        <v>124</v>
      </c>
      <c r="E122" s="4">
        <v>45292</v>
      </c>
      <c r="F122" s="4">
        <v>45541</v>
      </c>
      <c r="G122" s="1" t="s">
        <v>125</v>
      </c>
      <c r="H122" s="5">
        <v>612617.96</v>
      </c>
      <c r="I122" s="5">
        <v>44930.32</v>
      </c>
      <c r="J122" s="5">
        <v>33725</v>
      </c>
      <c r="K122" s="5">
        <v>25665.62</v>
      </c>
      <c r="L122" s="5">
        <v>4250</v>
      </c>
      <c r="M122" s="5">
        <v>108570.94</v>
      </c>
      <c r="N122" s="5">
        <v>500161.96</v>
      </c>
      <c r="O122" s="5">
        <v>0</v>
      </c>
      <c r="P122" s="5">
        <v>3885.06</v>
      </c>
      <c r="Q122" s="5">
        <v>504047.02</v>
      </c>
      <c r="R122" s="1" t="s">
        <v>338</v>
      </c>
      <c r="S122" s="1" t="s">
        <v>124</v>
      </c>
      <c r="T122" s="4">
        <v>45292</v>
      </c>
      <c r="U122" s="4">
        <v>45541</v>
      </c>
      <c r="V122" s="1" t="s">
        <v>125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504047.02</v>
      </c>
      <c r="AH122" s="5">
        <v>43309.4</v>
      </c>
      <c r="AI122" s="5">
        <v>0</v>
      </c>
      <c r="AJ122" s="5">
        <v>0</v>
      </c>
      <c r="AK122" s="5">
        <v>0</v>
      </c>
      <c r="AL122" s="5">
        <v>43309.4</v>
      </c>
      <c r="AM122" s="5">
        <v>0</v>
      </c>
      <c r="AN122" s="5">
        <v>43309.4</v>
      </c>
      <c r="AO122" s="1" t="s">
        <v>127</v>
      </c>
    </row>
    <row r="123" spans="1:41" x14ac:dyDescent="0.25">
      <c r="A123" s="1">
        <f t="shared" si="1"/>
        <v>107</v>
      </c>
      <c r="B123" s="1" t="s">
        <v>339</v>
      </c>
      <c r="C123" s="1" t="s">
        <v>123</v>
      </c>
      <c r="D123" s="1" t="s">
        <v>124</v>
      </c>
      <c r="E123" s="4">
        <v>45292</v>
      </c>
      <c r="F123" s="4">
        <v>45573</v>
      </c>
      <c r="G123" s="1" t="s">
        <v>125</v>
      </c>
      <c r="H123" s="5">
        <v>886255.91</v>
      </c>
      <c r="I123" s="5">
        <v>61787.58</v>
      </c>
      <c r="J123" s="5">
        <v>39503.74</v>
      </c>
      <c r="K123" s="5">
        <v>31299.25</v>
      </c>
      <c r="L123" s="5">
        <v>4772.99</v>
      </c>
      <c r="M123" s="5">
        <v>137363.56</v>
      </c>
      <c r="N123" s="5">
        <v>705008.05</v>
      </c>
      <c r="O123" s="5">
        <v>0</v>
      </c>
      <c r="P123" s="5">
        <v>43884.3</v>
      </c>
      <c r="Q123" s="5">
        <v>748892.35</v>
      </c>
      <c r="R123" s="1" t="s">
        <v>340</v>
      </c>
      <c r="S123" s="1" t="s">
        <v>124</v>
      </c>
      <c r="T123" s="4">
        <v>45292</v>
      </c>
      <c r="U123" s="4">
        <v>45573</v>
      </c>
      <c r="V123" s="1" t="s">
        <v>125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748892.35</v>
      </c>
      <c r="AH123" s="5">
        <v>92278.47</v>
      </c>
      <c r="AI123" s="5">
        <v>0</v>
      </c>
      <c r="AJ123" s="5">
        <v>0</v>
      </c>
      <c r="AK123" s="5">
        <v>0</v>
      </c>
      <c r="AL123" s="5">
        <v>92278.47</v>
      </c>
      <c r="AM123" s="5">
        <v>0</v>
      </c>
      <c r="AN123" s="5">
        <v>92278.47</v>
      </c>
      <c r="AO123" s="1" t="s">
        <v>127</v>
      </c>
    </row>
    <row r="124" spans="1:41" x14ac:dyDescent="0.25">
      <c r="A124" s="1">
        <f t="shared" si="1"/>
        <v>108</v>
      </c>
      <c r="B124" s="1" t="s">
        <v>341</v>
      </c>
      <c r="C124" s="1" t="s">
        <v>123</v>
      </c>
      <c r="D124" s="1" t="s">
        <v>124</v>
      </c>
      <c r="E124" s="4">
        <v>45292</v>
      </c>
      <c r="F124" s="4">
        <v>45551</v>
      </c>
      <c r="G124" s="1" t="s">
        <v>125</v>
      </c>
      <c r="H124" s="5">
        <v>594442.67000000004</v>
      </c>
      <c r="I124" s="5">
        <v>43060.66</v>
      </c>
      <c r="J124" s="5">
        <v>29972.41</v>
      </c>
      <c r="K124" s="5">
        <v>26409.23</v>
      </c>
      <c r="L124" s="5">
        <v>4387.93</v>
      </c>
      <c r="M124" s="5">
        <v>103830.23</v>
      </c>
      <c r="N124" s="5">
        <v>490318.7</v>
      </c>
      <c r="O124" s="5">
        <v>0</v>
      </c>
      <c r="P124" s="5">
        <v>293.74</v>
      </c>
      <c r="Q124" s="5">
        <v>490612.44</v>
      </c>
      <c r="R124" s="1" t="s">
        <v>342</v>
      </c>
      <c r="S124" s="1" t="s">
        <v>124</v>
      </c>
      <c r="T124" s="4">
        <v>45292</v>
      </c>
      <c r="U124" s="4">
        <v>45551</v>
      </c>
      <c r="V124" s="1" t="s">
        <v>125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490612.44</v>
      </c>
      <c r="AH124" s="5">
        <v>40622.49</v>
      </c>
      <c r="AI124" s="5">
        <v>0</v>
      </c>
      <c r="AJ124" s="5">
        <v>0</v>
      </c>
      <c r="AK124" s="5">
        <v>0</v>
      </c>
      <c r="AL124" s="5">
        <v>40622.49</v>
      </c>
      <c r="AM124" s="5">
        <v>0</v>
      </c>
      <c r="AN124" s="5">
        <v>40622.49</v>
      </c>
      <c r="AO124" s="1" t="s">
        <v>127</v>
      </c>
    </row>
    <row r="125" spans="1:41" x14ac:dyDescent="0.25">
      <c r="A125" s="1">
        <f t="shared" si="1"/>
        <v>109</v>
      </c>
      <c r="B125" s="1" t="s">
        <v>343</v>
      </c>
      <c r="C125" s="1" t="s">
        <v>123</v>
      </c>
      <c r="D125" s="1" t="s">
        <v>124</v>
      </c>
      <c r="E125" s="4">
        <v>45292</v>
      </c>
      <c r="F125" s="4">
        <v>45570</v>
      </c>
      <c r="G125" s="1" t="s">
        <v>125</v>
      </c>
      <c r="H125" s="5">
        <v>996286.32</v>
      </c>
      <c r="I125" s="5">
        <v>72651.59</v>
      </c>
      <c r="J125" s="5">
        <v>26487.360000000001</v>
      </c>
      <c r="K125" s="5">
        <v>34664.61</v>
      </c>
      <c r="L125" s="5">
        <v>4729.8900000000003</v>
      </c>
      <c r="M125" s="5">
        <v>138533.45000000001</v>
      </c>
      <c r="N125" s="5">
        <v>830130.54</v>
      </c>
      <c r="O125" s="5">
        <v>0</v>
      </c>
      <c r="P125" s="5">
        <v>27622.33</v>
      </c>
      <c r="Q125" s="5">
        <v>857752.87</v>
      </c>
      <c r="R125" s="1" t="s">
        <v>344</v>
      </c>
      <c r="S125" s="1" t="s">
        <v>124</v>
      </c>
      <c r="T125" s="4">
        <v>45292</v>
      </c>
      <c r="U125" s="4">
        <v>45570</v>
      </c>
      <c r="V125" s="1" t="s">
        <v>125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857752.87</v>
      </c>
      <c r="AH125" s="5">
        <v>116938.22</v>
      </c>
      <c r="AI125" s="5">
        <v>0</v>
      </c>
      <c r="AJ125" s="5">
        <v>0</v>
      </c>
      <c r="AK125" s="5">
        <v>0</v>
      </c>
      <c r="AL125" s="5">
        <v>116938.22</v>
      </c>
      <c r="AM125" s="5">
        <v>0</v>
      </c>
      <c r="AN125" s="5">
        <v>116938.22</v>
      </c>
      <c r="AO125" s="1" t="s">
        <v>127</v>
      </c>
    </row>
    <row r="126" spans="1:41" x14ac:dyDescent="0.25">
      <c r="A126" s="1">
        <f t="shared" si="1"/>
        <v>110</v>
      </c>
      <c r="B126" s="1" t="s">
        <v>345</v>
      </c>
      <c r="C126" s="1" t="s">
        <v>123</v>
      </c>
      <c r="D126" s="1" t="s">
        <v>124</v>
      </c>
      <c r="E126" s="4">
        <v>45292</v>
      </c>
      <c r="F126" s="4">
        <v>45573</v>
      </c>
      <c r="G126" s="1" t="s">
        <v>125</v>
      </c>
      <c r="H126" s="5">
        <v>123910.92</v>
      </c>
      <c r="I126" s="5">
        <v>8979.89</v>
      </c>
      <c r="J126" s="5">
        <v>7172.41</v>
      </c>
      <c r="K126" s="5">
        <v>6800</v>
      </c>
      <c r="L126" s="5">
        <v>0</v>
      </c>
      <c r="M126" s="5">
        <v>22952.3</v>
      </c>
      <c r="N126" s="5">
        <v>100958.62</v>
      </c>
      <c r="O126" s="5">
        <v>0</v>
      </c>
      <c r="P126" s="5">
        <v>0</v>
      </c>
      <c r="Q126" s="5">
        <v>100958.62</v>
      </c>
      <c r="R126" s="1" t="s">
        <v>346</v>
      </c>
      <c r="S126" s="1" t="s">
        <v>124</v>
      </c>
      <c r="T126" s="4">
        <v>45292</v>
      </c>
      <c r="U126" s="4">
        <v>45573</v>
      </c>
      <c r="V126" s="1" t="s">
        <v>125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100958.62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1" t="s">
        <v>127</v>
      </c>
    </row>
    <row r="127" spans="1:41" x14ac:dyDescent="0.25">
      <c r="A127" s="1">
        <f t="shared" si="1"/>
        <v>111</v>
      </c>
      <c r="B127" s="1" t="s">
        <v>347</v>
      </c>
      <c r="C127" s="1" t="s">
        <v>123</v>
      </c>
      <c r="D127" s="1" t="s">
        <v>124</v>
      </c>
      <c r="E127" s="4">
        <v>45292</v>
      </c>
      <c r="F127" s="4">
        <v>45580</v>
      </c>
      <c r="G127" s="1" t="s">
        <v>125</v>
      </c>
      <c r="H127" s="5">
        <v>834845.16</v>
      </c>
      <c r="I127" s="5">
        <v>60786.22</v>
      </c>
      <c r="J127" s="5">
        <v>39547.410000000003</v>
      </c>
      <c r="K127" s="5">
        <v>33099.19</v>
      </c>
      <c r="L127" s="5">
        <v>4887.93</v>
      </c>
      <c r="M127" s="5">
        <v>138320.75</v>
      </c>
      <c r="N127" s="5">
        <v>696335.42</v>
      </c>
      <c r="O127" s="5">
        <v>0</v>
      </c>
      <c r="P127" s="5">
        <v>188.99</v>
      </c>
      <c r="Q127" s="5">
        <v>696524.41</v>
      </c>
      <c r="R127" s="1" t="s">
        <v>348</v>
      </c>
      <c r="S127" s="1" t="s">
        <v>124</v>
      </c>
      <c r="T127" s="4">
        <v>45292</v>
      </c>
      <c r="U127" s="4">
        <v>45580</v>
      </c>
      <c r="V127" s="1" t="s">
        <v>125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696524.41</v>
      </c>
      <c r="AH127" s="5">
        <v>81804.88</v>
      </c>
      <c r="AI127" s="5">
        <v>0</v>
      </c>
      <c r="AJ127" s="5">
        <v>0</v>
      </c>
      <c r="AK127" s="5">
        <v>0</v>
      </c>
      <c r="AL127" s="5">
        <v>81804.88</v>
      </c>
      <c r="AM127" s="5">
        <v>0</v>
      </c>
      <c r="AN127" s="5">
        <v>81804.88</v>
      </c>
      <c r="AO127" s="1" t="s">
        <v>127</v>
      </c>
    </row>
    <row r="128" spans="1:41" x14ac:dyDescent="0.25">
      <c r="A128" s="1">
        <f t="shared" si="1"/>
        <v>112</v>
      </c>
      <c r="B128" s="1" t="s">
        <v>349</v>
      </c>
      <c r="C128" s="1" t="s">
        <v>123</v>
      </c>
      <c r="D128" s="1" t="s">
        <v>124</v>
      </c>
      <c r="E128" s="4">
        <v>45292</v>
      </c>
      <c r="F128" s="4">
        <v>45582</v>
      </c>
      <c r="G128" s="1" t="s">
        <v>125</v>
      </c>
      <c r="H128" s="5">
        <v>1709825.49</v>
      </c>
      <c r="I128" s="5">
        <v>39339.360000000001</v>
      </c>
      <c r="J128" s="5">
        <v>0</v>
      </c>
      <c r="K128" s="5">
        <v>39150</v>
      </c>
      <c r="L128" s="5">
        <v>19735.63</v>
      </c>
      <c r="M128" s="5">
        <v>98224.99</v>
      </c>
      <c r="N128" s="5">
        <v>1512922.34</v>
      </c>
      <c r="O128" s="5">
        <v>0</v>
      </c>
      <c r="P128" s="5">
        <v>98678.16</v>
      </c>
      <c r="Q128" s="5">
        <v>1611600.5</v>
      </c>
      <c r="R128" s="1" t="s">
        <v>350</v>
      </c>
      <c r="S128" s="1" t="s">
        <v>124</v>
      </c>
      <c r="T128" s="4">
        <v>45292</v>
      </c>
      <c r="U128" s="4">
        <v>45582</v>
      </c>
      <c r="V128" s="1" t="s">
        <v>125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1611600.5</v>
      </c>
      <c r="AH128" s="5">
        <v>305400.13</v>
      </c>
      <c r="AI128" s="5">
        <v>0</v>
      </c>
      <c r="AJ128" s="5">
        <v>0</v>
      </c>
      <c r="AK128" s="5">
        <v>0</v>
      </c>
      <c r="AL128" s="5">
        <v>305400.13</v>
      </c>
      <c r="AM128" s="5">
        <v>0</v>
      </c>
      <c r="AN128" s="5">
        <v>305400.13</v>
      </c>
      <c r="AO128" s="1" t="s">
        <v>127</v>
      </c>
    </row>
    <row r="129" spans="1:41" x14ac:dyDescent="0.25">
      <c r="A129" s="1">
        <f t="shared" si="1"/>
        <v>113</v>
      </c>
      <c r="B129" s="1" t="s">
        <v>351</v>
      </c>
      <c r="C129" s="1" t="s">
        <v>123</v>
      </c>
      <c r="D129" s="1" t="s">
        <v>124</v>
      </c>
      <c r="E129" s="4">
        <v>45292</v>
      </c>
      <c r="F129" s="4">
        <v>45614</v>
      </c>
      <c r="G129" s="1" t="s">
        <v>125</v>
      </c>
      <c r="H129" s="5">
        <v>378508.29</v>
      </c>
      <c r="I129" s="5">
        <v>23385.439999999999</v>
      </c>
      <c r="J129" s="5">
        <v>54870.400000000001</v>
      </c>
      <c r="K129" s="5">
        <v>21065</v>
      </c>
      <c r="L129" s="5">
        <v>5410.92</v>
      </c>
      <c r="M129" s="5">
        <v>104731.76</v>
      </c>
      <c r="N129" s="5">
        <v>259560.28</v>
      </c>
      <c r="O129" s="5">
        <v>0</v>
      </c>
      <c r="P129" s="5">
        <v>14216.25</v>
      </c>
      <c r="Q129" s="5">
        <v>273776.53000000003</v>
      </c>
      <c r="R129" s="1" t="s">
        <v>352</v>
      </c>
      <c r="S129" s="1" t="s">
        <v>124</v>
      </c>
      <c r="T129" s="4">
        <v>45292</v>
      </c>
      <c r="U129" s="4">
        <v>45614</v>
      </c>
      <c r="V129" s="1" t="s">
        <v>125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273776.53000000003</v>
      </c>
      <c r="AH129" s="5">
        <v>3566.48</v>
      </c>
      <c r="AI129" s="5">
        <v>0</v>
      </c>
      <c r="AJ129" s="5">
        <v>0</v>
      </c>
      <c r="AK129" s="5">
        <v>0</v>
      </c>
      <c r="AL129" s="5">
        <v>3566.48</v>
      </c>
      <c r="AM129" s="5">
        <v>0</v>
      </c>
      <c r="AN129" s="5">
        <v>3566.48</v>
      </c>
      <c r="AO129" s="1" t="s">
        <v>127</v>
      </c>
    </row>
    <row r="130" spans="1:41" x14ac:dyDescent="0.25">
      <c r="A130" s="1">
        <f t="shared" si="1"/>
        <v>114</v>
      </c>
      <c r="B130" s="1" t="s">
        <v>353</v>
      </c>
      <c r="C130" s="1" t="s">
        <v>123</v>
      </c>
      <c r="D130" s="1" t="s">
        <v>124</v>
      </c>
      <c r="E130" s="4">
        <v>45292</v>
      </c>
      <c r="F130" s="4">
        <v>45614</v>
      </c>
      <c r="G130" s="1" t="s">
        <v>125</v>
      </c>
      <c r="H130" s="5">
        <v>642692.05000000005</v>
      </c>
      <c r="I130" s="5">
        <v>46896.55</v>
      </c>
      <c r="J130" s="5">
        <v>29151.72</v>
      </c>
      <c r="K130" s="5">
        <v>26700</v>
      </c>
      <c r="L130" s="5">
        <v>2250</v>
      </c>
      <c r="M130" s="5">
        <v>104998.27</v>
      </c>
      <c r="N130" s="5">
        <v>536058.62</v>
      </c>
      <c r="O130" s="5">
        <v>0</v>
      </c>
      <c r="P130" s="5">
        <v>1635.16</v>
      </c>
      <c r="Q130" s="5">
        <v>537693.78</v>
      </c>
      <c r="R130" s="1" t="s">
        <v>354</v>
      </c>
      <c r="S130" s="1" t="s">
        <v>124</v>
      </c>
      <c r="T130" s="4">
        <v>45292</v>
      </c>
      <c r="U130" s="4">
        <v>45614</v>
      </c>
      <c r="V130" s="1" t="s">
        <v>125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537693.78</v>
      </c>
      <c r="AH130" s="5">
        <v>50038.76</v>
      </c>
      <c r="AI130" s="5">
        <v>0</v>
      </c>
      <c r="AJ130" s="5">
        <v>0</v>
      </c>
      <c r="AK130" s="5">
        <v>0</v>
      </c>
      <c r="AL130" s="5">
        <v>50038.76</v>
      </c>
      <c r="AM130" s="5">
        <v>0</v>
      </c>
      <c r="AN130" s="5">
        <v>50038.76</v>
      </c>
      <c r="AO130" s="1" t="s">
        <v>127</v>
      </c>
    </row>
    <row r="131" spans="1:41" x14ac:dyDescent="0.25">
      <c r="A131" s="1">
        <f t="shared" si="1"/>
        <v>115</v>
      </c>
      <c r="B131" s="1" t="s">
        <v>355</v>
      </c>
      <c r="C131" s="1" t="s">
        <v>123</v>
      </c>
      <c r="D131" s="1" t="s">
        <v>124</v>
      </c>
      <c r="E131" s="4">
        <v>45292</v>
      </c>
      <c r="F131" s="4">
        <v>45588</v>
      </c>
      <c r="G131" s="1" t="s">
        <v>125</v>
      </c>
      <c r="H131" s="5">
        <v>890580.29</v>
      </c>
      <c r="I131" s="5">
        <v>61855.58</v>
      </c>
      <c r="J131" s="5">
        <v>28528.74</v>
      </c>
      <c r="K131" s="5">
        <v>32924.879999999997</v>
      </c>
      <c r="L131" s="5">
        <v>5022.99</v>
      </c>
      <c r="M131" s="5">
        <v>128332.19</v>
      </c>
      <c r="N131" s="5">
        <v>709342.07</v>
      </c>
      <c r="O131" s="5">
        <v>0</v>
      </c>
      <c r="P131" s="5">
        <v>52906.03</v>
      </c>
      <c r="Q131" s="5">
        <v>762248.1</v>
      </c>
      <c r="R131" s="1" t="s">
        <v>356</v>
      </c>
      <c r="S131" s="1" t="s">
        <v>124</v>
      </c>
      <c r="T131" s="4">
        <v>45292</v>
      </c>
      <c r="U131" s="4">
        <v>45588</v>
      </c>
      <c r="V131" s="1" t="s">
        <v>125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762248.1</v>
      </c>
      <c r="AH131" s="5">
        <v>94949.62</v>
      </c>
      <c r="AI131" s="5">
        <v>0</v>
      </c>
      <c r="AJ131" s="5">
        <v>0</v>
      </c>
      <c r="AK131" s="5">
        <v>0</v>
      </c>
      <c r="AL131" s="5">
        <v>94949.62</v>
      </c>
      <c r="AM131" s="5">
        <v>0</v>
      </c>
      <c r="AN131" s="5">
        <v>94949.62</v>
      </c>
      <c r="AO131" s="1" t="s">
        <v>127</v>
      </c>
    </row>
    <row r="132" spans="1:41" x14ac:dyDescent="0.25">
      <c r="A132" s="1">
        <f t="shared" si="1"/>
        <v>116</v>
      </c>
      <c r="B132" s="1" t="s">
        <v>357</v>
      </c>
      <c r="C132" s="1" t="s">
        <v>123</v>
      </c>
      <c r="D132" s="1" t="s">
        <v>124</v>
      </c>
      <c r="E132" s="4">
        <v>45292</v>
      </c>
      <c r="F132" s="4">
        <v>45609</v>
      </c>
      <c r="G132" s="1" t="s">
        <v>125</v>
      </c>
      <c r="H132" s="5">
        <v>304925.78999999998</v>
      </c>
      <c r="I132" s="5">
        <v>20024.830000000002</v>
      </c>
      <c r="J132" s="5">
        <v>39089.94</v>
      </c>
      <c r="K132" s="5">
        <v>17844.3</v>
      </c>
      <c r="L132" s="5">
        <v>5341.95</v>
      </c>
      <c r="M132" s="5">
        <v>82301.02</v>
      </c>
      <c r="N132" s="5">
        <v>222453.63</v>
      </c>
      <c r="O132" s="5">
        <v>0</v>
      </c>
      <c r="P132" s="5">
        <v>171.14</v>
      </c>
      <c r="Q132" s="5">
        <v>222624.77</v>
      </c>
      <c r="R132" s="1" t="s">
        <v>358</v>
      </c>
      <c r="S132" s="1" t="s">
        <v>124</v>
      </c>
      <c r="T132" s="4">
        <v>45292</v>
      </c>
      <c r="U132" s="4">
        <v>45609</v>
      </c>
      <c r="V132" s="1" t="s">
        <v>125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222624.77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1" t="s">
        <v>127</v>
      </c>
    </row>
    <row r="133" spans="1:41" x14ac:dyDescent="0.25">
      <c r="A133" s="1">
        <f t="shared" si="1"/>
        <v>117</v>
      </c>
      <c r="B133" s="1" t="s">
        <v>359</v>
      </c>
      <c r="C133" s="1" t="s">
        <v>123</v>
      </c>
      <c r="D133" s="1" t="s">
        <v>124</v>
      </c>
      <c r="E133" s="4">
        <v>45348</v>
      </c>
      <c r="F133" s="4">
        <v>45590</v>
      </c>
      <c r="G133" s="1" t="s">
        <v>125</v>
      </c>
      <c r="H133" s="5">
        <v>841484.11</v>
      </c>
      <c r="I133" s="5">
        <v>64272.03</v>
      </c>
      <c r="J133" s="5">
        <v>7600</v>
      </c>
      <c r="K133" s="5">
        <v>31150</v>
      </c>
      <c r="L133" s="5">
        <v>11939.66</v>
      </c>
      <c r="M133" s="5">
        <v>114961.69</v>
      </c>
      <c r="N133" s="5">
        <v>724022.42</v>
      </c>
      <c r="O133" s="5">
        <v>0</v>
      </c>
      <c r="P133" s="5">
        <v>2500</v>
      </c>
      <c r="Q133" s="5">
        <v>726522.42</v>
      </c>
      <c r="R133" s="1" t="s">
        <v>360</v>
      </c>
      <c r="S133" s="1" t="s">
        <v>124</v>
      </c>
      <c r="T133" s="4">
        <v>45348</v>
      </c>
      <c r="U133" s="4">
        <v>45590</v>
      </c>
      <c r="V133" s="1" t="s">
        <v>125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726522.42</v>
      </c>
      <c r="AH133" s="5">
        <v>87804.479999999996</v>
      </c>
      <c r="AI133" s="5">
        <v>0</v>
      </c>
      <c r="AJ133" s="5">
        <v>0</v>
      </c>
      <c r="AK133" s="5">
        <v>0</v>
      </c>
      <c r="AL133" s="5">
        <v>87804.479999999996</v>
      </c>
      <c r="AM133" s="5">
        <v>0</v>
      </c>
      <c r="AN133" s="5">
        <v>87804.479999999996</v>
      </c>
      <c r="AO133" s="1" t="s">
        <v>127</v>
      </c>
    </row>
    <row r="134" spans="1:41" x14ac:dyDescent="0.25">
      <c r="A134" s="1">
        <f t="shared" si="1"/>
        <v>118</v>
      </c>
      <c r="B134" s="1" t="s">
        <v>361</v>
      </c>
      <c r="C134" s="1" t="s">
        <v>123</v>
      </c>
      <c r="D134" s="1" t="s">
        <v>124</v>
      </c>
      <c r="E134" s="4">
        <v>45292</v>
      </c>
      <c r="F134" s="4">
        <v>45610</v>
      </c>
      <c r="G134" s="1" t="s">
        <v>125</v>
      </c>
      <c r="H134" s="5">
        <v>473711.41</v>
      </c>
      <c r="I134" s="5">
        <v>32472.86</v>
      </c>
      <c r="J134" s="5">
        <v>46199.33</v>
      </c>
      <c r="K134" s="5">
        <v>25983.62</v>
      </c>
      <c r="L134" s="5">
        <v>5364.94</v>
      </c>
      <c r="M134" s="5">
        <v>110020.75</v>
      </c>
      <c r="N134" s="5">
        <v>363690.66</v>
      </c>
      <c r="O134" s="5">
        <v>0</v>
      </c>
      <c r="P134" s="5">
        <v>0</v>
      </c>
      <c r="Q134" s="5">
        <v>363690.66</v>
      </c>
      <c r="R134" s="1" t="s">
        <v>362</v>
      </c>
      <c r="S134" s="1" t="s">
        <v>124</v>
      </c>
      <c r="T134" s="4">
        <v>45292</v>
      </c>
      <c r="U134" s="4">
        <v>45610</v>
      </c>
      <c r="V134" s="1" t="s">
        <v>125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363690.66</v>
      </c>
      <c r="AH134" s="5">
        <v>17053.599999999999</v>
      </c>
      <c r="AI134" s="5">
        <v>0</v>
      </c>
      <c r="AJ134" s="5">
        <v>0</v>
      </c>
      <c r="AK134" s="5">
        <v>0</v>
      </c>
      <c r="AL134" s="5">
        <v>17053.599999999999</v>
      </c>
      <c r="AM134" s="5">
        <v>0</v>
      </c>
      <c r="AN134" s="5">
        <v>17053.599999999999</v>
      </c>
      <c r="AO134" s="1" t="s">
        <v>127</v>
      </c>
    </row>
    <row r="135" spans="1:41" x14ac:dyDescent="0.25">
      <c r="A135" s="1">
        <f t="shared" si="1"/>
        <v>119</v>
      </c>
      <c r="B135" s="1" t="s">
        <v>363</v>
      </c>
      <c r="C135" s="1" t="s">
        <v>123</v>
      </c>
      <c r="D135" s="1" t="s">
        <v>124</v>
      </c>
      <c r="E135" s="4">
        <v>45292</v>
      </c>
      <c r="F135" s="4">
        <v>45576</v>
      </c>
      <c r="G135" s="1" t="s">
        <v>125</v>
      </c>
      <c r="H135" s="5">
        <v>299647.31</v>
      </c>
      <c r="I135" s="5">
        <v>19231.8</v>
      </c>
      <c r="J135" s="5">
        <v>44791.95</v>
      </c>
      <c r="K135" s="5">
        <v>17720</v>
      </c>
      <c r="L135" s="5">
        <v>4841.95</v>
      </c>
      <c r="M135" s="5">
        <v>86585.7</v>
      </c>
      <c r="N135" s="5">
        <v>213061.61</v>
      </c>
      <c r="O135" s="5">
        <v>0</v>
      </c>
      <c r="P135" s="5">
        <v>0</v>
      </c>
      <c r="Q135" s="5">
        <v>213061.61</v>
      </c>
      <c r="R135" s="1" t="s">
        <v>364</v>
      </c>
      <c r="S135" s="1" t="s">
        <v>124</v>
      </c>
      <c r="T135" s="4">
        <v>45292</v>
      </c>
      <c r="U135" s="4">
        <v>45576</v>
      </c>
      <c r="V135" s="1" t="s">
        <v>125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213061.61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1" t="s">
        <v>127</v>
      </c>
    </row>
    <row r="136" spans="1:41" x14ac:dyDescent="0.25">
      <c r="A136" s="1">
        <f t="shared" si="1"/>
        <v>120</v>
      </c>
      <c r="B136" s="1" t="s">
        <v>365</v>
      </c>
      <c r="C136" s="1" t="s">
        <v>123</v>
      </c>
      <c r="D136" s="1" t="s">
        <v>124</v>
      </c>
      <c r="E136" s="4">
        <v>45292</v>
      </c>
      <c r="F136" s="4">
        <v>45598</v>
      </c>
      <c r="G136" s="1" t="s">
        <v>125</v>
      </c>
      <c r="H136" s="5">
        <v>235542.5</v>
      </c>
      <c r="I136" s="5">
        <v>15812.5</v>
      </c>
      <c r="J136" s="5">
        <v>26425</v>
      </c>
      <c r="K136" s="5">
        <v>11913.75</v>
      </c>
      <c r="L136" s="5">
        <v>2250</v>
      </c>
      <c r="M136" s="5">
        <v>56401.25</v>
      </c>
      <c r="N136" s="5">
        <v>177836.25</v>
      </c>
      <c r="O136" s="5">
        <v>0</v>
      </c>
      <c r="P136" s="5">
        <v>1305</v>
      </c>
      <c r="Q136" s="5">
        <v>179141.25</v>
      </c>
      <c r="R136" s="1" t="s">
        <v>366</v>
      </c>
      <c r="S136" s="1" t="s">
        <v>124</v>
      </c>
      <c r="T136" s="4">
        <v>45292</v>
      </c>
      <c r="U136" s="4">
        <v>45598</v>
      </c>
      <c r="V136" s="1" t="s">
        <v>125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179141.25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1" t="s">
        <v>127</v>
      </c>
    </row>
    <row r="137" spans="1:41" x14ac:dyDescent="0.25">
      <c r="A137" s="1">
        <f t="shared" si="1"/>
        <v>121</v>
      </c>
      <c r="B137" s="1" t="s">
        <v>367</v>
      </c>
      <c r="C137" s="1" t="s">
        <v>123</v>
      </c>
      <c r="D137" s="1" t="s">
        <v>124</v>
      </c>
      <c r="E137" s="4">
        <v>45292</v>
      </c>
      <c r="F137" s="4">
        <v>45544</v>
      </c>
      <c r="G137" s="1" t="s">
        <v>125</v>
      </c>
      <c r="H137" s="5">
        <v>631205.94999999995</v>
      </c>
      <c r="I137" s="5">
        <v>46290.71</v>
      </c>
      <c r="J137" s="5">
        <v>26903.74</v>
      </c>
      <c r="K137" s="5">
        <v>25300</v>
      </c>
      <c r="L137" s="5">
        <v>2522.9899999999998</v>
      </c>
      <c r="M137" s="5">
        <v>101017.44</v>
      </c>
      <c r="N137" s="5">
        <v>530188.51</v>
      </c>
      <c r="O137" s="5">
        <v>0</v>
      </c>
      <c r="P137" s="5">
        <v>0</v>
      </c>
      <c r="Q137" s="5">
        <v>530188.51</v>
      </c>
      <c r="R137" s="1" t="s">
        <v>368</v>
      </c>
      <c r="S137" s="1" t="s">
        <v>124</v>
      </c>
      <c r="T137" s="4">
        <v>45292</v>
      </c>
      <c r="U137" s="4">
        <v>45544</v>
      </c>
      <c r="V137" s="1" t="s">
        <v>125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530188.51</v>
      </c>
      <c r="AH137" s="5">
        <v>48537.7</v>
      </c>
      <c r="AI137" s="5">
        <v>0</v>
      </c>
      <c r="AJ137" s="5">
        <v>0</v>
      </c>
      <c r="AK137" s="5">
        <v>0</v>
      </c>
      <c r="AL137" s="5">
        <v>48537.7</v>
      </c>
      <c r="AM137" s="5">
        <v>0</v>
      </c>
      <c r="AN137" s="5">
        <v>48537.7</v>
      </c>
      <c r="AO137" s="1" t="s">
        <v>127</v>
      </c>
    </row>
    <row r="138" spans="1:41" x14ac:dyDescent="0.25">
      <c r="A138" s="1">
        <f t="shared" si="1"/>
        <v>122</v>
      </c>
      <c r="B138" s="1" t="s">
        <v>369</v>
      </c>
      <c r="C138" s="1" t="s">
        <v>123</v>
      </c>
      <c r="D138" s="1" t="s">
        <v>124</v>
      </c>
      <c r="E138" s="4">
        <v>45292</v>
      </c>
      <c r="F138" s="4">
        <v>45608</v>
      </c>
      <c r="G138" s="1" t="s">
        <v>125</v>
      </c>
      <c r="H138" s="5">
        <v>165349.42000000001</v>
      </c>
      <c r="I138" s="5">
        <v>10656.03</v>
      </c>
      <c r="J138" s="5">
        <v>24320.98</v>
      </c>
      <c r="K138" s="5">
        <v>9970</v>
      </c>
      <c r="L138" s="5">
        <v>2500</v>
      </c>
      <c r="M138" s="5">
        <v>47447.01</v>
      </c>
      <c r="N138" s="5">
        <v>117902.41</v>
      </c>
      <c r="O138" s="5">
        <v>0</v>
      </c>
      <c r="P138" s="5">
        <v>0</v>
      </c>
      <c r="Q138" s="5">
        <v>117902.41</v>
      </c>
      <c r="R138" s="1" t="s">
        <v>370</v>
      </c>
      <c r="S138" s="1" t="s">
        <v>124</v>
      </c>
      <c r="T138" s="4">
        <v>45292</v>
      </c>
      <c r="U138" s="4">
        <v>45608</v>
      </c>
      <c r="V138" s="1" t="s">
        <v>125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117902.41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1" t="s">
        <v>127</v>
      </c>
    </row>
    <row r="139" spans="1:41" x14ac:dyDescent="0.25">
      <c r="A139" s="1">
        <f t="shared" si="1"/>
        <v>123</v>
      </c>
      <c r="B139" s="1" t="s">
        <v>371</v>
      </c>
      <c r="C139" s="1" t="s">
        <v>123</v>
      </c>
      <c r="D139" s="1" t="s">
        <v>124</v>
      </c>
      <c r="E139" s="4">
        <v>45292</v>
      </c>
      <c r="F139" s="4">
        <v>45598</v>
      </c>
      <c r="G139" s="1" t="s">
        <v>125</v>
      </c>
      <c r="H139" s="5">
        <v>407909.89</v>
      </c>
      <c r="I139" s="5">
        <v>30362.3</v>
      </c>
      <c r="J139" s="5">
        <v>11200</v>
      </c>
      <c r="K139" s="5">
        <v>16984</v>
      </c>
      <c r="L139" s="5">
        <v>2000</v>
      </c>
      <c r="M139" s="5">
        <v>60546.3</v>
      </c>
      <c r="N139" s="5">
        <v>347363.59</v>
      </c>
      <c r="O139" s="5">
        <v>0</v>
      </c>
      <c r="P139" s="5">
        <v>0</v>
      </c>
      <c r="Q139" s="5">
        <v>347363.59</v>
      </c>
      <c r="R139" s="1" t="s">
        <v>372</v>
      </c>
      <c r="S139" s="1" t="s">
        <v>124</v>
      </c>
      <c r="T139" s="4">
        <v>45292</v>
      </c>
      <c r="U139" s="4">
        <v>45598</v>
      </c>
      <c r="V139" s="1" t="s">
        <v>125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347363.59</v>
      </c>
      <c r="AH139" s="5">
        <v>14604.54</v>
      </c>
      <c r="AI139" s="5">
        <v>0</v>
      </c>
      <c r="AJ139" s="5">
        <v>0</v>
      </c>
      <c r="AK139" s="5">
        <v>0</v>
      </c>
      <c r="AL139" s="5">
        <v>14604.54</v>
      </c>
      <c r="AM139" s="5">
        <v>0</v>
      </c>
      <c r="AN139" s="5">
        <v>14604.54</v>
      </c>
      <c r="AO139" s="1" t="s">
        <v>127</v>
      </c>
    </row>
    <row r="140" spans="1:41" x14ac:dyDescent="0.25">
      <c r="A140" s="1">
        <f t="shared" si="1"/>
        <v>124</v>
      </c>
      <c r="B140" s="1" t="s">
        <v>373</v>
      </c>
      <c r="C140" s="1" t="s">
        <v>123</v>
      </c>
      <c r="D140" s="1" t="s">
        <v>124</v>
      </c>
      <c r="E140" s="4">
        <v>45292</v>
      </c>
      <c r="F140" s="4">
        <v>45598</v>
      </c>
      <c r="G140" s="1" t="s">
        <v>125</v>
      </c>
      <c r="H140" s="5">
        <v>881975.83</v>
      </c>
      <c r="I140" s="5">
        <v>60705.83</v>
      </c>
      <c r="J140" s="5">
        <v>38800</v>
      </c>
      <c r="K140" s="5">
        <v>18900</v>
      </c>
      <c r="L140" s="5">
        <v>9000</v>
      </c>
      <c r="M140" s="5">
        <v>127405.83</v>
      </c>
      <c r="N140" s="5">
        <v>709570</v>
      </c>
      <c r="O140" s="5">
        <v>0</v>
      </c>
      <c r="P140" s="5">
        <v>45000</v>
      </c>
      <c r="Q140" s="5">
        <v>754570</v>
      </c>
      <c r="R140" s="1" t="s">
        <v>374</v>
      </c>
      <c r="S140" s="1" t="s">
        <v>124</v>
      </c>
      <c r="T140" s="4">
        <v>45292</v>
      </c>
      <c r="U140" s="4">
        <v>45598</v>
      </c>
      <c r="V140" s="1" t="s">
        <v>125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754570</v>
      </c>
      <c r="AH140" s="5">
        <v>93414</v>
      </c>
      <c r="AI140" s="5">
        <v>0</v>
      </c>
      <c r="AJ140" s="5">
        <v>0</v>
      </c>
      <c r="AK140" s="5">
        <v>0</v>
      </c>
      <c r="AL140" s="5">
        <v>93414</v>
      </c>
      <c r="AM140" s="5">
        <v>0</v>
      </c>
      <c r="AN140" s="5">
        <v>93414</v>
      </c>
      <c r="AO140" s="1" t="s">
        <v>127</v>
      </c>
    </row>
    <row r="141" spans="1:41" x14ac:dyDescent="0.25">
      <c r="A141" s="1">
        <f t="shared" si="1"/>
        <v>125</v>
      </c>
      <c r="B141" s="1" t="s">
        <v>375</v>
      </c>
      <c r="C141" s="1" t="s">
        <v>123</v>
      </c>
      <c r="D141" s="1" t="s">
        <v>124</v>
      </c>
      <c r="E141" s="4">
        <v>45292</v>
      </c>
      <c r="F141" s="4">
        <v>45585</v>
      </c>
      <c r="G141" s="1" t="s">
        <v>125</v>
      </c>
      <c r="H141" s="5">
        <v>267279.57</v>
      </c>
      <c r="I141" s="5">
        <v>18204.03</v>
      </c>
      <c r="J141" s="5">
        <v>27190.34</v>
      </c>
      <c r="K141" s="5">
        <v>13985</v>
      </c>
      <c r="L141" s="5">
        <v>2500</v>
      </c>
      <c r="M141" s="5">
        <v>61879.37</v>
      </c>
      <c r="N141" s="5">
        <v>204463.3</v>
      </c>
      <c r="O141" s="5">
        <v>0</v>
      </c>
      <c r="P141" s="5">
        <v>936.9</v>
      </c>
      <c r="Q141" s="5">
        <v>205400.2</v>
      </c>
      <c r="R141" s="1" t="s">
        <v>376</v>
      </c>
      <c r="S141" s="1" t="s">
        <v>124</v>
      </c>
      <c r="T141" s="4">
        <v>45292</v>
      </c>
      <c r="U141" s="4">
        <v>45585</v>
      </c>
      <c r="V141" s="1" t="s">
        <v>125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205400.2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1" t="s">
        <v>127</v>
      </c>
    </row>
    <row r="142" spans="1:41" x14ac:dyDescent="0.25">
      <c r="A142" s="1">
        <f t="shared" si="1"/>
        <v>126</v>
      </c>
      <c r="B142" s="1" t="s">
        <v>377</v>
      </c>
      <c r="C142" s="1" t="s">
        <v>123</v>
      </c>
      <c r="D142" s="1" t="s">
        <v>124</v>
      </c>
      <c r="E142" s="4">
        <v>45292</v>
      </c>
      <c r="F142" s="4">
        <v>45590</v>
      </c>
      <c r="G142" s="1" t="s">
        <v>125</v>
      </c>
      <c r="H142" s="5">
        <v>695420.7</v>
      </c>
      <c r="I142" s="5">
        <v>50689.66</v>
      </c>
      <c r="J142" s="5">
        <v>33136.21</v>
      </c>
      <c r="K142" s="5">
        <v>30400</v>
      </c>
      <c r="L142" s="5">
        <v>3318.97</v>
      </c>
      <c r="M142" s="5">
        <v>117544.84</v>
      </c>
      <c r="N142" s="5">
        <v>577875.86</v>
      </c>
      <c r="O142" s="5">
        <v>0</v>
      </c>
      <c r="P142" s="5">
        <v>0</v>
      </c>
      <c r="Q142" s="5">
        <v>577875.86</v>
      </c>
      <c r="R142" s="1" t="s">
        <v>378</v>
      </c>
      <c r="S142" s="1" t="s">
        <v>124</v>
      </c>
      <c r="T142" s="4">
        <v>45292</v>
      </c>
      <c r="U142" s="4">
        <v>45590</v>
      </c>
      <c r="V142" s="1" t="s">
        <v>125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577875.86</v>
      </c>
      <c r="AH142" s="5">
        <v>58075.17</v>
      </c>
      <c r="AI142" s="5">
        <v>0</v>
      </c>
      <c r="AJ142" s="5">
        <v>0</v>
      </c>
      <c r="AK142" s="5">
        <v>0</v>
      </c>
      <c r="AL142" s="5">
        <v>58075.17</v>
      </c>
      <c r="AM142" s="5">
        <v>0</v>
      </c>
      <c r="AN142" s="5">
        <v>58075.17</v>
      </c>
      <c r="AO142" s="1" t="s">
        <v>127</v>
      </c>
    </row>
    <row r="143" spans="1:41" x14ac:dyDescent="0.25">
      <c r="A143" s="1">
        <f t="shared" si="1"/>
        <v>127</v>
      </c>
      <c r="B143" s="1" t="s">
        <v>379</v>
      </c>
      <c r="C143" s="1" t="s">
        <v>123</v>
      </c>
      <c r="D143" s="1" t="s">
        <v>177</v>
      </c>
      <c r="E143" s="4">
        <v>45355</v>
      </c>
      <c r="F143" s="4">
        <v>45575</v>
      </c>
      <c r="G143" s="1" t="s">
        <v>125</v>
      </c>
      <c r="H143" s="5">
        <v>417083.33</v>
      </c>
      <c r="I143" s="5">
        <v>32083.33</v>
      </c>
      <c r="J143" s="5">
        <v>0</v>
      </c>
      <c r="K143" s="5">
        <v>18725</v>
      </c>
      <c r="L143" s="5">
        <v>0</v>
      </c>
      <c r="M143" s="5">
        <v>50808.33</v>
      </c>
      <c r="N143" s="5">
        <v>366275</v>
      </c>
      <c r="O143" s="5">
        <v>0</v>
      </c>
      <c r="P143" s="5">
        <v>0</v>
      </c>
      <c r="Q143" s="5">
        <v>366275</v>
      </c>
      <c r="R143" s="1" t="s">
        <v>380</v>
      </c>
      <c r="S143" s="1" t="s">
        <v>177</v>
      </c>
      <c r="T143" s="4">
        <v>45355</v>
      </c>
      <c r="U143" s="4">
        <v>45575</v>
      </c>
      <c r="V143" s="1" t="s">
        <v>125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366275</v>
      </c>
      <c r="AH143" s="5">
        <v>17441.25</v>
      </c>
      <c r="AI143" s="5">
        <v>0</v>
      </c>
      <c r="AJ143" s="5">
        <v>0</v>
      </c>
      <c r="AK143" s="5">
        <v>0</v>
      </c>
      <c r="AL143" s="5">
        <v>17441.25</v>
      </c>
      <c r="AM143" s="5">
        <v>0</v>
      </c>
      <c r="AN143" s="5">
        <v>17441.25</v>
      </c>
      <c r="AO143" s="1" t="s">
        <v>127</v>
      </c>
    </row>
    <row r="144" spans="1:41" x14ac:dyDescent="0.25">
      <c r="A144" s="1">
        <f t="shared" si="1"/>
        <v>128</v>
      </c>
      <c r="B144" s="1" t="s">
        <v>381</v>
      </c>
      <c r="C144" s="1" t="s">
        <v>123</v>
      </c>
      <c r="D144" s="1" t="s">
        <v>124</v>
      </c>
      <c r="E144" s="4">
        <v>45292</v>
      </c>
      <c r="F144" s="4">
        <v>45566</v>
      </c>
      <c r="G144" s="1" t="s">
        <v>125</v>
      </c>
      <c r="H144" s="5">
        <v>724791.71</v>
      </c>
      <c r="I144" s="5">
        <v>45689.66</v>
      </c>
      <c r="J144" s="5">
        <v>34426.15</v>
      </c>
      <c r="K144" s="5">
        <v>27350</v>
      </c>
      <c r="L144" s="5">
        <v>2910.92</v>
      </c>
      <c r="M144" s="5">
        <v>110376.73</v>
      </c>
      <c r="N144" s="5">
        <v>511960.35</v>
      </c>
      <c r="O144" s="5">
        <v>0</v>
      </c>
      <c r="P144" s="5">
        <v>102454.63</v>
      </c>
      <c r="Q144" s="5">
        <v>614414.98</v>
      </c>
      <c r="R144" s="1" t="s">
        <v>382</v>
      </c>
      <c r="S144" s="1" t="s">
        <v>124</v>
      </c>
      <c r="T144" s="4">
        <v>45292</v>
      </c>
      <c r="U144" s="4">
        <v>45566</v>
      </c>
      <c r="V144" s="1" t="s">
        <v>125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614414.98</v>
      </c>
      <c r="AH144" s="5">
        <v>65383</v>
      </c>
      <c r="AI144" s="5">
        <v>0</v>
      </c>
      <c r="AJ144" s="5">
        <v>0</v>
      </c>
      <c r="AK144" s="5">
        <v>0</v>
      </c>
      <c r="AL144" s="5">
        <v>65383</v>
      </c>
      <c r="AM144" s="5">
        <v>0</v>
      </c>
      <c r="AN144" s="5">
        <v>65383</v>
      </c>
      <c r="AO144" s="1" t="s">
        <v>127</v>
      </c>
    </row>
    <row r="145" spans="1:41" x14ac:dyDescent="0.25">
      <c r="A145" s="1">
        <f t="shared" si="1"/>
        <v>129</v>
      </c>
      <c r="B145" s="1" t="s">
        <v>383</v>
      </c>
      <c r="C145" s="1" t="s">
        <v>123</v>
      </c>
      <c r="D145" s="1" t="s">
        <v>124</v>
      </c>
      <c r="E145" s="4">
        <v>45292</v>
      </c>
      <c r="F145" s="4">
        <v>45576</v>
      </c>
      <c r="G145" s="1" t="s">
        <v>125</v>
      </c>
      <c r="H145" s="5">
        <v>738778.12</v>
      </c>
      <c r="I145" s="5">
        <v>53124.43</v>
      </c>
      <c r="J145" s="5">
        <v>43213.22</v>
      </c>
      <c r="K145" s="5">
        <v>28653.75</v>
      </c>
      <c r="L145" s="5">
        <v>4841.95</v>
      </c>
      <c r="M145" s="5">
        <v>129833.35</v>
      </c>
      <c r="N145" s="5">
        <v>608839.35</v>
      </c>
      <c r="O145" s="5">
        <v>0</v>
      </c>
      <c r="P145" s="5">
        <v>105.42</v>
      </c>
      <c r="Q145" s="5">
        <v>608944.77</v>
      </c>
      <c r="R145" s="1" t="s">
        <v>384</v>
      </c>
      <c r="S145" s="1" t="s">
        <v>124</v>
      </c>
      <c r="T145" s="4">
        <v>45292</v>
      </c>
      <c r="U145" s="4">
        <v>45576</v>
      </c>
      <c r="V145" s="1" t="s">
        <v>125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608944.77</v>
      </c>
      <c r="AH145" s="5">
        <v>64288.95</v>
      </c>
      <c r="AI145" s="5">
        <v>0</v>
      </c>
      <c r="AJ145" s="5">
        <v>0</v>
      </c>
      <c r="AK145" s="5">
        <v>0</v>
      </c>
      <c r="AL145" s="5">
        <v>64288.95</v>
      </c>
      <c r="AM145" s="5">
        <v>0</v>
      </c>
      <c r="AN145" s="5">
        <v>64288.95</v>
      </c>
      <c r="AO145" s="1" t="s">
        <v>127</v>
      </c>
    </row>
    <row r="146" spans="1:41" x14ac:dyDescent="0.25">
      <c r="A146" s="1">
        <f t="shared" si="1"/>
        <v>130</v>
      </c>
      <c r="B146" s="1" t="s">
        <v>385</v>
      </c>
      <c r="C146" s="1" t="s">
        <v>123</v>
      </c>
      <c r="D146" s="1" t="s">
        <v>124</v>
      </c>
      <c r="E146" s="4">
        <v>45292</v>
      </c>
      <c r="F146" s="4">
        <v>45576</v>
      </c>
      <c r="G146" s="1" t="s">
        <v>125</v>
      </c>
      <c r="H146" s="5">
        <v>760446.44</v>
      </c>
      <c r="I146" s="5">
        <v>54666.79</v>
      </c>
      <c r="J146" s="5">
        <v>37114.94</v>
      </c>
      <c r="K146" s="5">
        <v>29448.3</v>
      </c>
      <c r="L146" s="5">
        <v>4841.95</v>
      </c>
      <c r="M146" s="5">
        <v>126071.98</v>
      </c>
      <c r="N146" s="5">
        <v>626553.16</v>
      </c>
      <c r="O146" s="5">
        <v>0</v>
      </c>
      <c r="P146" s="5">
        <v>7821.3</v>
      </c>
      <c r="Q146" s="5">
        <v>634374.46</v>
      </c>
      <c r="R146" s="1" t="s">
        <v>386</v>
      </c>
      <c r="S146" s="1" t="s">
        <v>124</v>
      </c>
      <c r="T146" s="4">
        <v>45292</v>
      </c>
      <c r="U146" s="4">
        <v>45576</v>
      </c>
      <c r="V146" s="1" t="s">
        <v>125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634374.46</v>
      </c>
      <c r="AH146" s="5">
        <v>69374.89</v>
      </c>
      <c r="AI146" s="5">
        <v>0</v>
      </c>
      <c r="AJ146" s="5">
        <v>0</v>
      </c>
      <c r="AK146" s="5">
        <v>0</v>
      </c>
      <c r="AL146" s="5">
        <v>69374.89</v>
      </c>
      <c r="AM146" s="5">
        <v>0</v>
      </c>
      <c r="AN146" s="5">
        <v>69374.89</v>
      </c>
      <c r="AO146" s="1" t="s">
        <v>127</v>
      </c>
    </row>
    <row r="147" spans="1:41" x14ac:dyDescent="0.25">
      <c r="A147" s="1">
        <f t="shared" ref="A147:A524" si="2">A146+1</f>
        <v>131</v>
      </c>
      <c r="B147" s="1" t="s">
        <v>387</v>
      </c>
      <c r="C147" s="1" t="s">
        <v>123</v>
      </c>
      <c r="D147" s="1" t="s">
        <v>124</v>
      </c>
      <c r="E147" s="4">
        <v>45292</v>
      </c>
      <c r="F147" s="4">
        <v>45573</v>
      </c>
      <c r="G147" s="1" t="s">
        <v>125</v>
      </c>
      <c r="H147" s="5">
        <v>827086.64</v>
      </c>
      <c r="I147" s="5">
        <v>58770.68</v>
      </c>
      <c r="J147" s="5">
        <v>53999.25</v>
      </c>
      <c r="K147" s="5">
        <v>33117.550000000003</v>
      </c>
      <c r="L147" s="5">
        <v>4750</v>
      </c>
      <c r="M147" s="5">
        <v>150637.48000000001</v>
      </c>
      <c r="N147" s="5">
        <v>672130.6</v>
      </c>
      <c r="O147" s="5">
        <v>0</v>
      </c>
      <c r="P147" s="5">
        <v>4318.5600000000004</v>
      </c>
      <c r="Q147" s="5">
        <v>676449.16</v>
      </c>
      <c r="R147" s="1" t="s">
        <v>388</v>
      </c>
      <c r="S147" s="1" t="s">
        <v>124</v>
      </c>
      <c r="T147" s="4">
        <v>45292</v>
      </c>
      <c r="U147" s="4">
        <v>45573</v>
      </c>
      <c r="V147" s="1" t="s">
        <v>125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676449.16</v>
      </c>
      <c r="AH147" s="5">
        <v>77789.83</v>
      </c>
      <c r="AI147" s="5">
        <v>0</v>
      </c>
      <c r="AJ147" s="5">
        <v>0</v>
      </c>
      <c r="AK147" s="5">
        <v>0</v>
      </c>
      <c r="AL147" s="5">
        <v>77789.83</v>
      </c>
      <c r="AM147" s="5">
        <v>0</v>
      </c>
      <c r="AN147" s="5">
        <v>77789.83</v>
      </c>
      <c r="AO147" s="1" t="s">
        <v>127</v>
      </c>
    </row>
    <row r="148" spans="1:41" x14ac:dyDescent="0.25">
      <c r="A148" s="1">
        <f t="shared" si="2"/>
        <v>132</v>
      </c>
      <c r="B148" s="1" t="s">
        <v>389</v>
      </c>
      <c r="C148" s="1" t="s">
        <v>123</v>
      </c>
      <c r="D148" s="1" t="s">
        <v>124</v>
      </c>
      <c r="E148" s="4">
        <v>45292</v>
      </c>
      <c r="F148" s="4">
        <v>45569</v>
      </c>
      <c r="G148" s="1" t="s">
        <v>125</v>
      </c>
      <c r="H148" s="5">
        <v>1234046.03</v>
      </c>
      <c r="I148" s="5">
        <v>88021.93</v>
      </c>
      <c r="J148" s="5">
        <v>9800</v>
      </c>
      <c r="K148" s="5">
        <v>36350</v>
      </c>
      <c r="L148" s="5">
        <v>13669.54</v>
      </c>
      <c r="M148" s="5">
        <v>147841.47</v>
      </c>
      <c r="N148" s="5">
        <v>1019913.11</v>
      </c>
      <c r="O148" s="5">
        <v>0</v>
      </c>
      <c r="P148" s="5">
        <v>66291.45</v>
      </c>
      <c r="Q148" s="5">
        <v>1086204.56</v>
      </c>
      <c r="R148" s="1" t="s">
        <v>390</v>
      </c>
      <c r="S148" s="1" t="s">
        <v>124</v>
      </c>
      <c r="T148" s="4">
        <v>45292</v>
      </c>
      <c r="U148" s="4">
        <v>45569</v>
      </c>
      <c r="V148" s="1" t="s">
        <v>125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1086204.56</v>
      </c>
      <c r="AH148" s="5">
        <v>174051.14</v>
      </c>
      <c r="AI148" s="5">
        <v>0</v>
      </c>
      <c r="AJ148" s="5">
        <v>0</v>
      </c>
      <c r="AK148" s="5">
        <v>0</v>
      </c>
      <c r="AL148" s="5">
        <v>174051.14</v>
      </c>
      <c r="AM148" s="5">
        <v>0</v>
      </c>
      <c r="AN148" s="5">
        <v>174051.14</v>
      </c>
      <c r="AO148" s="1" t="s">
        <v>127</v>
      </c>
    </row>
    <row r="149" spans="1:41" x14ac:dyDescent="0.25">
      <c r="A149" s="1">
        <f t="shared" si="2"/>
        <v>133</v>
      </c>
      <c r="B149" s="1" t="s">
        <v>391</v>
      </c>
      <c r="C149" s="1" t="s">
        <v>123</v>
      </c>
      <c r="D149" s="1" t="s">
        <v>124</v>
      </c>
      <c r="E149" s="4">
        <v>45292</v>
      </c>
      <c r="F149" s="4">
        <v>45573</v>
      </c>
      <c r="G149" s="1" t="s">
        <v>125</v>
      </c>
      <c r="H149" s="5">
        <v>645209.77</v>
      </c>
      <c r="I149" s="5">
        <v>44899.43</v>
      </c>
      <c r="J149" s="5">
        <v>18965.52</v>
      </c>
      <c r="K149" s="5">
        <v>13400</v>
      </c>
      <c r="L149" s="5">
        <v>7091.95</v>
      </c>
      <c r="M149" s="5">
        <v>84356.9</v>
      </c>
      <c r="N149" s="5">
        <v>525393.1</v>
      </c>
      <c r="O149" s="5">
        <v>35459.769999999997</v>
      </c>
      <c r="P149" s="5">
        <v>0</v>
      </c>
      <c r="Q149" s="5">
        <v>560852.87</v>
      </c>
      <c r="R149" s="1" t="s">
        <v>392</v>
      </c>
      <c r="S149" s="1" t="s">
        <v>124</v>
      </c>
      <c r="T149" s="4">
        <v>45292</v>
      </c>
      <c r="U149" s="4">
        <v>45573</v>
      </c>
      <c r="V149" s="1" t="s">
        <v>125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560852.87</v>
      </c>
      <c r="AH149" s="5">
        <v>54670.57</v>
      </c>
      <c r="AI149" s="5">
        <v>0</v>
      </c>
      <c r="AJ149" s="5">
        <v>0</v>
      </c>
      <c r="AK149" s="5">
        <v>0</v>
      </c>
      <c r="AL149" s="5">
        <v>54670.57</v>
      </c>
      <c r="AM149" s="5">
        <v>0</v>
      </c>
      <c r="AN149" s="5">
        <v>54670.57</v>
      </c>
      <c r="AO149" s="1" t="s">
        <v>127</v>
      </c>
    </row>
    <row r="150" spans="1:41" x14ac:dyDescent="0.25">
      <c r="A150" s="1">
        <f t="shared" si="2"/>
        <v>134</v>
      </c>
      <c r="B150" s="1" t="s">
        <v>393</v>
      </c>
      <c r="C150" s="1" t="s">
        <v>123</v>
      </c>
      <c r="D150" s="1" t="s">
        <v>124</v>
      </c>
      <c r="E150" s="4">
        <v>45292</v>
      </c>
      <c r="F150" s="4">
        <v>45573</v>
      </c>
      <c r="G150" s="1" t="s">
        <v>125</v>
      </c>
      <c r="H150" s="5">
        <v>100471.84</v>
      </c>
      <c r="I150" s="5">
        <v>6537.36</v>
      </c>
      <c r="J150" s="5">
        <v>13710.34</v>
      </c>
      <c r="K150" s="5">
        <v>5108</v>
      </c>
      <c r="L150" s="5">
        <v>1775.86</v>
      </c>
      <c r="M150" s="5">
        <v>27131.56</v>
      </c>
      <c r="N150" s="5">
        <v>73340.28</v>
      </c>
      <c r="O150" s="5">
        <v>0</v>
      </c>
      <c r="P150" s="5">
        <v>0</v>
      </c>
      <c r="Q150" s="5">
        <v>73340.28</v>
      </c>
      <c r="R150" s="1" t="s">
        <v>394</v>
      </c>
      <c r="S150" s="1" t="s">
        <v>124</v>
      </c>
      <c r="T150" s="4">
        <v>45292</v>
      </c>
      <c r="U150" s="4">
        <v>45573</v>
      </c>
      <c r="V150" s="1" t="s">
        <v>125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73340.28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1" t="s">
        <v>127</v>
      </c>
    </row>
    <row r="151" spans="1:41" x14ac:dyDescent="0.25">
      <c r="A151" s="1">
        <f t="shared" si="2"/>
        <v>135</v>
      </c>
      <c r="B151" s="1" t="s">
        <v>395</v>
      </c>
      <c r="C151" s="1" t="s">
        <v>123</v>
      </c>
      <c r="D151" s="1" t="s">
        <v>124</v>
      </c>
      <c r="E151" s="4">
        <v>45292</v>
      </c>
      <c r="F151" s="4">
        <v>45568</v>
      </c>
      <c r="G151" s="1" t="s">
        <v>125</v>
      </c>
      <c r="H151" s="5">
        <v>1702178.58</v>
      </c>
      <c r="I151" s="5">
        <v>90000</v>
      </c>
      <c r="J151" s="5">
        <v>9800</v>
      </c>
      <c r="K151" s="5">
        <v>36350</v>
      </c>
      <c r="L151" s="5">
        <v>13577.59</v>
      </c>
      <c r="M151" s="5">
        <v>149727.59</v>
      </c>
      <c r="N151" s="5">
        <v>1457753.89</v>
      </c>
      <c r="O151" s="5">
        <v>35559.17</v>
      </c>
      <c r="P151" s="5">
        <v>59137.93</v>
      </c>
      <c r="Q151" s="5">
        <v>1552450.99</v>
      </c>
      <c r="R151" s="1" t="s">
        <v>396</v>
      </c>
      <c r="S151" s="1" t="s">
        <v>124</v>
      </c>
      <c r="T151" s="4">
        <v>45292</v>
      </c>
      <c r="U151" s="4">
        <v>45568</v>
      </c>
      <c r="V151" s="1" t="s">
        <v>125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1552450.99</v>
      </c>
      <c r="AH151" s="5">
        <v>290612.75</v>
      </c>
      <c r="AI151" s="5">
        <v>0</v>
      </c>
      <c r="AJ151" s="5">
        <v>0</v>
      </c>
      <c r="AK151" s="5">
        <v>0</v>
      </c>
      <c r="AL151" s="5">
        <v>290612.75</v>
      </c>
      <c r="AM151" s="5">
        <v>0</v>
      </c>
      <c r="AN151" s="5">
        <v>290612.75</v>
      </c>
      <c r="AO151" s="1" t="s">
        <v>127</v>
      </c>
    </row>
    <row r="152" spans="1:41" x14ac:dyDescent="0.25">
      <c r="A152" s="1">
        <f t="shared" si="2"/>
        <v>136</v>
      </c>
      <c r="B152" s="1" t="s">
        <v>397</v>
      </c>
      <c r="C152" s="1" t="s">
        <v>123</v>
      </c>
      <c r="D152" s="1" t="s">
        <v>124</v>
      </c>
      <c r="E152" s="4">
        <v>45292</v>
      </c>
      <c r="F152" s="4">
        <v>45562</v>
      </c>
      <c r="G152" s="1" t="s">
        <v>125</v>
      </c>
      <c r="H152" s="5">
        <v>832806.99</v>
      </c>
      <c r="I152" s="5">
        <v>61532.57</v>
      </c>
      <c r="J152" s="5">
        <v>30018.68</v>
      </c>
      <c r="K152" s="5">
        <v>31850</v>
      </c>
      <c r="L152" s="5">
        <v>2864.94</v>
      </c>
      <c r="M152" s="5">
        <v>126266.19</v>
      </c>
      <c r="N152" s="5">
        <v>706540.8</v>
      </c>
      <c r="O152" s="5">
        <v>0</v>
      </c>
      <c r="P152" s="5">
        <v>0</v>
      </c>
      <c r="Q152" s="5">
        <v>706540.8</v>
      </c>
      <c r="R152" s="1" t="s">
        <v>398</v>
      </c>
      <c r="S152" s="1" t="s">
        <v>124</v>
      </c>
      <c r="T152" s="4">
        <v>45292</v>
      </c>
      <c r="U152" s="4">
        <v>45562</v>
      </c>
      <c r="V152" s="1" t="s">
        <v>125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706540.8</v>
      </c>
      <c r="AH152" s="5">
        <v>83808.160000000003</v>
      </c>
      <c r="AI152" s="5">
        <v>0</v>
      </c>
      <c r="AJ152" s="5">
        <v>0</v>
      </c>
      <c r="AK152" s="5">
        <v>0</v>
      </c>
      <c r="AL152" s="5">
        <v>83808.160000000003</v>
      </c>
      <c r="AM152" s="5">
        <v>0</v>
      </c>
      <c r="AN152" s="5">
        <v>83808.160000000003</v>
      </c>
      <c r="AO152" s="1" t="s">
        <v>127</v>
      </c>
    </row>
    <row r="153" spans="1:41" x14ac:dyDescent="0.25">
      <c r="A153" s="1">
        <f t="shared" si="2"/>
        <v>137</v>
      </c>
      <c r="B153" s="1" t="s">
        <v>399</v>
      </c>
      <c r="C153" s="1" t="s">
        <v>123</v>
      </c>
      <c r="D153" s="1" t="s">
        <v>124</v>
      </c>
      <c r="E153" s="4">
        <v>45292</v>
      </c>
      <c r="F153" s="4">
        <v>45608</v>
      </c>
      <c r="G153" s="1" t="s">
        <v>125</v>
      </c>
      <c r="H153" s="5">
        <v>129992.53</v>
      </c>
      <c r="I153" s="5">
        <v>8103.45</v>
      </c>
      <c r="J153" s="5">
        <v>18597.7</v>
      </c>
      <c r="K153" s="5">
        <v>7765</v>
      </c>
      <c r="L153" s="5">
        <v>6050</v>
      </c>
      <c r="M153" s="5">
        <v>40516.15</v>
      </c>
      <c r="N153" s="5">
        <v>89476.38</v>
      </c>
      <c r="O153" s="5">
        <v>0</v>
      </c>
      <c r="P153" s="5">
        <v>0</v>
      </c>
      <c r="Q153" s="5">
        <v>89476.38</v>
      </c>
      <c r="R153" s="1" t="s">
        <v>400</v>
      </c>
      <c r="S153" s="1" t="s">
        <v>124</v>
      </c>
      <c r="T153" s="4">
        <v>45292</v>
      </c>
      <c r="U153" s="4">
        <v>45608</v>
      </c>
      <c r="V153" s="1" t="s">
        <v>125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89476.38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1" t="s">
        <v>127</v>
      </c>
    </row>
    <row r="154" spans="1:41" x14ac:dyDescent="0.25">
      <c r="A154" s="1">
        <f t="shared" si="2"/>
        <v>138</v>
      </c>
      <c r="B154" s="1" t="s">
        <v>401</v>
      </c>
      <c r="C154" s="1" t="s">
        <v>123</v>
      </c>
      <c r="D154" s="1" t="s">
        <v>124</v>
      </c>
      <c r="E154" s="4">
        <v>45292</v>
      </c>
      <c r="F154" s="4">
        <v>45608</v>
      </c>
      <c r="G154" s="1" t="s">
        <v>125</v>
      </c>
      <c r="H154" s="5">
        <v>377027.46</v>
      </c>
      <c r="I154" s="5">
        <v>25610.95</v>
      </c>
      <c r="J154" s="5">
        <v>30899.83</v>
      </c>
      <c r="K154" s="5">
        <v>15551.25</v>
      </c>
      <c r="L154" s="5">
        <v>2500</v>
      </c>
      <c r="M154" s="5">
        <v>74562.03</v>
      </c>
      <c r="N154" s="5">
        <v>291780.13</v>
      </c>
      <c r="O154" s="5">
        <v>0</v>
      </c>
      <c r="P154" s="5">
        <v>10685.3</v>
      </c>
      <c r="Q154" s="5">
        <v>302465.43</v>
      </c>
      <c r="R154" s="1" t="s">
        <v>402</v>
      </c>
      <c r="S154" s="1" t="s">
        <v>124</v>
      </c>
      <c r="T154" s="4">
        <v>45292</v>
      </c>
      <c r="U154" s="4">
        <v>45608</v>
      </c>
      <c r="V154" s="1" t="s">
        <v>125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302465.43</v>
      </c>
      <c r="AH154" s="5">
        <v>7869.81</v>
      </c>
      <c r="AI154" s="5">
        <v>0</v>
      </c>
      <c r="AJ154" s="5">
        <v>0</v>
      </c>
      <c r="AK154" s="5">
        <v>0</v>
      </c>
      <c r="AL154" s="5">
        <v>7869.81</v>
      </c>
      <c r="AM154" s="5">
        <v>0</v>
      </c>
      <c r="AN154" s="5">
        <v>7869.81</v>
      </c>
      <c r="AO154" s="1" t="s">
        <v>127</v>
      </c>
    </row>
    <row r="155" spans="1:41" x14ac:dyDescent="0.25">
      <c r="A155" s="1">
        <f t="shared" si="2"/>
        <v>139</v>
      </c>
      <c r="B155" s="1" t="s">
        <v>403</v>
      </c>
      <c r="C155" s="1" t="s">
        <v>123</v>
      </c>
      <c r="D155" s="1" t="s">
        <v>124</v>
      </c>
      <c r="E155" s="4">
        <v>45292</v>
      </c>
      <c r="F155" s="4">
        <v>45622</v>
      </c>
      <c r="G155" s="1" t="s">
        <v>125</v>
      </c>
      <c r="H155" s="5">
        <v>597258.94999999995</v>
      </c>
      <c r="I155" s="5">
        <v>40758.75</v>
      </c>
      <c r="J155" s="5">
        <v>37177.47</v>
      </c>
      <c r="K155" s="5">
        <v>28140.12</v>
      </c>
      <c r="L155" s="5">
        <v>21870.98</v>
      </c>
      <c r="M155" s="5">
        <v>127947.32</v>
      </c>
      <c r="N155" s="5">
        <v>460964.88</v>
      </c>
      <c r="O155" s="5">
        <v>0</v>
      </c>
      <c r="P155" s="5">
        <v>8346.75</v>
      </c>
      <c r="Q155" s="5">
        <v>469311.63</v>
      </c>
      <c r="R155" s="1" t="s">
        <v>404</v>
      </c>
      <c r="S155" s="1" t="s">
        <v>124</v>
      </c>
      <c r="T155" s="4">
        <v>45292</v>
      </c>
      <c r="U155" s="4">
        <v>45622</v>
      </c>
      <c r="V155" s="1" t="s">
        <v>125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469311.63</v>
      </c>
      <c r="AH155" s="5">
        <v>36362.33</v>
      </c>
      <c r="AI155" s="5">
        <v>0</v>
      </c>
      <c r="AJ155" s="5">
        <v>0</v>
      </c>
      <c r="AK155" s="5">
        <v>0</v>
      </c>
      <c r="AL155" s="5">
        <v>36362.33</v>
      </c>
      <c r="AM155" s="5">
        <v>0</v>
      </c>
      <c r="AN155" s="5">
        <v>36362.33</v>
      </c>
      <c r="AO155" s="1" t="s">
        <v>127</v>
      </c>
    </row>
    <row r="156" spans="1:41" x14ac:dyDescent="0.25">
      <c r="A156" s="1">
        <f t="shared" si="2"/>
        <v>140</v>
      </c>
      <c r="B156" s="1" t="s">
        <v>405</v>
      </c>
      <c r="C156" s="1" t="s">
        <v>123</v>
      </c>
      <c r="D156" s="1" t="s">
        <v>124</v>
      </c>
      <c r="E156" s="4">
        <v>45292</v>
      </c>
      <c r="F156" s="4">
        <v>45644</v>
      </c>
      <c r="G156" s="1" t="s">
        <v>125</v>
      </c>
      <c r="H156" s="5">
        <v>908563.39</v>
      </c>
      <c r="I156" s="5">
        <v>65190.52</v>
      </c>
      <c r="J156" s="5">
        <v>33229.89</v>
      </c>
      <c r="K156" s="5">
        <v>37347.5</v>
      </c>
      <c r="L156" s="5">
        <v>27833.91</v>
      </c>
      <c r="M156" s="5">
        <v>163601.82</v>
      </c>
      <c r="N156" s="5">
        <v>744938.71</v>
      </c>
      <c r="O156" s="5">
        <v>0</v>
      </c>
      <c r="P156" s="5">
        <v>22.86</v>
      </c>
      <c r="Q156" s="5">
        <v>744961.57</v>
      </c>
      <c r="R156" s="1" t="s">
        <v>406</v>
      </c>
      <c r="S156" s="1" t="s">
        <v>124</v>
      </c>
      <c r="T156" s="4">
        <v>45292</v>
      </c>
      <c r="U156" s="4">
        <v>45644</v>
      </c>
      <c r="V156" s="1" t="s">
        <v>125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744961.57</v>
      </c>
      <c r="AH156" s="5">
        <v>91492.31</v>
      </c>
      <c r="AI156" s="5">
        <v>0</v>
      </c>
      <c r="AJ156" s="5">
        <v>0</v>
      </c>
      <c r="AK156" s="5">
        <v>0</v>
      </c>
      <c r="AL156" s="5">
        <v>91492.31</v>
      </c>
      <c r="AM156" s="5">
        <v>0</v>
      </c>
      <c r="AN156" s="5">
        <v>91492.31</v>
      </c>
      <c r="AO156" s="1" t="s">
        <v>127</v>
      </c>
    </row>
    <row r="157" spans="1:41" x14ac:dyDescent="0.25">
      <c r="A157" s="1">
        <f t="shared" si="2"/>
        <v>141</v>
      </c>
      <c r="B157" s="1" t="s">
        <v>407</v>
      </c>
      <c r="C157" s="1" t="s">
        <v>123</v>
      </c>
      <c r="D157" s="1" t="s">
        <v>124</v>
      </c>
      <c r="E157" s="4">
        <v>45292</v>
      </c>
      <c r="F157" s="4">
        <v>45598</v>
      </c>
      <c r="G157" s="1" t="s">
        <v>125</v>
      </c>
      <c r="H157" s="5">
        <v>146434.34</v>
      </c>
      <c r="I157" s="5">
        <v>9297.6200000000008</v>
      </c>
      <c r="J157" s="5">
        <v>23565.23</v>
      </c>
      <c r="K157" s="5">
        <v>8840.5</v>
      </c>
      <c r="L157" s="5">
        <v>2000</v>
      </c>
      <c r="M157" s="5">
        <v>43703.35</v>
      </c>
      <c r="N157" s="5">
        <v>102730.99</v>
      </c>
      <c r="O157" s="5">
        <v>0</v>
      </c>
      <c r="P157" s="5">
        <v>0</v>
      </c>
      <c r="Q157" s="5">
        <v>102730.99</v>
      </c>
      <c r="R157" s="1" t="s">
        <v>408</v>
      </c>
      <c r="S157" s="1" t="s">
        <v>124</v>
      </c>
      <c r="T157" s="4">
        <v>45292</v>
      </c>
      <c r="U157" s="4">
        <v>45598</v>
      </c>
      <c r="V157" s="1" t="s">
        <v>125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102730.99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1" t="s">
        <v>127</v>
      </c>
    </row>
    <row r="158" spans="1:41" x14ac:dyDescent="0.25">
      <c r="A158" s="1">
        <f t="shared" si="2"/>
        <v>142</v>
      </c>
      <c r="B158" s="1" t="s">
        <v>409</v>
      </c>
      <c r="C158" s="1" t="s">
        <v>123</v>
      </c>
      <c r="D158" s="1" t="s">
        <v>124</v>
      </c>
      <c r="E158" s="4">
        <v>45292</v>
      </c>
      <c r="F158" s="4">
        <v>45637</v>
      </c>
      <c r="G158" s="1" t="s">
        <v>125</v>
      </c>
      <c r="H158" s="5">
        <v>1383742.38</v>
      </c>
      <c r="I158" s="5">
        <v>90000</v>
      </c>
      <c r="J158" s="5">
        <v>58035.17</v>
      </c>
      <c r="K158" s="5">
        <v>43990.62</v>
      </c>
      <c r="L158" s="5">
        <v>5818.97</v>
      </c>
      <c r="M158" s="5">
        <v>197844.76</v>
      </c>
      <c r="N158" s="5">
        <v>1174367.76</v>
      </c>
      <c r="O158" s="5">
        <v>11529.86</v>
      </c>
      <c r="P158" s="5">
        <v>0</v>
      </c>
      <c r="Q158" s="5">
        <v>1185897.6200000001</v>
      </c>
      <c r="R158" s="1" t="s">
        <v>410</v>
      </c>
      <c r="S158" s="1" t="s">
        <v>124</v>
      </c>
      <c r="T158" s="4">
        <v>45292</v>
      </c>
      <c r="U158" s="4">
        <v>45637</v>
      </c>
      <c r="V158" s="1" t="s">
        <v>125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1185897.6200000001</v>
      </c>
      <c r="AH158" s="5">
        <v>198974.41</v>
      </c>
      <c r="AI158" s="5">
        <v>0</v>
      </c>
      <c r="AJ158" s="5">
        <v>0</v>
      </c>
      <c r="AK158" s="5">
        <v>0</v>
      </c>
      <c r="AL158" s="5">
        <v>198974.41</v>
      </c>
      <c r="AM158" s="5">
        <v>0</v>
      </c>
      <c r="AN158" s="5">
        <v>198974.41</v>
      </c>
      <c r="AO158" s="1" t="s">
        <v>127</v>
      </c>
    </row>
    <row r="159" spans="1:41" x14ac:dyDescent="0.25">
      <c r="A159" s="1">
        <f t="shared" si="2"/>
        <v>143</v>
      </c>
      <c r="B159" s="1" t="s">
        <v>411</v>
      </c>
      <c r="C159" s="1" t="s">
        <v>123</v>
      </c>
      <c r="D159" s="1" t="s">
        <v>124</v>
      </c>
      <c r="E159" s="4">
        <v>45292</v>
      </c>
      <c r="F159" s="4">
        <v>45644</v>
      </c>
      <c r="G159" s="1" t="s">
        <v>125</v>
      </c>
      <c r="H159" s="5">
        <v>630621.77</v>
      </c>
      <c r="I159" s="5">
        <v>45000</v>
      </c>
      <c r="J159" s="5">
        <v>27689.66</v>
      </c>
      <c r="K159" s="5">
        <v>22700</v>
      </c>
      <c r="L159" s="5">
        <v>6500</v>
      </c>
      <c r="M159" s="5">
        <v>101889.66</v>
      </c>
      <c r="N159" s="5">
        <v>517300</v>
      </c>
      <c r="O159" s="5">
        <v>0</v>
      </c>
      <c r="P159" s="5">
        <v>11432.11</v>
      </c>
      <c r="Q159" s="5">
        <v>528732.11</v>
      </c>
      <c r="R159" s="1" t="s">
        <v>412</v>
      </c>
      <c r="S159" s="1" t="s">
        <v>124</v>
      </c>
      <c r="T159" s="4">
        <v>45292</v>
      </c>
      <c r="U159" s="4">
        <v>45644</v>
      </c>
      <c r="V159" s="1" t="s">
        <v>125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528732.11</v>
      </c>
      <c r="AH159" s="5">
        <v>48246.42</v>
      </c>
      <c r="AI159" s="5">
        <v>0</v>
      </c>
      <c r="AJ159" s="5">
        <v>0</v>
      </c>
      <c r="AK159" s="5">
        <v>0</v>
      </c>
      <c r="AL159" s="5">
        <v>48246.42</v>
      </c>
      <c r="AM159" s="5">
        <v>0</v>
      </c>
      <c r="AN159" s="5">
        <v>48246.42</v>
      </c>
      <c r="AO159" s="1" t="s">
        <v>127</v>
      </c>
    </row>
    <row r="160" spans="1:41" x14ac:dyDescent="0.25">
      <c r="A160" s="1">
        <f t="shared" si="2"/>
        <v>144</v>
      </c>
      <c r="B160" s="1" t="s">
        <v>413</v>
      </c>
      <c r="C160" s="1" t="s">
        <v>414</v>
      </c>
      <c r="D160" s="1" t="s">
        <v>124</v>
      </c>
      <c r="E160" s="4">
        <v>45292</v>
      </c>
      <c r="F160" s="4">
        <v>45542</v>
      </c>
      <c r="G160" s="1" t="s">
        <v>125</v>
      </c>
      <c r="H160" s="5">
        <v>2511749.34</v>
      </c>
      <c r="I160" s="5">
        <v>90000</v>
      </c>
      <c r="J160" s="5">
        <v>25500</v>
      </c>
      <c r="K160" s="5">
        <v>35100</v>
      </c>
      <c r="L160" s="5">
        <v>0</v>
      </c>
      <c r="M160" s="5">
        <v>150600</v>
      </c>
      <c r="N160" s="5">
        <v>2208899.39</v>
      </c>
      <c r="O160" s="5">
        <v>96999.95</v>
      </c>
      <c r="P160" s="5">
        <v>55250</v>
      </c>
      <c r="Q160" s="5">
        <v>2361149.34</v>
      </c>
      <c r="R160" s="1" t="s">
        <v>415</v>
      </c>
      <c r="S160" s="1" t="s">
        <v>124</v>
      </c>
      <c r="T160" s="4">
        <v>45292</v>
      </c>
      <c r="U160" s="4">
        <v>45542</v>
      </c>
      <c r="V160" s="1" t="s">
        <v>125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2361149.34</v>
      </c>
      <c r="AH160" s="5">
        <v>510844.8</v>
      </c>
      <c r="AI160" s="5">
        <v>0</v>
      </c>
      <c r="AJ160" s="5">
        <v>0</v>
      </c>
      <c r="AK160" s="5">
        <v>0</v>
      </c>
      <c r="AL160" s="5">
        <v>510844.8</v>
      </c>
      <c r="AM160" s="5">
        <v>0</v>
      </c>
      <c r="AN160" s="5">
        <v>510844.8</v>
      </c>
      <c r="AO160" s="1" t="s">
        <v>127</v>
      </c>
    </row>
    <row r="161" spans="1:41" x14ac:dyDescent="0.25">
      <c r="A161" s="1">
        <f t="shared" si="2"/>
        <v>145</v>
      </c>
      <c r="B161" s="1" t="s">
        <v>416</v>
      </c>
      <c r="C161" s="1" t="s">
        <v>123</v>
      </c>
      <c r="D161" s="1" t="s">
        <v>124</v>
      </c>
      <c r="E161" s="4">
        <v>45292</v>
      </c>
      <c r="F161" s="4">
        <v>45653</v>
      </c>
      <c r="G161" s="1" t="s">
        <v>125</v>
      </c>
      <c r="H161" s="5">
        <v>1030761.78</v>
      </c>
      <c r="I161" s="5">
        <v>76436.78</v>
      </c>
      <c r="J161" s="5">
        <v>32718.68</v>
      </c>
      <c r="K161" s="5">
        <v>41000</v>
      </c>
      <c r="L161" s="5">
        <v>4364.9399999999996</v>
      </c>
      <c r="M161" s="5">
        <v>154520.4</v>
      </c>
      <c r="N161" s="5">
        <v>876241.38</v>
      </c>
      <c r="O161" s="5">
        <v>0</v>
      </c>
      <c r="P161" s="5">
        <v>0</v>
      </c>
      <c r="Q161" s="5">
        <v>876241.38</v>
      </c>
      <c r="R161" s="1" t="s">
        <v>417</v>
      </c>
      <c r="S161" s="1" t="s">
        <v>124</v>
      </c>
      <c r="T161" s="4">
        <v>45292</v>
      </c>
      <c r="U161" s="4">
        <v>45653</v>
      </c>
      <c r="V161" s="1" t="s">
        <v>125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876241.38</v>
      </c>
      <c r="AH161" s="5">
        <v>121560.35</v>
      </c>
      <c r="AI161" s="5">
        <v>0</v>
      </c>
      <c r="AJ161" s="5">
        <v>0</v>
      </c>
      <c r="AK161" s="5">
        <v>0</v>
      </c>
      <c r="AL161" s="5">
        <v>121560.35</v>
      </c>
      <c r="AM161" s="5">
        <v>0</v>
      </c>
      <c r="AN161" s="5">
        <v>121560.35</v>
      </c>
      <c r="AO161" s="1" t="s">
        <v>127</v>
      </c>
    </row>
    <row r="162" spans="1:41" x14ac:dyDescent="0.25">
      <c r="A162" s="1">
        <f t="shared" si="2"/>
        <v>146</v>
      </c>
      <c r="B162" s="1" t="s">
        <v>418</v>
      </c>
      <c r="C162" s="1" t="s">
        <v>123</v>
      </c>
      <c r="D162" s="1" t="s">
        <v>124</v>
      </c>
      <c r="E162" s="4">
        <v>45292</v>
      </c>
      <c r="F162" s="4">
        <v>45542</v>
      </c>
      <c r="G162" s="1" t="s">
        <v>125</v>
      </c>
      <c r="H162" s="5">
        <v>832000</v>
      </c>
      <c r="I162" s="5">
        <v>55500</v>
      </c>
      <c r="J162" s="5">
        <v>25500</v>
      </c>
      <c r="K162" s="5">
        <v>30500</v>
      </c>
      <c r="L162" s="5">
        <v>0</v>
      </c>
      <c r="M162" s="5">
        <v>111500</v>
      </c>
      <c r="N162" s="5">
        <v>635500</v>
      </c>
      <c r="O162" s="5">
        <v>0</v>
      </c>
      <c r="P162" s="5">
        <v>85000</v>
      </c>
      <c r="Q162" s="5">
        <v>720500</v>
      </c>
      <c r="R162" s="1" t="s">
        <v>419</v>
      </c>
      <c r="S162" s="1" t="s">
        <v>124</v>
      </c>
      <c r="T162" s="4">
        <v>45292</v>
      </c>
      <c r="U162" s="4">
        <v>45542</v>
      </c>
      <c r="V162" s="1" t="s">
        <v>125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720500</v>
      </c>
      <c r="AH162" s="5">
        <v>86600</v>
      </c>
      <c r="AI162" s="5">
        <v>0</v>
      </c>
      <c r="AJ162" s="5">
        <v>0</v>
      </c>
      <c r="AK162" s="5">
        <v>0</v>
      </c>
      <c r="AL162" s="5">
        <v>86600</v>
      </c>
      <c r="AM162" s="5">
        <v>0</v>
      </c>
      <c r="AN162" s="5">
        <v>86600</v>
      </c>
      <c r="AO162" s="1" t="s">
        <v>127</v>
      </c>
    </row>
    <row r="163" spans="1:41" x14ac:dyDescent="0.25">
      <c r="A163" s="1">
        <f t="shared" si="2"/>
        <v>147</v>
      </c>
      <c r="B163" s="1" t="s">
        <v>420</v>
      </c>
      <c r="C163" s="1" t="s">
        <v>123</v>
      </c>
      <c r="D163" s="1" t="s">
        <v>124</v>
      </c>
      <c r="E163" s="4">
        <v>45292</v>
      </c>
      <c r="F163" s="4">
        <v>45542</v>
      </c>
      <c r="G163" s="1" t="s">
        <v>125</v>
      </c>
      <c r="H163" s="5">
        <v>1655257.5</v>
      </c>
      <c r="I163" s="5">
        <v>90000</v>
      </c>
      <c r="J163" s="5">
        <v>25500</v>
      </c>
      <c r="K163" s="5">
        <v>35100</v>
      </c>
      <c r="L163" s="5">
        <v>0</v>
      </c>
      <c r="M163" s="5">
        <v>150600</v>
      </c>
      <c r="N163" s="5">
        <v>1390830</v>
      </c>
      <c r="O163" s="5">
        <v>28827.5</v>
      </c>
      <c r="P163" s="5">
        <v>85000</v>
      </c>
      <c r="Q163" s="5">
        <v>1504657.5</v>
      </c>
      <c r="R163" s="1" t="s">
        <v>421</v>
      </c>
      <c r="S163" s="1" t="s">
        <v>124</v>
      </c>
      <c r="T163" s="4">
        <v>45292</v>
      </c>
      <c r="U163" s="4">
        <v>45542</v>
      </c>
      <c r="V163" s="1" t="s">
        <v>125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1504657.5</v>
      </c>
      <c r="AH163" s="5">
        <v>278664.38</v>
      </c>
      <c r="AI163" s="5">
        <v>0</v>
      </c>
      <c r="AJ163" s="5">
        <v>0</v>
      </c>
      <c r="AK163" s="5">
        <v>0</v>
      </c>
      <c r="AL163" s="5">
        <v>278664.38</v>
      </c>
      <c r="AM163" s="5">
        <v>0</v>
      </c>
      <c r="AN163" s="5">
        <v>278664.38</v>
      </c>
      <c r="AO163" s="1" t="s">
        <v>127</v>
      </c>
    </row>
    <row r="164" spans="1:41" x14ac:dyDescent="0.25">
      <c r="A164" s="1">
        <f t="shared" si="2"/>
        <v>148</v>
      </c>
      <c r="B164" s="1" t="s">
        <v>422</v>
      </c>
      <c r="C164" s="1" t="s">
        <v>123</v>
      </c>
      <c r="D164" s="1" t="s">
        <v>124</v>
      </c>
      <c r="E164" s="4">
        <v>45292</v>
      </c>
      <c r="F164" s="4">
        <v>45542</v>
      </c>
      <c r="G164" s="1" t="s">
        <v>125</v>
      </c>
      <c r="H164" s="5">
        <v>192658.17</v>
      </c>
      <c r="I164" s="5">
        <v>14166.67</v>
      </c>
      <c r="J164" s="5">
        <v>8491.5</v>
      </c>
      <c r="K164" s="5">
        <v>13600</v>
      </c>
      <c r="L164" s="5">
        <v>0</v>
      </c>
      <c r="M164" s="5">
        <v>36258.17</v>
      </c>
      <c r="N164" s="5">
        <v>156400</v>
      </c>
      <c r="O164" s="5">
        <v>0</v>
      </c>
      <c r="P164" s="5">
        <v>0</v>
      </c>
      <c r="Q164" s="5">
        <v>156400</v>
      </c>
      <c r="R164" s="1" t="s">
        <v>423</v>
      </c>
      <c r="S164" s="1" t="s">
        <v>124</v>
      </c>
      <c r="T164" s="4">
        <v>45292</v>
      </c>
      <c r="U164" s="4">
        <v>45542</v>
      </c>
      <c r="V164" s="1" t="s">
        <v>125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156400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1" t="s">
        <v>127</v>
      </c>
    </row>
    <row r="165" spans="1:41" x14ac:dyDescent="0.25">
      <c r="A165" s="1">
        <f t="shared" si="2"/>
        <v>149</v>
      </c>
      <c r="B165" s="1" t="s">
        <v>424</v>
      </c>
      <c r="C165" s="1" t="s">
        <v>123</v>
      </c>
      <c r="D165" s="1" t="s">
        <v>124</v>
      </c>
      <c r="E165" s="4">
        <v>45292</v>
      </c>
      <c r="F165" s="4">
        <v>45542</v>
      </c>
      <c r="G165" s="1" t="s">
        <v>125</v>
      </c>
      <c r="H165" s="5">
        <v>1966346.08</v>
      </c>
      <c r="I165" s="5">
        <v>90000</v>
      </c>
      <c r="J165" s="5">
        <v>25500</v>
      </c>
      <c r="K165" s="5">
        <v>35100</v>
      </c>
      <c r="L165" s="5">
        <v>0</v>
      </c>
      <c r="M165" s="5">
        <v>150600</v>
      </c>
      <c r="N165" s="5">
        <v>1579900</v>
      </c>
      <c r="O165" s="5">
        <v>44583.33</v>
      </c>
      <c r="P165" s="5">
        <v>191262.75</v>
      </c>
      <c r="Q165" s="5">
        <v>1815746.08</v>
      </c>
      <c r="R165" s="1" t="s">
        <v>425</v>
      </c>
      <c r="S165" s="1" t="s">
        <v>124</v>
      </c>
      <c r="T165" s="4">
        <v>45292</v>
      </c>
      <c r="U165" s="4">
        <v>45542</v>
      </c>
      <c r="V165" s="1" t="s">
        <v>125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1815746.08</v>
      </c>
      <c r="AH165" s="5">
        <v>356436.52</v>
      </c>
      <c r="AI165" s="5">
        <v>0</v>
      </c>
      <c r="AJ165" s="5">
        <v>0</v>
      </c>
      <c r="AK165" s="5">
        <v>0</v>
      </c>
      <c r="AL165" s="5">
        <v>356436.52</v>
      </c>
      <c r="AM165" s="5">
        <v>0</v>
      </c>
      <c r="AN165" s="5">
        <v>356436.52</v>
      </c>
      <c r="AO165" s="1" t="s">
        <v>127</v>
      </c>
    </row>
    <row r="166" spans="1:41" x14ac:dyDescent="0.25">
      <c r="A166" s="1">
        <f t="shared" si="2"/>
        <v>150</v>
      </c>
      <c r="B166" s="1" t="s">
        <v>426</v>
      </c>
      <c r="C166" s="1" t="s">
        <v>123</v>
      </c>
      <c r="D166" s="1" t="s">
        <v>124</v>
      </c>
      <c r="E166" s="4">
        <v>45292</v>
      </c>
      <c r="F166" s="4">
        <v>45542</v>
      </c>
      <c r="G166" s="1" t="s">
        <v>125</v>
      </c>
      <c r="H166" s="5">
        <v>1018018.55</v>
      </c>
      <c r="I166" s="5">
        <v>69809.119999999995</v>
      </c>
      <c r="J166" s="5">
        <v>25500</v>
      </c>
      <c r="K166" s="5">
        <v>34820</v>
      </c>
      <c r="L166" s="5">
        <v>0</v>
      </c>
      <c r="M166" s="5">
        <v>130129.12</v>
      </c>
      <c r="N166" s="5">
        <v>802889.43</v>
      </c>
      <c r="O166" s="5">
        <v>0</v>
      </c>
      <c r="P166" s="5">
        <v>85000</v>
      </c>
      <c r="Q166" s="5">
        <v>887889.43</v>
      </c>
      <c r="R166" s="1" t="s">
        <v>427</v>
      </c>
      <c r="S166" s="1" t="s">
        <v>124</v>
      </c>
      <c r="T166" s="4">
        <v>45292</v>
      </c>
      <c r="U166" s="4">
        <v>45542</v>
      </c>
      <c r="V166" s="1" t="s">
        <v>125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887889.43</v>
      </c>
      <c r="AH166" s="5">
        <v>124472.36</v>
      </c>
      <c r="AI166" s="5">
        <v>0</v>
      </c>
      <c r="AJ166" s="5">
        <v>0</v>
      </c>
      <c r="AK166" s="5">
        <v>0</v>
      </c>
      <c r="AL166" s="5">
        <v>124472.36</v>
      </c>
      <c r="AM166" s="5">
        <v>0</v>
      </c>
      <c r="AN166" s="5">
        <v>124472.36</v>
      </c>
      <c r="AO166" s="1" t="s">
        <v>127</v>
      </c>
    </row>
    <row r="167" spans="1:41" x14ac:dyDescent="0.25">
      <c r="A167" s="1">
        <f t="shared" si="2"/>
        <v>151</v>
      </c>
      <c r="B167" s="1" t="s">
        <v>428</v>
      </c>
      <c r="C167" s="1" t="s">
        <v>123</v>
      </c>
      <c r="D167" s="1" t="s">
        <v>124</v>
      </c>
      <c r="E167" s="4">
        <v>45292</v>
      </c>
      <c r="F167" s="4">
        <v>45542</v>
      </c>
      <c r="G167" s="1" t="s">
        <v>125</v>
      </c>
      <c r="H167" s="5">
        <v>588724.4</v>
      </c>
      <c r="I167" s="5">
        <v>43128.800000000003</v>
      </c>
      <c r="J167" s="5">
        <v>28050</v>
      </c>
      <c r="K167" s="5">
        <v>26788.639999999999</v>
      </c>
      <c r="L167" s="5">
        <v>0</v>
      </c>
      <c r="M167" s="5">
        <v>97967.44</v>
      </c>
      <c r="N167" s="5">
        <v>490756.96</v>
      </c>
      <c r="O167" s="5">
        <v>0</v>
      </c>
      <c r="P167" s="5">
        <v>0</v>
      </c>
      <c r="Q167" s="5">
        <v>490756.96</v>
      </c>
      <c r="R167" s="1" t="s">
        <v>429</v>
      </c>
      <c r="S167" s="1" t="s">
        <v>124</v>
      </c>
      <c r="T167" s="4">
        <v>45292</v>
      </c>
      <c r="U167" s="4">
        <v>45542</v>
      </c>
      <c r="V167" s="1" t="s">
        <v>125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490756.96</v>
      </c>
      <c r="AH167" s="5">
        <v>40651.39</v>
      </c>
      <c r="AI167" s="5">
        <v>0</v>
      </c>
      <c r="AJ167" s="5">
        <v>0</v>
      </c>
      <c r="AK167" s="5">
        <v>0</v>
      </c>
      <c r="AL167" s="5">
        <v>40651.39</v>
      </c>
      <c r="AM167" s="5">
        <v>0</v>
      </c>
      <c r="AN167" s="5">
        <v>40651.39</v>
      </c>
      <c r="AO167" s="1" t="s">
        <v>127</v>
      </c>
    </row>
    <row r="168" spans="1:41" x14ac:dyDescent="0.25">
      <c r="A168" s="1">
        <f t="shared" si="2"/>
        <v>152</v>
      </c>
      <c r="B168" s="1" t="s">
        <v>430</v>
      </c>
      <c r="C168" s="1" t="s">
        <v>123</v>
      </c>
      <c r="D168" s="1" t="s">
        <v>124</v>
      </c>
      <c r="E168" s="4">
        <v>45292</v>
      </c>
      <c r="F168" s="4">
        <v>45542</v>
      </c>
      <c r="G168" s="1" t="s">
        <v>125</v>
      </c>
      <c r="H168" s="5">
        <v>4607642.74</v>
      </c>
      <c r="I168" s="5">
        <v>90000</v>
      </c>
      <c r="J168" s="5">
        <v>25500</v>
      </c>
      <c r="K168" s="5">
        <v>35100</v>
      </c>
      <c r="L168" s="5">
        <v>0</v>
      </c>
      <c r="M168" s="5">
        <v>150600</v>
      </c>
      <c r="N168" s="5">
        <v>3329515.44</v>
      </c>
      <c r="O168" s="5">
        <v>190384.62</v>
      </c>
      <c r="P168" s="5">
        <v>937142.68</v>
      </c>
      <c r="Q168" s="5">
        <v>4457042.74</v>
      </c>
      <c r="R168" s="1" t="s">
        <v>431</v>
      </c>
      <c r="S168" s="1" t="s">
        <v>124</v>
      </c>
      <c r="T168" s="4">
        <v>45292</v>
      </c>
      <c r="U168" s="4">
        <v>45542</v>
      </c>
      <c r="V168" s="1" t="s">
        <v>125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4457042.74</v>
      </c>
      <c r="AH168" s="5">
        <v>1139612.82</v>
      </c>
      <c r="AI168" s="5">
        <v>0</v>
      </c>
      <c r="AJ168" s="5">
        <v>0</v>
      </c>
      <c r="AK168" s="5">
        <v>0</v>
      </c>
      <c r="AL168" s="5">
        <v>1139612.82</v>
      </c>
      <c r="AM168" s="5">
        <v>0</v>
      </c>
      <c r="AN168" s="5">
        <v>1139612.82</v>
      </c>
      <c r="AO168" s="1" t="s">
        <v>127</v>
      </c>
    </row>
    <row r="169" spans="1:41" x14ac:dyDescent="0.25">
      <c r="A169" s="1">
        <f t="shared" si="2"/>
        <v>153</v>
      </c>
      <c r="B169" s="1" t="s">
        <v>432</v>
      </c>
      <c r="C169" s="1" t="s">
        <v>123</v>
      </c>
      <c r="D169" s="1" t="s">
        <v>124</v>
      </c>
      <c r="E169" s="4">
        <v>45292</v>
      </c>
      <c r="F169" s="4">
        <v>45542</v>
      </c>
      <c r="G169" s="1" t="s">
        <v>125</v>
      </c>
      <c r="H169" s="5">
        <v>2116871.04</v>
      </c>
      <c r="I169" s="5">
        <v>90000</v>
      </c>
      <c r="J169" s="5">
        <v>25500</v>
      </c>
      <c r="K169" s="5">
        <v>35100</v>
      </c>
      <c r="L169" s="5">
        <v>0</v>
      </c>
      <c r="M169" s="5">
        <v>150600</v>
      </c>
      <c r="N169" s="5">
        <v>1714900</v>
      </c>
      <c r="O169" s="5">
        <v>55833.33</v>
      </c>
      <c r="P169" s="5">
        <v>195537.71</v>
      </c>
      <c r="Q169" s="5">
        <v>1966271.04</v>
      </c>
      <c r="R169" s="1" t="s">
        <v>433</v>
      </c>
      <c r="S169" s="1" t="s">
        <v>124</v>
      </c>
      <c r="T169" s="4">
        <v>45292</v>
      </c>
      <c r="U169" s="4">
        <v>45542</v>
      </c>
      <c r="V169" s="1" t="s">
        <v>125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1966271.04</v>
      </c>
      <c r="AH169" s="5">
        <v>394067.76</v>
      </c>
      <c r="AI169" s="5">
        <v>0</v>
      </c>
      <c r="AJ169" s="5">
        <v>0</v>
      </c>
      <c r="AK169" s="5">
        <v>0</v>
      </c>
      <c r="AL169" s="5">
        <v>394067.76</v>
      </c>
      <c r="AM169" s="5">
        <v>0</v>
      </c>
      <c r="AN169" s="5">
        <v>394067.76</v>
      </c>
      <c r="AO169" s="1" t="s">
        <v>434</v>
      </c>
    </row>
    <row r="170" spans="1:41" x14ac:dyDescent="0.25">
      <c r="A170" s="1">
        <f t="shared" si="2"/>
        <v>154</v>
      </c>
      <c r="B170" s="1" t="s">
        <v>1154</v>
      </c>
      <c r="C170" s="1" t="s">
        <v>123</v>
      </c>
      <c r="D170" s="1" t="s">
        <v>124</v>
      </c>
      <c r="E170" s="4">
        <v>45292</v>
      </c>
      <c r="F170" s="4">
        <v>45542</v>
      </c>
      <c r="G170" s="1" t="s">
        <v>125</v>
      </c>
      <c r="H170" s="5">
        <v>1182688</v>
      </c>
      <c r="I170" s="5">
        <v>82476</v>
      </c>
      <c r="J170" s="5">
        <v>25500</v>
      </c>
      <c r="K170" s="5">
        <v>35100</v>
      </c>
      <c r="L170" s="5">
        <v>0</v>
      </c>
      <c r="M170" s="5">
        <v>143076</v>
      </c>
      <c r="N170" s="5">
        <v>954612</v>
      </c>
      <c r="O170" s="5">
        <v>0</v>
      </c>
      <c r="P170" s="5">
        <v>85000</v>
      </c>
      <c r="Q170" s="5">
        <v>1039612</v>
      </c>
      <c r="R170" s="1" t="s">
        <v>435</v>
      </c>
      <c r="S170" s="1" t="s">
        <v>124</v>
      </c>
      <c r="T170" s="4">
        <v>45292</v>
      </c>
      <c r="U170" s="4">
        <v>45542</v>
      </c>
      <c r="V170" s="1" t="s">
        <v>125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1039612</v>
      </c>
      <c r="AH170" s="5">
        <v>162403</v>
      </c>
      <c r="AI170" s="5">
        <v>0</v>
      </c>
      <c r="AJ170" s="5">
        <v>0</v>
      </c>
      <c r="AK170" s="5">
        <v>0</v>
      </c>
      <c r="AL170" s="5">
        <v>162403</v>
      </c>
      <c r="AM170" s="5">
        <v>0</v>
      </c>
      <c r="AN170" s="5">
        <v>162403</v>
      </c>
      <c r="AO170" s="1" t="s">
        <v>434</v>
      </c>
    </row>
    <row r="171" spans="1:41" x14ac:dyDescent="0.25">
      <c r="A171" s="1">
        <f t="shared" si="2"/>
        <v>155</v>
      </c>
      <c r="B171" s="1" t="s">
        <v>436</v>
      </c>
      <c r="C171" s="1" t="s">
        <v>123</v>
      </c>
      <c r="D171" s="1" t="s">
        <v>124</v>
      </c>
      <c r="E171" s="4">
        <v>45292</v>
      </c>
      <c r="F171" s="4">
        <v>45542</v>
      </c>
      <c r="G171" s="1" t="s">
        <v>125</v>
      </c>
      <c r="H171" s="5">
        <v>1785982.25</v>
      </c>
      <c r="I171" s="5">
        <v>90000</v>
      </c>
      <c r="J171" s="5">
        <v>25500</v>
      </c>
      <c r="K171" s="5">
        <v>35100</v>
      </c>
      <c r="L171" s="5">
        <v>0</v>
      </c>
      <c r="M171" s="5">
        <v>150600</v>
      </c>
      <c r="N171" s="5">
        <v>1511499</v>
      </c>
      <c r="O171" s="5">
        <v>38883.25</v>
      </c>
      <c r="P171" s="5">
        <v>85000</v>
      </c>
      <c r="Q171" s="5">
        <v>1635382.25</v>
      </c>
      <c r="R171" s="1" t="s">
        <v>437</v>
      </c>
      <c r="S171" s="1" t="s">
        <v>124</v>
      </c>
      <c r="T171" s="4">
        <v>45292</v>
      </c>
      <c r="U171" s="4">
        <v>45542</v>
      </c>
      <c r="V171" s="1" t="s">
        <v>125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1635382.25</v>
      </c>
      <c r="AH171" s="5">
        <v>311345.56</v>
      </c>
      <c r="AI171" s="5">
        <v>0</v>
      </c>
      <c r="AJ171" s="5">
        <v>0</v>
      </c>
      <c r="AK171" s="5">
        <v>0</v>
      </c>
      <c r="AL171" s="5">
        <v>311345.56</v>
      </c>
      <c r="AM171" s="5">
        <v>0</v>
      </c>
      <c r="AN171" s="5">
        <v>311345.56</v>
      </c>
      <c r="AO171" s="1" t="s">
        <v>434</v>
      </c>
    </row>
    <row r="172" spans="1:41" x14ac:dyDescent="0.25">
      <c r="A172" s="1">
        <f t="shared" si="2"/>
        <v>156</v>
      </c>
      <c r="B172" s="1" t="s">
        <v>438</v>
      </c>
      <c r="C172" s="1" t="s">
        <v>123</v>
      </c>
      <c r="D172" s="1" t="s">
        <v>124</v>
      </c>
      <c r="E172" s="4">
        <v>45292</v>
      </c>
      <c r="F172" s="4">
        <v>45542</v>
      </c>
      <c r="G172" s="1" t="s">
        <v>125</v>
      </c>
      <c r="H172" s="5">
        <v>2684651.07</v>
      </c>
      <c r="I172" s="5">
        <v>90000</v>
      </c>
      <c r="J172" s="5">
        <v>25500</v>
      </c>
      <c r="K172" s="5">
        <v>35100</v>
      </c>
      <c r="L172" s="5">
        <v>0</v>
      </c>
      <c r="M172" s="5">
        <v>150600</v>
      </c>
      <c r="N172" s="5">
        <v>2368500.9900000002</v>
      </c>
      <c r="O172" s="5">
        <v>110300.08</v>
      </c>
      <c r="P172" s="5">
        <v>55250</v>
      </c>
      <c r="Q172" s="5">
        <v>2534051.0699999998</v>
      </c>
      <c r="R172" s="1" t="s">
        <v>439</v>
      </c>
      <c r="S172" s="1" t="s">
        <v>124</v>
      </c>
      <c r="T172" s="4">
        <v>45292</v>
      </c>
      <c r="U172" s="4">
        <v>45542</v>
      </c>
      <c r="V172" s="1" t="s">
        <v>125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2534051.0699999998</v>
      </c>
      <c r="AH172" s="5">
        <v>562715.31999999995</v>
      </c>
      <c r="AI172" s="5">
        <v>0</v>
      </c>
      <c r="AJ172" s="5">
        <v>0</v>
      </c>
      <c r="AK172" s="5">
        <v>0</v>
      </c>
      <c r="AL172" s="5">
        <v>562715.31999999995</v>
      </c>
      <c r="AM172" s="5">
        <v>0</v>
      </c>
      <c r="AN172" s="5">
        <v>562715.31999999995</v>
      </c>
      <c r="AO172" s="1" t="s">
        <v>127</v>
      </c>
    </row>
    <row r="173" spans="1:41" x14ac:dyDescent="0.25">
      <c r="A173" s="1">
        <f t="shared" si="2"/>
        <v>157</v>
      </c>
      <c r="B173" s="1" t="s">
        <v>440</v>
      </c>
      <c r="C173" s="1" t="s">
        <v>123</v>
      </c>
      <c r="D173" s="1" t="s">
        <v>124</v>
      </c>
      <c r="E173" s="4">
        <v>45292</v>
      </c>
      <c r="F173" s="4">
        <v>45542</v>
      </c>
      <c r="G173" s="1" t="s">
        <v>125</v>
      </c>
      <c r="H173" s="5">
        <v>576270.5</v>
      </c>
      <c r="I173" s="5">
        <v>40716</v>
      </c>
      <c r="J173" s="5">
        <v>21250</v>
      </c>
      <c r="K173" s="5">
        <v>26064.799999999999</v>
      </c>
      <c r="L173" s="5">
        <v>0</v>
      </c>
      <c r="M173" s="5">
        <v>88030.8</v>
      </c>
      <c r="N173" s="5">
        <v>462527.2</v>
      </c>
      <c r="O173" s="5">
        <v>0</v>
      </c>
      <c r="P173" s="5">
        <v>25712.5</v>
      </c>
      <c r="Q173" s="5">
        <v>488239.7</v>
      </c>
      <c r="R173" s="1" t="s">
        <v>441</v>
      </c>
      <c r="S173" s="1" t="s">
        <v>124</v>
      </c>
      <c r="T173" s="4">
        <v>45292</v>
      </c>
      <c r="U173" s="4">
        <v>45542</v>
      </c>
      <c r="V173" s="1" t="s">
        <v>125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488239.7</v>
      </c>
      <c r="AH173" s="5">
        <v>40147.94</v>
      </c>
      <c r="AI173" s="5">
        <v>0</v>
      </c>
      <c r="AJ173" s="5">
        <v>0</v>
      </c>
      <c r="AK173" s="5">
        <v>0</v>
      </c>
      <c r="AL173" s="5">
        <v>40147.94</v>
      </c>
      <c r="AM173" s="5">
        <v>0</v>
      </c>
      <c r="AN173" s="5">
        <v>40147.94</v>
      </c>
      <c r="AO173" s="1" t="s">
        <v>434</v>
      </c>
    </row>
    <row r="174" spans="1:41" x14ac:dyDescent="0.25">
      <c r="A174" s="1">
        <f t="shared" si="2"/>
        <v>158</v>
      </c>
      <c r="B174" s="1" t="s">
        <v>442</v>
      </c>
      <c r="C174" s="1" t="s">
        <v>123</v>
      </c>
      <c r="D174" s="1" t="s">
        <v>124</v>
      </c>
      <c r="E174" s="4">
        <v>45292</v>
      </c>
      <c r="F174" s="4">
        <v>45542</v>
      </c>
      <c r="G174" s="1" t="s">
        <v>125</v>
      </c>
      <c r="H174" s="5">
        <v>2252704.5</v>
      </c>
      <c r="I174" s="5">
        <v>90000</v>
      </c>
      <c r="J174" s="5">
        <v>25500</v>
      </c>
      <c r="K174" s="5">
        <v>35100</v>
      </c>
      <c r="L174" s="5">
        <v>0</v>
      </c>
      <c r="M174" s="5">
        <v>150600</v>
      </c>
      <c r="N174" s="5">
        <v>1803858</v>
      </c>
      <c r="O174" s="5">
        <v>63246.5</v>
      </c>
      <c r="P174" s="5">
        <v>235000</v>
      </c>
      <c r="Q174" s="5">
        <v>2102104.5</v>
      </c>
      <c r="R174" s="1" t="s">
        <v>443</v>
      </c>
      <c r="S174" s="1" t="s">
        <v>124</v>
      </c>
      <c r="T174" s="4">
        <v>45292</v>
      </c>
      <c r="U174" s="4">
        <v>45542</v>
      </c>
      <c r="V174" s="1" t="s">
        <v>125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2102104.5</v>
      </c>
      <c r="AH174" s="5">
        <v>433131.35</v>
      </c>
      <c r="AI174" s="5">
        <v>0</v>
      </c>
      <c r="AJ174" s="5">
        <v>0</v>
      </c>
      <c r="AK174" s="5">
        <v>0</v>
      </c>
      <c r="AL174" s="5">
        <v>433131.35</v>
      </c>
      <c r="AM174" s="5">
        <v>0</v>
      </c>
      <c r="AN174" s="5">
        <v>433131.35</v>
      </c>
      <c r="AO174" s="1" t="s">
        <v>434</v>
      </c>
    </row>
    <row r="175" spans="1:41" x14ac:dyDescent="0.25">
      <c r="A175" s="1">
        <f t="shared" si="2"/>
        <v>159</v>
      </c>
      <c r="B175" s="1" t="s">
        <v>444</v>
      </c>
      <c r="C175" s="1" t="s">
        <v>123</v>
      </c>
      <c r="D175" s="1" t="s">
        <v>124</v>
      </c>
      <c r="E175" s="4">
        <v>45292</v>
      </c>
      <c r="F175" s="4">
        <v>45542</v>
      </c>
      <c r="G175" s="1" t="s">
        <v>125</v>
      </c>
      <c r="H175" s="5">
        <v>340991.08</v>
      </c>
      <c r="I175" s="5">
        <v>24071.21</v>
      </c>
      <c r="J175" s="5">
        <v>28050</v>
      </c>
      <c r="K175" s="5">
        <v>20486.32</v>
      </c>
      <c r="L175" s="5">
        <v>0</v>
      </c>
      <c r="M175" s="5">
        <v>72607.53</v>
      </c>
      <c r="N175" s="5">
        <v>268368.18</v>
      </c>
      <c r="O175" s="5">
        <v>0</v>
      </c>
      <c r="P175" s="5">
        <v>15.37</v>
      </c>
      <c r="Q175" s="5">
        <v>268383.55</v>
      </c>
      <c r="R175" s="1" t="s">
        <v>445</v>
      </c>
      <c r="S175" s="1" t="s">
        <v>124</v>
      </c>
      <c r="T175" s="4">
        <v>45292</v>
      </c>
      <c r="U175" s="4">
        <v>45542</v>
      </c>
      <c r="V175" s="1" t="s">
        <v>125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268383.55</v>
      </c>
      <c r="AH175" s="5">
        <v>2757.53</v>
      </c>
      <c r="AI175" s="5">
        <v>0</v>
      </c>
      <c r="AJ175" s="5">
        <v>0</v>
      </c>
      <c r="AK175" s="5">
        <v>0</v>
      </c>
      <c r="AL175" s="5">
        <v>2757.53</v>
      </c>
      <c r="AM175" s="5">
        <v>0</v>
      </c>
      <c r="AN175" s="5">
        <v>2757.53</v>
      </c>
      <c r="AO175" s="1" t="s">
        <v>434</v>
      </c>
    </row>
    <row r="176" spans="1:41" x14ac:dyDescent="0.25">
      <c r="A176" s="1">
        <f t="shared" si="2"/>
        <v>160</v>
      </c>
      <c r="B176" s="1" t="s">
        <v>446</v>
      </c>
      <c r="C176" s="1" t="s">
        <v>123</v>
      </c>
      <c r="D176" s="1" t="s">
        <v>124</v>
      </c>
      <c r="E176" s="4">
        <v>45292</v>
      </c>
      <c r="F176" s="4">
        <v>45542</v>
      </c>
      <c r="G176" s="1" t="s">
        <v>125</v>
      </c>
      <c r="H176" s="5">
        <v>2385500</v>
      </c>
      <c r="I176" s="5">
        <v>90000</v>
      </c>
      <c r="J176" s="5">
        <v>25500</v>
      </c>
      <c r="K176" s="5">
        <v>35100</v>
      </c>
      <c r="L176" s="5">
        <v>0</v>
      </c>
      <c r="M176" s="5">
        <v>150600</v>
      </c>
      <c r="N176" s="5">
        <v>2064900</v>
      </c>
      <c r="O176" s="5">
        <v>85000</v>
      </c>
      <c r="P176" s="5">
        <v>85000</v>
      </c>
      <c r="Q176" s="5">
        <v>2234900</v>
      </c>
      <c r="R176" s="1" t="s">
        <v>447</v>
      </c>
      <c r="S176" s="1" t="s">
        <v>124</v>
      </c>
      <c r="T176" s="4">
        <v>45292</v>
      </c>
      <c r="U176" s="4">
        <v>45542</v>
      </c>
      <c r="V176" s="1" t="s">
        <v>125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2234900</v>
      </c>
      <c r="AH176" s="5">
        <v>472970</v>
      </c>
      <c r="AI176" s="5">
        <v>0</v>
      </c>
      <c r="AJ176" s="5">
        <v>0</v>
      </c>
      <c r="AK176" s="5">
        <v>0</v>
      </c>
      <c r="AL176" s="5">
        <v>472970</v>
      </c>
      <c r="AM176" s="5">
        <v>0</v>
      </c>
      <c r="AN176" s="5">
        <v>472970</v>
      </c>
      <c r="AO176" s="1" t="s">
        <v>434</v>
      </c>
    </row>
    <row r="177" spans="1:41" x14ac:dyDescent="0.25">
      <c r="A177" s="1">
        <f t="shared" si="2"/>
        <v>161</v>
      </c>
      <c r="B177" s="1" t="s">
        <v>448</v>
      </c>
      <c r="C177" s="1" t="s">
        <v>123</v>
      </c>
      <c r="D177" s="1" t="s">
        <v>124</v>
      </c>
      <c r="E177" s="4">
        <v>45292</v>
      </c>
      <c r="F177" s="4">
        <v>45542</v>
      </c>
      <c r="G177" s="1" t="s">
        <v>125</v>
      </c>
      <c r="H177" s="5">
        <v>521400.52</v>
      </c>
      <c r="I177" s="5">
        <v>37266.67</v>
      </c>
      <c r="J177" s="5">
        <v>28050</v>
      </c>
      <c r="K177" s="5">
        <v>24872.5</v>
      </c>
      <c r="L177" s="5">
        <v>0</v>
      </c>
      <c r="M177" s="5">
        <v>90189.17</v>
      </c>
      <c r="N177" s="5">
        <v>422327.5</v>
      </c>
      <c r="O177" s="5">
        <v>0</v>
      </c>
      <c r="P177" s="5">
        <v>8883.85</v>
      </c>
      <c r="Q177" s="5">
        <v>431211.35</v>
      </c>
      <c r="R177" s="1" t="s">
        <v>449</v>
      </c>
      <c r="S177" s="1" t="s">
        <v>124</v>
      </c>
      <c r="T177" s="4">
        <v>45292</v>
      </c>
      <c r="U177" s="4">
        <v>45542</v>
      </c>
      <c r="V177" s="1" t="s">
        <v>125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431211.35</v>
      </c>
      <c r="AH177" s="5">
        <v>28742.27</v>
      </c>
      <c r="AI177" s="5">
        <v>0</v>
      </c>
      <c r="AJ177" s="5">
        <v>0</v>
      </c>
      <c r="AK177" s="5">
        <v>0</v>
      </c>
      <c r="AL177" s="5">
        <v>28742.27</v>
      </c>
      <c r="AM177" s="5">
        <v>0</v>
      </c>
      <c r="AN177" s="5">
        <v>28742.27</v>
      </c>
      <c r="AO177" s="1" t="s">
        <v>434</v>
      </c>
    </row>
    <row r="178" spans="1:41" x14ac:dyDescent="0.25">
      <c r="A178" s="1">
        <f t="shared" si="2"/>
        <v>162</v>
      </c>
      <c r="B178" s="1" t="s">
        <v>450</v>
      </c>
      <c r="C178" s="1" t="s">
        <v>123</v>
      </c>
      <c r="D178" s="1" t="s">
        <v>124</v>
      </c>
      <c r="E178" s="4">
        <v>45292</v>
      </c>
      <c r="F178" s="4">
        <v>45542</v>
      </c>
      <c r="G178" s="1" t="s">
        <v>125</v>
      </c>
      <c r="H178" s="5">
        <v>352533.11</v>
      </c>
      <c r="I178" s="5">
        <v>24725</v>
      </c>
      <c r="J178" s="5">
        <v>20000</v>
      </c>
      <c r="K178" s="5">
        <v>20704.990000000002</v>
      </c>
      <c r="L178" s="5">
        <v>10000</v>
      </c>
      <c r="M178" s="5">
        <v>75429.990000000005</v>
      </c>
      <c r="N178" s="5">
        <v>275995.01</v>
      </c>
      <c r="O178" s="5">
        <v>0</v>
      </c>
      <c r="P178" s="5">
        <v>1108.1099999999999</v>
      </c>
      <c r="Q178" s="5">
        <v>277103.12</v>
      </c>
      <c r="R178" s="1" t="s">
        <v>451</v>
      </c>
      <c r="S178" s="1" t="s">
        <v>124</v>
      </c>
      <c r="T178" s="4">
        <v>45292</v>
      </c>
      <c r="U178" s="4">
        <v>45542</v>
      </c>
      <c r="V178" s="1" t="s">
        <v>125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277103.12</v>
      </c>
      <c r="AH178" s="5">
        <v>4065.47</v>
      </c>
      <c r="AI178" s="5">
        <v>0</v>
      </c>
      <c r="AJ178" s="5">
        <v>0</v>
      </c>
      <c r="AK178" s="5">
        <v>0</v>
      </c>
      <c r="AL178" s="5">
        <v>4065.47</v>
      </c>
      <c r="AM178" s="5">
        <v>0</v>
      </c>
      <c r="AN178" s="5">
        <v>4065.47</v>
      </c>
      <c r="AO178" s="1" t="s">
        <v>434</v>
      </c>
    </row>
    <row r="179" spans="1:41" x14ac:dyDescent="0.25">
      <c r="A179" s="1">
        <f t="shared" si="2"/>
        <v>163</v>
      </c>
      <c r="B179" s="1" t="s">
        <v>452</v>
      </c>
      <c r="C179" s="1" t="s">
        <v>123</v>
      </c>
      <c r="D179" s="1" t="s">
        <v>124</v>
      </c>
      <c r="E179" s="4">
        <v>45292</v>
      </c>
      <c r="F179" s="4">
        <v>45542</v>
      </c>
      <c r="G179" s="1" t="s">
        <v>125</v>
      </c>
      <c r="H179" s="5">
        <v>809516.83</v>
      </c>
      <c r="I179" s="5">
        <v>58579.17</v>
      </c>
      <c r="J179" s="5">
        <v>28050</v>
      </c>
      <c r="K179" s="5">
        <v>31423.75</v>
      </c>
      <c r="L179" s="5">
        <v>0</v>
      </c>
      <c r="M179" s="5">
        <v>118052.92</v>
      </c>
      <c r="N179" s="5">
        <v>671526.25</v>
      </c>
      <c r="O179" s="5">
        <v>0</v>
      </c>
      <c r="P179" s="5">
        <v>19937.66</v>
      </c>
      <c r="Q179" s="5">
        <v>691463.91</v>
      </c>
      <c r="R179" s="1" t="s">
        <v>453</v>
      </c>
      <c r="S179" s="1" t="s">
        <v>124</v>
      </c>
      <c r="T179" s="4">
        <v>45292</v>
      </c>
      <c r="U179" s="4">
        <v>45542</v>
      </c>
      <c r="V179" s="1" t="s">
        <v>125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691463.91</v>
      </c>
      <c r="AH179" s="5">
        <v>80792.78</v>
      </c>
      <c r="AI179" s="5">
        <v>0</v>
      </c>
      <c r="AJ179" s="5">
        <v>0</v>
      </c>
      <c r="AK179" s="5">
        <v>0</v>
      </c>
      <c r="AL179" s="5">
        <v>80792.78</v>
      </c>
      <c r="AM179" s="5">
        <v>0</v>
      </c>
      <c r="AN179" s="5">
        <v>80792.78</v>
      </c>
      <c r="AO179" s="1" t="s">
        <v>434</v>
      </c>
    </row>
    <row r="180" spans="1:41" x14ac:dyDescent="0.25">
      <c r="A180" s="1">
        <f t="shared" si="2"/>
        <v>164</v>
      </c>
      <c r="B180" s="1" t="s">
        <v>454</v>
      </c>
      <c r="C180" s="1" t="s">
        <v>123</v>
      </c>
      <c r="D180" s="1" t="s">
        <v>124</v>
      </c>
      <c r="E180" s="4">
        <v>45292</v>
      </c>
      <c r="F180" s="4">
        <v>45542</v>
      </c>
      <c r="G180" s="1" t="s">
        <v>125</v>
      </c>
      <c r="H180" s="5">
        <v>615278.9</v>
      </c>
      <c r="I180" s="5">
        <v>45036.22</v>
      </c>
      <c r="J180" s="5">
        <v>28050</v>
      </c>
      <c r="K180" s="5">
        <v>27429.47</v>
      </c>
      <c r="L180" s="5">
        <v>1600</v>
      </c>
      <c r="M180" s="5">
        <v>102115.69</v>
      </c>
      <c r="N180" s="5">
        <v>513005.16</v>
      </c>
      <c r="O180" s="5">
        <v>0</v>
      </c>
      <c r="P180" s="5">
        <v>158.05000000000001</v>
      </c>
      <c r="Q180" s="5">
        <v>513163.21</v>
      </c>
      <c r="R180" s="1" t="s">
        <v>455</v>
      </c>
      <c r="S180" s="1" t="s">
        <v>124</v>
      </c>
      <c r="T180" s="4">
        <v>45292</v>
      </c>
      <c r="U180" s="4">
        <v>45542</v>
      </c>
      <c r="V180" s="1" t="s">
        <v>125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513163.21</v>
      </c>
      <c r="AH180" s="5">
        <v>45132.639999999999</v>
      </c>
      <c r="AI180" s="5">
        <v>0</v>
      </c>
      <c r="AJ180" s="5">
        <v>0</v>
      </c>
      <c r="AK180" s="5">
        <v>0</v>
      </c>
      <c r="AL180" s="5">
        <v>45132.639999999999</v>
      </c>
      <c r="AM180" s="5">
        <v>0</v>
      </c>
      <c r="AN180" s="5">
        <v>45132.639999999999</v>
      </c>
      <c r="AO180" s="1" t="s">
        <v>434</v>
      </c>
    </row>
    <row r="181" spans="1:41" x14ac:dyDescent="0.25">
      <c r="A181" s="1">
        <f t="shared" si="2"/>
        <v>165</v>
      </c>
      <c r="B181" s="1" t="s">
        <v>456</v>
      </c>
      <c r="C181" s="1" t="s">
        <v>123</v>
      </c>
      <c r="D181" s="1" t="s">
        <v>124</v>
      </c>
      <c r="E181" s="4">
        <v>45292</v>
      </c>
      <c r="F181" s="4">
        <v>45542</v>
      </c>
      <c r="G181" s="1" t="s">
        <v>125</v>
      </c>
      <c r="H181" s="5">
        <v>2385338.65</v>
      </c>
      <c r="I181" s="5">
        <v>90000</v>
      </c>
      <c r="J181" s="5">
        <v>34000</v>
      </c>
      <c r="K181" s="5">
        <v>35100</v>
      </c>
      <c r="L181" s="5">
        <v>20000</v>
      </c>
      <c r="M181" s="5">
        <v>179100</v>
      </c>
      <c r="N181" s="5">
        <v>1886962.51</v>
      </c>
      <c r="O181" s="5">
        <v>234276.14</v>
      </c>
      <c r="P181" s="5">
        <v>85000</v>
      </c>
      <c r="Q181" s="5">
        <v>2206238.65</v>
      </c>
      <c r="R181" s="1" t="s">
        <v>457</v>
      </c>
      <c r="S181" s="1" t="s">
        <v>124</v>
      </c>
      <c r="T181" s="4">
        <v>45292</v>
      </c>
      <c r="U181" s="4">
        <v>45542</v>
      </c>
      <c r="V181" s="1" t="s">
        <v>125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2206238.65</v>
      </c>
      <c r="AH181" s="5">
        <v>464371.6</v>
      </c>
      <c r="AI181" s="5">
        <v>0</v>
      </c>
      <c r="AJ181" s="5">
        <v>0</v>
      </c>
      <c r="AK181" s="5">
        <v>0</v>
      </c>
      <c r="AL181" s="5">
        <v>464371.6</v>
      </c>
      <c r="AM181" s="5">
        <v>0</v>
      </c>
      <c r="AN181" s="5">
        <v>464371.6</v>
      </c>
      <c r="AO181" s="1" t="s">
        <v>434</v>
      </c>
    </row>
    <row r="182" spans="1:41" x14ac:dyDescent="0.25">
      <c r="A182" s="1">
        <f t="shared" si="2"/>
        <v>166</v>
      </c>
      <c r="B182" s="1" t="s">
        <v>458</v>
      </c>
      <c r="C182" s="1" t="s">
        <v>123</v>
      </c>
      <c r="D182" s="1" t="s">
        <v>124</v>
      </c>
      <c r="E182" s="4">
        <v>45292</v>
      </c>
      <c r="F182" s="4">
        <v>45542</v>
      </c>
      <c r="G182" s="1" t="s">
        <v>125</v>
      </c>
      <c r="H182" s="5">
        <v>1014126</v>
      </c>
      <c r="I182" s="5">
        <v>75852</v>
      </c>
      <c r="J182" s="5">
        <v>28050</v>
      </c>
      <c r="K182" s="5">
        <v>35100</v>
      </c>
      <c r="L182" s="5">
        <v>0</v>
      </c>
      <c r="M182" s="5">
        <v>139002</v>
      </c>
      <c r="N182" s="5">
        <v>875124</v>
      </c>
      <c r="O182" s="5">
        <v>0</v>
      </c>
      <c r="P182" s="5">
        <v>0</v>
      </c>
      <c r="Q182" s="5">
        <v>875124</v>
      </c>
      <c r="R182" s="1" t="s">
        <v>459</v>
      </c>
      <c r="S182" s="1" t="s">
        <v>124</v>
      </c>
      <c r="T182" s="4">
        <v>45292</v>
      </c>
      <c r="U182" s="4">
        <v>45542</v>
      </c>
      <c r="V182" s="1" t="s">
        <v>125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875124</v>
      </c>
      <c r="AH182" s="5">
        <v>121281</v>
      </c>
      <c r="AI182" s="5">
        <v>0</v>
      </c>
      <c r="AJ182" s="5">
        <v>0</v>
      </c>
      <c r="AK182" s="5">
        <v>0</v>
      </c>
      <c r="AL182" s="5">
        <v>121281</v>
      </c>
      <c r="AM182" s="5">
        <v>0</v>
      </c>
      <c r="AN182" s="5">
        <v>121281</v>
      </c>
      <c r="AO182" s="1" t="s">
        <v>434</v>
      </c>
    </row>
    <row r="183" spans="1:41" x14ac:dyDescent="0.25">
      <c r="A183" s="1">
        <f t="shared" si="2"/>
        <v>167</v>
      </c>
      <c r="B183" s="1" t="s">
        <v>460</v>
      </c>
      <c r="C183" s="1" t="s">
        <v>123</v>
      </c>
      <c r="D183" s="1" t="s">
        <v>124</v>
      </c>
      <c r="E183" s="4">
        <v>45292</v>
      </c>
      <c r="F183" s="4">
        <v>45542</v>
      </c>
      <c r="G183" s="1" t="s">
        <v>125</v>
      </c>
      <c r="H183" s="5">
        <v>872630.66</v>
      </c>
      <c r="I183" s="5">
        <v>90000</v>
      </c>
      <c r="J183" s="5">
        <v>11000</v>
      </c>
      <c r="K183" s="5">
        <v>24300</v>
      </c>
      <c r="L183" s="5">
        <v>10000</v>
      </c>
      <c r="M183" s="5">
        <v>135300</v>
      </c>
      <c r="N183" s="5">
        <v>680701.38</v>
      </c>
      <c r="O183" s="5">
        <v>1629.28</v>
      </c>
      <c r="P183" s="5">
        <v>55000</v>
      </c>
      <c r="Q183" s="5">
        <v>737330.66</v>
      </c>
      <c r="R183" s="1" t="s">
        <v>461</v>
      </c>
      <c r="S183" s="1" t="s">
        <v>124</v>
      </c>
      <c r="T183" s="4">
        <v>45292</v>
      </c>
      <c r="U183" s="4">
        <v>45542</v>
      </c>
      <c r="V183" s="1" t="s">
        <v>125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737330.66</v>
      </c>
      <c r="AH183" s="5">
        <v>89966.13</v>
      </c>
      <c r="AI183" s="5">
        <v>0</v>
      </c>
      <c r="AJ183" s="5">
        <v>0</v>
      </c>
      <c r="AK183" s="5">
        <v>0</v>
      </c>
      <c r="AL183" s="5">
        <v>89966.13</v>
      </c>
      <c r="AM183" s="5">
        <v>0</v>
      </c>
      <c r="AN183" s="5">
        <v>89966.13</v>
      </c>
      <c r="AO183" s="1" t="s">
        <v>434</v>
      </c>
    </row>
    <row r="184" spans="1:41" x14ac:dyDescent="0.25">
      <c r="A184" s="1">
        <f t="shared" si="2"/>
        <v>168</v>
      </c>
      <c r="B184" s="1" t="s">
        <v>462</v>
      </c>
      <c r="C184" s="1" t="s">
        <v>123</v>
      </c>
      <c r="D184" s="1" t="s">
        <v>124</v>
      </c>
      <c r="E184" s="4">
        <v>45292</v>
      </c>
      <c r="F184" s="4">
        <v>45542</v>
      </c>
      <c r="G184" s="1" t="s">
        <v>125</v>
      </c>
      <c r="H184" s="5">
        <v>1520680</v>
      </c>
      <c r="I184" s="5">
        <v>90000</v>
      </c>
      <c r="J184" s="5">
        <v>17000</v>
      </c>
      <c r="K184" s="5">
        <v>35100</v>
      </c>
      <c r="L184" s="5">
        <v>10000</v>
      </c>
      <c r="M184" s="5">
        <v>152100</v>
      </c>
      <c r="N184" s="5">
        <v>1265220</v>
      </c>
      <c r="O184" s="5">
        <v>18360</v>
      </c>
      <c r="P184" s="5">
        <v>85000</v>
      </c>
      <c r="Q184" s="5">
        <v>1368580</v>
      </c>
      <c r="R184" s="1" t="s">
        <v>463</v>
      </c>
      <c r="S184" s="1" t="s">
        <v>124</v>
      </c>
      <c r="T184" s="4">
        <v>45292</v>
      </c>
      <c r="U184" s="4">
        <v>45542</v>
      </c>
      <c r="V184" s="1" t="s">
        <v>125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1368580</v>
      </c>
      <c r="AH184" s="5">
        <v>244645</v>
      </c>
      <c r="AI184" s="5">
        <v>0</v>
      </c>
      <c r="AJ184" s="5">
        <v>0</v>
      </c>
      <c r="AK184" s="5">
        <v>0</v>
      </c>
      <c r="AL184" s="5">
        <v>244645</v>
      </c>
      <c r="AM184" s="5">
        <v>0</v>
      </c>
      <c r="AN184" s="5">
        <v>244645</v>
      </c>
      <c r="AO184" s="1" t="s">
        <v>434</v>
      </c>
    </row>
    <row r="185" spans="1:41" x14ac:dyDescent="0.25">
      <c r="A185" s="1">
        <f t="shared" si="2"/>
        <v>169</v>
      </c>
      <c r="B185" s="1" t="s">
        <v>464</v>
      </c>
      <c r="C185" s="1" t="s">
        <v>123</v>
      </c>
      <c r="D185" s="1" t="s">
        <v>124</v>
      </c>
      <c r="E185" s="4">
        <v>45292</v>
      </c>
      <c r="F185" s="4">
        <v>45542</v>
      </c>
      <c r="G185" s="1" t="s">
        <v>125</v>
      </c>
      <c r="H185" s="5">
        <v>1728838.42</v>
      </c>
      <c r="I185" s="5">
        <v>90000</v>
      </c>
      <c r="J185" s="5">
        <v>17000</v>
      </c>
      <c r="K185" s="5">
        <v>35100</v>
      </c>
      <c r="L185" s="5">
        <v>0</v>
      </c>
      <c r="M185" s="5">
        <v>142100</v>
      </c>
      <c r="N185" s="5">
        <v>1466597</v>
      </c>
      <c r="O185" s="5">
        <v>35141.42</v>
      </c>
      <c r="P185" s="5">
        <v>85000</v>
      </c>
      <c r="Q185" s="5">
        <v>1586738.42</v>
      </c>
      <c r="R185" s="1" t="s">
        <v>465</v>
      </c>
      <c r="S185" s="1" t="s">
        <v>124</v>
      </c>
      <c r="T185" s="4">
        <v>45292</v>
      </c>
      <c r="U185" s="4">
        <v>45542</v>
      </c>
      <c r="V185" s="1" t="s">
        <v>125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1586738.42</v>
      </c>
      <c r="AH185" s="5">
        <v>299184.61</v>
      </c>
      <c r="AI185" s="5">
        <v>0</v>
      </c>
      <c r="AJ185" s="5">
        <v>0</v>
      </c>
      <c r="AK185" s="5">
        <v>0</v>
      </c>
      <c r="AL185" s="5">
        <v>299184.61</v>
      </c>
      <c r="AM185" s="5">
        <v>0</v>
      </c>
      <c r="AN185" s="5">
        <v>299184.61</v>
      </c>
      <c r="AO185" s="1" t="s">
        <v>127</v>
      </c>
    </row>
    <row r="186" spans="1:41" x14ac:dyDescent="0.25">
      <c r="A186" s="1">
        <f t="shared" si="2"/>
        <v>170</v>
      </c>
      <c r="B186" s="1" t="s">
        <v>466</v>
      </c>
      <c r="C186" s="1" t="s">
        <v>123</v>
      </c>
      <c r="D186" s="1" t="s">
        <v>124</v>
      </c>
      <c r="E186" s="4">
        <v>45292</v>
      </c>
      <c r="F186" s="4">
        <v>45542</v>
      </c>
      <c r="G186" s="1" t="s">
        <v>125</v>
      </c>
      <c r="H186" s="5">
        <v>920875.83</v>
      </c>
      <c r="I186" s="5">
        <v>67400</v>
      </c>
      <c r="J186" s="5">
        <v>21750</v>
      </c>
      <c r="K186" s="5">
        <v>34070</v>
      </c>
      <c r="L186" s="5">
        <v>0</v>
      </c>
      <c r="M186" s="5">
        <v>123220</v>
      </c>
      <c r="N186" s="5">
        <v>774730</v>
      </c>
      <c r="O186" s="5">
        <v>0</v>
      </c>
      <c r="P186" s="5">
        <v>22925.83</v>
      </c>
      <c r="Q186" s="5">
        <v>797655.83</v>
      </c>
      <c r="R186" s="1" t="s">
        <v>467</v>
      </c>
      <c r="S186" s="1" t="s">
        <v>124</v>
      </c>
      <c r="T186" s="4">
        <v>45292</v>
      </c>
      <c r="U186" s="4">
        <v>45542</v>
      </c>
      <c r="V186" s="1" t="s">
        <v>125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797655.83</v>
      </c>
      <c r="AH186" s="5">
        <v>102031.17</v>
      </c>
      <c r="AI186" s="5">
        <v>0</v>
      </c>
      <c r="AJ186" s="5">
        <v>0</v>
      </c>
      <c r="AK186" s="5">
        <v>0</v>
      </c>
      <c r="AL186" s="5">
        <v>102031.17</v>
      </c>
      <c r="AM186" s="5">
        <v>0</v>
      </c>
      <c r="AN186" s="5">
        <v>102031.17</v>
      </c>
      <c r="AO186" s="1" t="s">
        <v>434</v>
      </c>
    </row>
    <row r="187" spans="1:41" x14ac:dyDescent="0.25">
      <c r="A187" s="1">
        <f t="shared" si="2"/>
        <v>171</v>
      </c>
      <c r="B187" s="1" t="s">
        <v>468</v>
      </c>
      <c r="C187" s="1" t="s">
        <v>123</v>
      </c>
      <c r="D187" s="1" t="s">
        <v>124</v>
      </c>
      <c r="E187" s="4">
        <v>45292</v>
      </c>
      <c r="F187" s="4">
        <v>45542</v>
      </c>
      <c r="G187" s="1" t="s">
        <v>125</v>
      </c>
      <c r="H187" s="5">
        <v>325293.78999999998</v>
      </c>
      <c r="I187" s="5">
        <v>23750</v>
      </c>
      <c r="J187" s="5">
        <v>16500</v>
      </c>
      <c r="K187" s="5">
        <v>20435</v>
      </c>
      <c r="L187" s="5">
        <v>0</v>
      </c>
      <c r="M187" s="5">
        <v>60685</v>
      </c>
      <c r="N187" s="5">
        <v>264565</v>
      </c>
      <c r="O187" s="5">
        <v>0</v>
      </c>
      <c r="P187" s="5">
        <v>43.79</v>
      </c>
      <c r="Q187" s="5">
        <v>264608.78999999998</v>
      </c>
      <c r="R187" s="1" t="s">
        <v>469</v>
      </c>
      <c r="S187" s="1" t="s">
        <v>124</v>
      </c>
      <c r="T187" s="4">
        <v>45292</v>
      </c>
      <c r="U187" s="4">
        <v>45542</v>
      </c>
      <c r="V187" s="1" t="s">
        <v>125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264608.78999999998</v>
      </c>
      <c r="AH187" s="5">
        <v>2191.3200000000002</v>
      </c>
      <c r="AI187" s="5">
        <v>0</v>
      </c>
      <c r="AJ187" s="5">
        <v>0</v>
      </c>
      <c r="AK187" s="5">
        <v>0</v>
      </c>
      <c r="AL187" s="5">
        <v>2191.3200000000002</v>
      </c>
      <c r="AM187" s="5">
        <v>0</v>
      </c>
      <c r="AN187" s="5">
        <v>2191.3200000000002</v>
      </c>
      <c r="AO187" s="1" t="s">
        <v>434</v>
      </c>
    </row>
    <row r="188" spans="1:41" x14ac:dyDescent="0.25">
      <c r="A188" s="1">
        <f t="shared" si="2"/>
        <v>172</v>
      </c>
      <c r="B188" s="1" t="s">
        <v>470</v>
      </c>
      <c r="C188" s="1" t="s">
        <v>123</v>
      </c>
      <c r="D188" s="1" t="s">
        <v>124</v>
      </c>
      <c r="E188" s="4">
        <v>45292</v>
      </c>
      <c r="F188" s="4">
        <v>45542</v>
      </c>
      <c r="G188" s="1" t="s">
        <v>125</v>
      </c>
      <c r="H188" s="5">
        <v>483266.83</v>
      </c>
      <c r="I188" s="5">
        <v>35500</v>
      </c>
      <c r="J188" s="5">
        <v>21750</v>
      </c>
      <c r="K188" s="5">
        <v>24275</v>
      </c>
      <c r="L188" s="5">
        <v>0</v>
      </c>
      <c r="M188" s="5">
        <v>81525</v>
      </c>
      <c r="N188" s="5">
        <v>401725</v>
      </c>
      <c r="O188" s="5">
        <v>0</v>
      </c>
      <c r="P188" s="5">
        <v>16.829999999999998</v>
      </c>
      <c r="Q188" s="5">
        <v>401741.83</v>
      </c>
      <c r="R188" s="1" t="s">
        <v>471</v>
      </c>
      <c r="S188" s="1" t="s">
        <v>124</v>
      </c>
      <c r="T188" s="4">
        <v>45292</v>
      </c>
      <c r="U188" s="4">
        <v>45542</v>
      </c>
      <c r="V188" s="1" t="s">
        <v>125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401741.83</v>
      </c>
      <c r="AH188" s="5">
        <v>22848.37</v>
      </c>
      <c r="AI188" s="5">
        <v>0</v>
      </c>
      <c r="AJ188" s="5">
        <v>0</v>
      </c>
      <c r="AK188" s="5">
        <v>0</v>
      </c>
      <c r="AL188" s="5">
        <v>22848.37</v>
      </c>
      <c r="AM188" s="5">
        <v>0</v>
      </c>
      <c r="AN188" s="5">
        <v>22848.37</v>
      </c>
      <c r="AO188" s="1" t="s">
        <v>434</v>
      </c>
    </row>
    <row r="189" spans="1:41" x14ac:dyDescent="0.25">
      <c r="A189" s="1">
        <f t="shared" si="2"/>
        <v>173</v>
      </c>
      <c r="B189" s="1" t="s">
        <v>472</v>
      </c>
      <c r="C189" s="1" t="s">
        <v>123</v>
      </c>
      <c r="D189" s="1" t="s">
        <v>124</v>
      </c>
      <c r="E189" s="4">
        <v>45292</v>
      </c>
      <c r="F189" s="4">
        <v>45542</v>
      </c>
      <c r="G189" s="1" t="s">
        <v>125</v>
      </c>
      <c r="H189" s="5">
        <v>1851583.33</v>
      </c>
      <c r="I189" s="5">
        <v>90000</v>
      </c>
      <c r="J189" s="5">
        <v>17000</v>
      </c>
      <c r="K189" s="5">
        <v>35100</v>
      </c>
      <c r="L189" s="5">
        <v>0</v>
      </c>
      <c r="M189" s="5">
        <v>142100</v>
      </c>
      <c r="N189" s="5">
        <v>1579900</v>
      </c>
      <c r="O189" s="5">
        <v>44583.33</v>
      </c>
      <c r="P189" s="5">
        <v>85000</v>
      </c>
      <c r="Q189" s="5">
        <v>1709483.33</v>
      </c>
      <c r="R189" s="1" t="s">
        <v>473</v>
      </c>
      <c r="S189" s="1" t="s">
        <v>124</v>
      </c>
      <c r="T189" s="4">
        <v>45292</v>
      </c>
      <c r="U189" s="4">
        <v>45542</v>
      </c>
      <c r="V189" s="1" t="s">
        <v>125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1709483.33</v>
      </c>
      <c r="AH189" s="5">
        <v>329870.83</v>
      </c>
      <c r="AI189" s="5">
        <v>0</v>
      </c>
      <c r="AJ189" s="5">
        <v>0</v>
      </c>
      <c r="AK189" s="5">
        <v>0</v>
      </c>
      <c r="AL189" s="5">
        <v>329870.83</v>
      </c>
      <c r="AM189" s="5">
        <v>0</v>
      </c>
      <c r="AN189" s="5">
        <v>329870.83</v>
      </c>
      <c r="AO189" s="1" t="s">
        <v>434</v>
      </c>
    </row>
    <row r="190" spans="1:41" x14ac:dyDescent="0.25">
      <c r="A190" s="1">
        <f t="shared" si="2"/>
        <v>174</v>
      </c>
      <c r="B190" s="1" t="s">
        <v>478</v>
      </c>
      <c r="C190" s="1" t="s">
        <v>123</v>
      </c>
      <c r="D190" s="1" t="s">
        <v>815</v>
      </c>
      <c r="E190" s="4">
        <v>45292</v>
      </c>
      <c r="F190" s="4">
        <v>45657</v>
      </c>
      <c r="G190" s="1" t="s">
        <v>125</v>
      </c>
      <c r="H190" s="5">
        <v>2894029.19</v>
      </c>
      <c r="I190" s="5">
        <v>90000</v>
      </c>
      <c r="J190" s="5">
        <v>36000</v>
      </c>
      <c r="K190" s="5">
        <v>48500</v>
      </c>
      <c r="L190" s="5">
        <v>0</v>
      </c>
      <c r="M190" s="5">
        <v>174500</v>
      </c>
      <c r="N190" s="5">
        <v>2470690</v>
      </c>
      <c r="O190" s="5">
        <v>119932.5</v>
      </c>
      <c r="P190" s="5">
        <v>128906.69</v>
      </c>
      <c r="Q190" s="5">
        <v>2719529.19</v>
      </c>
      <c r="R190" s="1" t="s">
        <v>817</v>
      </c>
      <c r="S190" s="1" t="s">
        <v>124</v>
      </c>
      <c r="T190" s="4">
        <v>45292</v>
      </c>
      <c r="U190" s="4">
        <v>45657</v>
      </c>
      <c r="V190" s="1" t="s">
        <v>125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2719529.19</v>
      </c>
      <c r="AH190" s="5">
        <v>618358.76</v>
      </c>
      <c r="AI190" s="5">
        <v>0</v>
      </c>
      <c r="AJ190" s="5">
        <v>618357.96</v>
      </c>
      <c r="AK190" s="5">
        <v>0</v>
      </c>
      <c r="AL190" s="5">
        <v>0.8</v>
      </c>
      <c r="AM190" s="5">
        <v>0</v>
      </c>
      <c r="AN190" s="5">
        <v>618358.76</v>
      </c>
      <c r="AO190" s="1" t="s">
        <v>434</v>
      </c>
    </row>
    <row r="191" spans="1:41" x14ac:dyDescent="0.25">
      <c r="A191" s="1">
        <f t="shared" si="2"/>
        <v>175</v>
      </c>
      <c r="B191" s="1" t="s">
        <v>479</v>
      </c>
      <c r="C191" s="1" t="s">
        <v>123</v>
      </c>
      <c r="D191" s="1" t="s">
        <v>815</v>
      </c>
      <c r="E191" s="4">
        <v>45292</v>
      </c>
      <c r="F191" s="4">
        <v>45657</v>
      </c>
      <c r="G191" s="1" t="s">
        <v>125</v>
      </c>
      <c r="H191" s="5">
        <v>780634.27999999991</v>
      </c>
      <c r="I191" s="5">
        <v>56130.29</v>
      </c>
      <c r="J191" s="5">
        <v>39600</v>
      </c>
      <c r="K191" s="5">
        <v>35339.050000000003</v>
      </c>
      <c r="L191" s="5">
        <v>0</v>
      </c>
      <c r="M191" s="5">
        <v>131069.34</v>
      </c>
      <c r="N191" s="5">
        <v>638224.44999999995</v>
      </c>
      <c r="O191" s="5">
        <v>0</v>
      </c>
      <c r="P191" s="5">
        <v>11340.49</v>
      </c>
      <c r="Q191" s="5">
        <v>649564.93999999994</v>
      </c>
      <c r="R191" s="1" t="s">
        <v>818</v>
      </c>
      <c r="S191" s="1" t="s">
        <v>124</v>
      </c>
      <c r="T191" s="4">
        <v>45292</v>
      </c>
      <c r="U191" s="4">
        <v>45657</v>
      </c>
      <c r="V191" s="1" t="s">
        <v>125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649564.93999999994</v>
      </c>
      <c r="AH191" s="5">
        <v>72412.990000000005</v>
      </c>
      <c r="AI191" s="5">
        <v>0</v>
      </c>
      <c r="AJ191" s="5">
        <v>72411.42</v>
      </c>
      <c r="AK191" s="5">
        <v>0</v>
      </c>
      <c r="AL191" s="5">
        <v>1.57</v>
      </c>
      <c r="AM191" s="5">
        <v>0</v>
      </c>
      <c r="AN191" s="5">
        <v>72412.990000000005</v>
      </c>
      <c r="AO191" s="1" t="s">
        <v>434</v>
      </c>
    </row>
    <row r="192" spans="1:41" x14ac:dyDescent="0.25">
      <c r="A192" s="1">
        <f t="shared" si="2"/>
        <v>176</v>
      </c>
      <c r="B192" s="1" t="s">
        <v>480</v>
      </c>
      <c r="C192" s="1" t="s">
        <v>123</v>
      </c>
      <c r="D192" s="1" t="s">
        <v>815</v>
      </c>
      <c r="E192" s="4">
        <v>45292</v>
      </c>
      <c r="F192" s="4">
        <v>45657</v>
      </c>
      <c r="G192" s="1" t="s">
        <v>125</v>
      </c>
      <c r="H192" s="5">
        <v>2997603.3633333333</v>
      </c>
      <c r="I192" s="5">
        <v>90000</v>
      </c>
      <c r="J192" s="5">
        <v>36000</v>
      </c>
      <c r="K192" s="5">
        <v>48500</v>
      </c>
      <c r="L192" s="5">
        <v>0</v>
      </c>
      <c r="M192" s="5">
        <v>174500</v>
      </c>
      <c r="N192" s="5">
        <v>2572936.2999999998</v>
      </c>
      <c r="O192" s="5">
        <v>130167.06</v>
      </c>
      <c r="P192" s="5">
        <v>120000</v>
      </c>
      <c r="Q192" s="5">
        <v>2823103.36</v>
      </c>
      <c r="R192" s="1" t="s">
        <v>819</v>
      </c>
      <c r="S192" s="1" t="s">
        <v>124</v>
      </c>
      <c r="T192" s="4">
        <v>45292</v>
      </c>
      <c r="U192" s="4">
        <v>45657</v>
      </c>
      <c r="V192" s="1" t="s">
        <v>125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2823103.36</v>
      </c>
      <c r="AH192" s="5">
        <v>649431.01</v>
      </c>
      <c r="AI192" s="5">
        <v>0</v>
      </c>
      <c r="AJ192" s="5">
        <v>649430.21</v>
      </c>
      <c r="AK192" s="5">
        <v>0</v>
      </c>
      <c r="AL192" s="5">
        <v>0.8</v>
      </c>
      <c r="AM192" s="5">
        <v>0</v>
      </c>
      <c r="AN192" s="5">
        <v>649431.01</v>
      </c>
      <c r="AO192" s="1" t="s">
        <v>434</v>
      </c>
    </row>
    <row r="193" spans="1:41" x14ac:dyDescent="0.25">
      <c r="A193" s="1">
        <f t="shared" si="2"/>
        <v>177</v>
      </c>
      <c r="B193" s="1" t="s">
        <v>481</v>
      </c>
      <c r="C193" s="1" t="s">
        <v>123</v>
      </c>
      <c r="D193" s="1" t="s">
        <v>815</v>
      </c>
      <c r="E193" s="4">
        <v>45292</v>
      </c>
      <c r="F193" s="4">
        <v>45657</v>
      </c>
      <c r="G193" s="1" t="s">
        <v>125</v>
      </c>
      <c r="H193" s="5">
        <v>2635845.2033333331</v>
      </c>
      <c r="I193" s="5">
        <v>90000</v>
      </c>
      <c r="J193" s="5">
        <v>36000</v>
      </c>
      <c r="K193" s="5">
        <v>48500</v>
      </c>
      <c r="L193" s="5">
        <v>0</v>
      </c>
      <c r="M193" s="5">
        <v>174500</v>
      </c>
      <c r="N193" s="5">
        <v>2238908.7200000002</v>
      </c>
      <c r="O193" s="5">
        <v>100617.39</v>
      </c>
      <c r="P193" s="5">
        <v>121819.09</v>
      </c>
      <c r="Q193" s="5">
        <v>2461345.2000000002</v>
      </c>
      <c r="R193" s="1" t="s">
        <v>820</v>
      </c>
      <c r="S193" s="1" t="s">
        <v>124</v>
      </c>
      <c r="T193" s="4">
        <v>45292</v>
      </c>
      <c r="U193" s="4">
        <v>45657</v>
      </c>
      <c r="V193" s="1" t="s">
        <v>125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2461345.2000000002</v>
      </c>
      <c r="AH193" s="5">
        <v>540903.56000000006</v>
      </c>
      <c r="AI193" s="5">
        <v>0</v>
      </c>
      <c r="AJ193" s="5">
        <v>540452.76</v>
      </c>
      <c r="AK193" s="5">
        <v>0</v>
      </c>
      <c r="AL193" s="5">
        <v>450.8</v>
      </c>
      <c r="AM193" s="5">
        <v>0</v>
      </c>
      <c r="AN193" s="5">
        <v>540903.56000000006</v>
      </c>
      <c r="AO193" s="1" t="s">
        <v>434</v>
      </c>
    </row>
    <row r="194" spans="1:41" x14ac:dyDescent="0.25">
      <c r="A194" s="1">
        <f t="shared" si="2"/>
        <v>178</v>
      </c>
      <c r="B194" s="1" t="s">
        <v>482</v>
      </c>
      <c r="C194" s="1" t="s">
        <v>123</v>
      </c>
      <c r="D194" s="1" t="s">
        <v>815</v>
      </c>
      <c r="E194" s="4">
        <v>45292</v>
      </c>
      <c r="F194" s="4">
        <v>45657</v>
      </c>
      <c r="G194" s="1" t="s">
        <v>125</v>
      </c>
      <c r="H194" s="5">
        <v>3672240</v>
      </c>
      <c r="I194" s="5">
        <v>90000</v>
      </c>
      <c r="J194" s="5">
        <v>36000</v>
      </c>
      <c r="K194" s="5">
        <v>48500</v>
      </c>
      <c r="L194" s="5">
        <v>0</v>
      </c>
      <c r="M194" s="5">
        <v>174500</v>
      </c>
      <c r="N194" s="5">
        <v>3197260</v>
      </c>
      <c r="O194" s="5">
        <v>180480</v>
      </c>
      <c r="P194" s="5">
        <v>120000</v>
      </c>
      <c r="Q194" s="5">
        <v>3497740</v>
      </c>
      <c r="R194" s="1" t="s">
        <v>821</v>
      </c>
      <c r="S194" s="1" t="s">
        <v>124</v>
      </c>
      <c r="T194" s="4">
        <v>45292</v>
      </c>
      <c r="U194" s="4">
        <v>45657</v>
      </c>
      <c r="V194" s="1" t="s">
        <v>125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3497740</v>
      </c>
      <c r="AH194" s="5">
        <v>851822</v>
      </c>
      <c r="AI194" s="5">
        <v>0</v>
      </c>
      <c r="AJ194" s="5">
        <v>851821.2</v>
      </c>
      <c r="AK194" s="5">
        <v>0</v>
      </c>
      <c r="AL194" s="5">
        <v>0.8</v>
      </c>
      <c r="AM194" s="5">
        <v>0</v>
      </c>
      <c r="AN194" s="5">
        <v>851822</v>
      </c>
      <c r="AO194" s="1" t="s">
        <v>434</v>
      </c>
    </row>
    <row r="195" spans="1:41" x14ac:dyDescent="0.25">
      <c r="A195" s="1">
        <f t="shared" si="2"/>
        <v>179</v>
      </c>
      <c r="B195" s="1" t="s">
        <v>483</v>
      </c>
      <c r="C195" s="1" t="s">
        <v>123</v>
      </c>
      <c r="D195" s="1" t="s">
        <v>815</v>
      </c>
      <c r="E195" s="4">
        <v>45292</v>
      </c>
      <c r="F195" s="4">
        <v>45657</v>
      </c>
      <c r="G195" s="1" t="s">
        <v>125</v>
      </c>
      <c r="H195" s="5">
        <v>2938184.4483333332</v>
      </c>
      <c r="I195" s="5">
        <v>90000</v>
      </c>
      <c r="J195" s="5">
        <v>36000</v>
      </c>
      <c r="K195" s="5">
        <v>48500</v>
      </c>
      <c r="L195" s="5">
        <v>0</v>
      </c>
      <c r="M195" s="5">
        <v>174500</v>
      </c>
      <c r="N195" s="5">
        <v>2519670.2599999998</v>
      </c>
      <c r="O195" s="5">
        <v>124014.19</v>
      </c>
      <c r="P195" s="5">
        <v>120000</v>
      </c>
      <c r="Q195" s="5">
        <v>2763684.45</v>
      </c>
      <c r="R195" s="1" t="s">
        <v>822</v>
      </c>
      <c r="S195" s="1" t="s">
        <v>124</v>
      </c>
      <c r="T195" s="4">
        <v>45292</v>
      </c>
      <c r="U195" s="4">
        <v>45657</v>
      </c>
      <c r="V195" s="1" t="s">
        <v>125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2763684.45</v>
      </c>
      <c r="AH195" s="5">
        <v>631605.32999999996</v>
      </c>
      <c r="AI195" s="5">
        <v>0</v>
      </c>
      <c r="AJ195" s="5">
        <v>631604.54</v>
      </c>
      <c r="AK195" s="5">
        <v>0</v>
      </c>
      <c r="AL195" s="5">
        <v>0.79</v>
      </c>
      <c r="AM195" s="5">
        <v>0</v>
      </c>
      <c r="AN195" s="5">
        <v>631605.32999999996</v>
      </c>
      <c r="AO195" s="1" t="s">
        <v>434</v>
      </c>
    </row>
    <row r="196" spans="1:41" x14ac:dyDescent="0.25">
      <c r="A196" s="1">
        <f t="shared" si="2"/>
        <v>180</v>
      </c>
      <c r="B196" s="1" t="s">
        <v>484</v>
      </c>
      <c r="C196" s="1" t="s">
        <v>123</v>
      </c>
      <c r="D196" s="1" t="s">
        <v>815</v>
      </c>
      <c r="E196" s="4">
        <v>45292</v>
      </c>
      <c r="F196" s="4">
        <v>45657</v>
      </c>
      <c r="G196" s="1" t="s">
        <v>125</v>
      </c>
      <c r="H196" s="5">
        <v>2192952.4458333333</v>
      </c>
      <c r="I196" s="5">
        <v>90000</v>
      </c>
      <c r="J196" s="5">
        <v>36000</v>
      </c>
      <c r="K196" s="5">
        <v>48500</v>
      </c>
      <c r="L196" s="5">
        <v>0</v>
      </c>
      <c r="M196" s="5">
        <v>174500</v>
      </c>
      <c r="N196" s="5">
        <v>1831652.39</v>
      </c>
      <c r="O196" s="5">
        <v>66679.37</v>
      </c>
      <c r="P196" s="5">
        <v>120120.69</v>
      </c>
      <c r="Q196" s="5">
        <v>2018452.45</v>
      </c>
      <c r="R196" s="1" t="s">
        <v>823</v>
      </c>
      <c r="S196" s="1" t="s">
        <v>124</v>
      </c>
      <c r="T196" s="4">
        <v>45292</v>
      </c>
      <c r="U196" s="4">
        <v>45657</v>
      </c>
      <c r="V196" s="1" t="s">
        <v>125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2018452.45</v>
      </c>
      <c r="AH196" s="5">
        <v>408035.73</v>
      </c>
      <c r="AI196" s="5">
        <v>0</v>
      </c>
      <c r="AJ196" s="5">
        <v>407469.19</v>
      </c>
      <c r="AK196" s="5">
        <v>0</v>
      </c>
      <c r="AL196" s="5">
        <v>566.54</v>
      </c>
      <c r="AM196" s="5">
        <v>0</v>
      </c>
      <c r="AN196" s="5">
        <v>408035.73</v>
      </c>
      <c r="AO196" s="1" t="s">
        <v>434</v>
      </c>
    </row>
    <row r="197" spans="1:41" x14ac:dyDescent="0.25">
      <c r="A197" s="1">
        <f t="shared" si="2"/>
        <v>181</v>
      </c>
      <c r="B197" s="1" t="s">
        <v>485</v>
      </c>
      <c r="C197" s="1" t="s">
        <v>123</v>
      </c>
      <c r="D197" s="1" t="s">
        <v>815</v>
      </c>
      <c r="E197" s="4">
        <v>45292</v>
      </c>
      <c r="F197" s="4">
        <v>45657</v>
      </c>
      <c r="G197" s="1" t="s">
        <v>125</v>
      </c>
      <c r="H197" s="5">
        <v>811865.40999999992</v>
      </c>
      <c r="I197" s="5">
        <v>55293.49</v>
      </c>
      <c r="J197" s="5">
        <v>39600</v>
      </c>
      <c r="K197" s="5">
        <v>35013.279999999999</v>
      </c>
      <c r="L197" s="5">
        <v>29450</v>
      </c>
      <c r="M197" s="5">
        <v>159356.76999999999</v>
      </c>
      <c r="N197" s="5">
        <v>628508.64</v>
      </c>
      <c r="O197" s="5">
        <v>0</v>
      </c>
      <c r="P197" s="5">
        <v>24000</v>
      </c>
      <c r="Q197" s="5">
        <v>652508.64</v>
      </c>
      <c r="R197" s="1" t="s">
        <v>824</v>
      </c>
      <c r="S197" s="1" t="s">
        <v>124</v>
      </c>
      <c r="T197" s="4">
        <v>45292</v>
      </c>
      <c r="U197" s="4">
        <v>45657</v>
      </c>
      <c r="V197" s="1" t="s">
        <v>125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652508.64</v>
      </c>
      <c r="AH197" s="5">
        <v>73001.73</v>
      </c>
      <c r="AI197" s="5">
        <v>0</v>
      </c>
      <c r="AJ197" s="5">
        <v>73143.58</v>
      </c>
      <c r="AK197" s="5">
        <v>0</v>
      </c>
      <c r="AL197" s="5">
        <v>0</v>
      </c>
      <c r="AM197" s="5">
        <v>141.85</v>
      </c>
      <c r="AN197" s="5">
        <v>73001.73</v>
      </c>
      <c r="AO197" s="1" t="s">
        <v>434</v>
      </c>
    </row>
    <row r="198" spans="1:41" x14ac:dyDescent="0.25">
      <c r="A198" s="1">
        <f t="shared" si="2"/>
        <v>182</v>
      </c>
      <c r="B198" s="1" t="s">
        <v>486</v>
      </c>
      <c r="C198" s="1" t="s">
        <v>123</v>
      </c>
      <c r="D198" s="1" t="s">
        <v>815</v>
      </c>
      <c r="E198" s="4">
        <v>45292</v>
      </c>
      <c r="F198" s="4">
        <v>45657</v>
      </c>
      <c r="G198" s="1" t="s">
        <v>125</v>
      </c>
      <c r="H198" s="5">
        <v>1111409.3799999999</v>
      </c>
      <c r="I198" s="5">
        <v>82446.880000000005</v>
      </c>
      <c r="J198" s="5">
        <v>39600</v>
      </c>
      <c r="K198" s="5">
        <v>43234.02</v>
      </c>
      <c r="L198" s="5">
        <v>0</v>
      </c>
      <c r="M198" s="5">
        <v>165280.9</v>
      </c>
      <c r="N198" s="5">
        <v>946128.48</v>
      </c>
      <c r="O198" s="5">
        <v>0</v>
      </c>
      <c r="P198" s="5">
        <v>0</v>
      </c>
      <c r="Q198" s="5">
        <v>946128.48</v>
      </c>
      <c r="R198" s="1" t="s">
        <v>825</v>
      </c>
      <c r="S198" s="1" t="s">
        <v>124</v>
      </c>
      <c r="T198" s="4">
        <v>45292</v>
      </c>
      <c r="U198" s="4">
        <v>45657</v>
      </c>
      <c r="V198" s="1" t="s">
        <v>125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946128.48</v>
      </c>
      <c r="AH198" s="5">
        <v>139032.12</v>
      </c>
      <c r="AI198" s="5">
        <v>0</v>
      </c>
      <c r="AJ198" s="5">
        <v>139030.99</v>
      </c>
      <c r="AK198" s="5">
        <v>0</v>
      </c>
      <c r="AL198" s="5">
        <v>1.1299999999999999</v>
      </c>
      <c r="AM198" s="5">
        <v>0</v>
      </c>
      <c r="AN198" s="5">
        <v>139032.12</v>
      </c>
      <c r="AO198" s="1" t="s">
        <v>434</v>
      </c>
    </row>
    <row r="199" spans="1:41" x14ac:dyDescent="0.25">
      <c r="A199" s="1">
        <f t="shared" si="2"/>
        <v>183</v>
      </c>
      <c r="B199" s="1" t="s">
        <v>487</v>
      </c>
      <c r="C199" s="1" t="s">
        <v>123</v>
      </c>
      <c r="D199" s="1" t="s">
        <v>815</v>
      </c>
      <c r="E199" s="4">
        <v>45292</v>
      </c>
      <c r="F199" s="4">
        <v>45657</v>
      </c>
      <c r="G199" s="1" t="s">
        <v>125</v>
      </c>
      <c r="H199" s="5">
        <v>1772331.0474999999</v>
      </c>
      <c r="I199" s="5">
        <v>90000</v>
      </c>
      <c r="J199" s="5">
        <v>36000</v>
      </c>
      <c r="K199" s="5">
        <v>48500</v>
      </c>
      <c r="L199" s="5">
        <v>0</v>
      </c>
      <c r="M199" s="5">
        <v>174500</v>
      </c>
      <c r="N199" s="5">
        <v>1443497.89</v>
      </c>
      <c r="O199" s="5">
        <v>34333.160000000003</v>
      </c>
      <c r="P199" s="5">
        <v>120000</v>
      </c>
      <c r="Q199" s="5">
        <v>1597831.05</v>
      </c>
      <c r="R199" s="1" t="s">
        <v>826</v>
      </c>
      <c r="S199" s="1" t="s">
        <v>124</v>
      </c>
      <c r="T199" s="4">
        <v>45292</v>
      </c>
      <c r="U199" s="4">
        <v>45657</v>
      </c>
      <c r="V199" s="1" t="s">
        <v>125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1597831.05</v>
      </c>
      <c r="AH199" s="5">
        <v>301957.76000000001</v>
      </c>
      <c r="AI199" s="5">
        <v>0</v>
      </c>
      <c r="AJ199" s="5">
        <v>301956.64</v>
      </c>
      <c r="AK199" s="5">
        <v>0</v>
      </c>
      <c r="AL199" s="5">
        <v>1.1200000000000001</v>
      </c>
      <c r="AM199" s="5">
        <v>0</v>
      </c>
      <c r="AN199" s="5">
        <v>301957.76000000001</v>
      </c>
      <c r="AO199" s="1" t="s">
        <v>434</v>
      </c>
    </row>
    <row r="200" spans="1:41" x14ac:dyDescent="0.25">
      <c r="A200" s="1">
        <f t="shared" si="2"/>
        <v>184</v>
      </c>
      <c r="B200" s="1" t="s">
        <v>488</v>
      </c>
      <c r="C200" s="1" t="s">
        <v>123</v>
      </c>
      <c r="D200" s="1" t="s">
        <v>815</v>
      </c>
      <c r="E200" s="4">
        <v>45292</v>
      </c>
      <c r="F200" s="4">
        <v>45657</v>
      </c>
      <c r="G200" s="1" t="s">
        <v>125</v>
      </c>
      <c r="H200" s="5">
        <v>1382887.2916666667</v>
      </c>
      <c r="I200" s="5">
        <v>90000</v>
      </c>
      <c r="J200" s="5">
        <v>39600</v>
      </c>
      <c r="K200" s="5">
        <v>47502.5</v>
      </c>
      <c r="L200" s="5">
        <v>0</v>
      </c>
      <c r="M200" s="5">
        <v>177102.5</v>
      </c>
      <c r="N200" s="5">
        <v>1192455</v>
      </c>
      <c r="O200" s="5">
        <v>13329.79</v>
      </c>
      <c r="P200" s="5">
        <v>0</v>
      </c>
      <c r="Q200" s="5">
        <v>1205784.79</v>
      </c>
      <c r="R200" s="1" t="s">
        <v>827</v>
      </c>
      <c r="S200" s="1" t="s">
        <v>124</v>
      </c>
      <c r="T200" s="4">
        <v>45292</v>
      </c>
      <c r="U200" s="4">
        <v>45657</v>
      </c>
      <c r="V200" s="1" t="s">
        <v>125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1205784.79</v>
      </c>
      <c r="AH200" s="5">
        <v>203946.2</v>
      </c>
      <c r="AI200" s="5">
        <v>0</v>
      </c>
      <c r="AJ200" s="5">
        <v>203945.12</v>
      </c>
      <c r="AK200" s="5">
        <v>0</v>
      </c>
      <c r="AL200" s="5">
        <v>1.08</v>
      </c>
      <c r="AM200" s="5">
        <v>0</v>
      </c>
      <c r="AN200" s="5">
        <v>203946.2</v>
      </c>
      <c r="AO200" s="1" t="s">
        <v>434</v>
      </c>
    </row>
    <row r="201" spans="1:41" x14ac:dyDescent="0.25">
      <c r="A201" s="1">
        <f t="shared" si="2"/>
        <v>185</v>
      </c>
      <c r="B201" s="1" t="s">
        <v>489</v>
      </c>
      <c r="C201" s="1" t="s">
        <v>123</v>
      </c>
      <c r="D201" s="1" t="s">
        <v>815</v>
      </c>
      <c r="E201" s="4">
        <v>45292</v>
      </c>
      <c r="F201" s="4">
        <v>45657</v>
      </c>
      <c r="G201" s="1" t="s">
        <v>125</v>
      </c>
      <c r="H201" s="5">
        <v>1015819.21</v>
      </c>
      <c r="I201" s="5">
        <v>73166.960000000006</v>
      </c>
      <c r="J201" s="5">
        <v>39600</v>
      </c>
      <c r="K201" s="5">
        <v>40450.050000000003</v>
      </c>
      <c r="L201" s="5">
        <v>10000</v>
      </c>
      <c r="M201" s="5">
        <v>163217.01</v>
      </c>
      <c r="N201" s="5">
        <v>837553.45</v>
      </c>
      <c r="O201" s="5">
        <v>0</v>
      </c>
      <c r="P201" s="5">
        <v>15048.75</v>
      </c>
      <c r="Q201" s="5">
        <v>852602.2</v>
      </c>
      <c r="R201" s="1" t="s">
        <v>828</v>
      </c>
      <c r="S201" s="1" t="s">
        <v>124</v>
      </c>
      <c r="T201" s="4">
        <v>45292</v>
      </c>
      <c r="U201" s="4">
        <v>45657</v>
      </c>
      <c r="V201" s="1" t="s">
        <v>125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852602.2</v>
      </c>
      <c r="AH201" s="5">
        <v>115650.55</v>
      </c>
      <c r="AI201" s="5">
        <v>0</v>
      </c>
      <c r="AJ201" s="5">
        <v>115930.62</v>
      </c>
      <c r="AK201" s="5">
        <v>0</v>
      </c>
      <c r="AL201" s="5">
        <v>0</v>
      </c>
      <c r="AM201" s="5">
        <v>280.07</v>
      </c>
      <c r="AN201" s="5">
        <v>115650.55</v>
      </c>
      <c r="AO201" s="1" t="s">
        <v>434</v>
      </c>
    </row>
    <row r="202" spans="1:41" x14ac:dyDescent="0.25">
      <c r="A202" s="1">
        <f t="shared" si="2"/>
        <v>186</v>
      </c>
      <c r="B202" s="1" t="s">
        <v>490</v>
      </c>
      <c r="C202" s="1" t="s">
        <v>123</v>
      </c>
      <c r="D202" s="1" t="s">
        <v>815</v>
      </c>
      <c r="E202" s="4">
        <v>45292</v>
      </c>
      <c r="F202" s="4">
        <v>45657</v>
      </c>
      <c r="G202" s="1" t="s">
        <v>125</v>
      </c>
      <c r="H202" s="5">
        <v>2658912.75</v>
      </c>
      <c r="I202" s="5">
        <v>90000</v>
      </c>
      <c r="J202" s="5">
        <v>36000</v>
      </c>
      <c r="K202" s="5">
        <v>48500</v>
      </c>
      <c r="L202" s="5">
        <v>0</v>
      </c>
      <c r="M202" s="5">
        <v>174500</v>
      </c>
      <c r="N202" s="5">
        <v>2261881</v>
      </c>
      <c r="O202" s="5">
        <v>102531.75</v>
      </c>
      <c r="P202" s="5">
        <v>120000</v>
      </c>
      <c r="Q202" s="5">
        <v>2484412.75</v>
      </c>
      <c r="R202" s="1" t="s">
        <v>829</v>
      </c>
      <c r="S202" s="1" t="s">
        <v>124</v>
      </c>
      <c r="T202" s="4">
        <v>45292</v>
      </c>
      <c r="U202" s="4">
        <v>45657</v>
      </c>
      <c r="V202" s="1" t="s">
        <v>125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2484412.75</v>
      </c>
      <c r="AH202" s="5">
        <v>547823.82999999996</v>
      </c>
      <c r="AI202" s="5">
        <v>0</v>
      </c>
      <c r="AJ202" s="5">
        <v>547823.03</v>
      </c>
      <c r="AK202" s="5">
        <v>0</v>
      </c>
      <c r="AL202" s="5">
        <v>0.79</v>
      </c>
      <c r="AM202" s="5">
        <v>0</v>
      </c>
      <c r="AN202" s="5">
        <v>547823.82999999996</v>
      </c>
      <c r="AO202" s="1" t="s">
        <v>434</v>
      </c>
    </row>
    <row r="203" spans="1:41" x14ac:dyDescent="0.25">
      <c r="A203" s="1">
        <f t="shared" si="2"/>
        <v>187</v>
      </c>
      <c r="B203" s="1" t="s">
        <v>491</v>
      </c>
      <c r="C203" s="1" t="s">
        <v>123</v>
      </c>
      <c r="D203" s="1" t="s">
        <v>815</v>
      </c>
      <c r="E203" s="4">
        <v>45292</v>
      </c>
      <c r="F203" s="4">
        <v>45657</v>
      </c>
      <c r="G203" s="1" t="s">
        <v>125</v>
      </c>
      <c r="H203" s="5">
        <v>2315511.4558333335</v>
      </c>
      <c r="I203" s="5">
        <v>90000</v>
      </c>
      <c r="J203" s="5">
        <v>36000</v>
      </c>
      <c r="K203" s="5">
        <v>48500</v>
      </c>
      <c r="L203" s="5">
        <v>0</v>
      </c>
      <c r="M203" s="5">
        <v>174500</v>
      </c>
      <c r="N203" s="5">
        <v>1944895.19</v>
      </c>
      <c r="O203" s="5">
        <v>76116.27</v>
      </c>
      <c r="P203" s="5">
        <v>120000</v>
      </c>
      <c r="Q203" s="5">
        <v>2141011.46</v>
      </c>
      <c r="R203" s="1" t="s">
        <v>830</v>
      </c>
      <c r="S203" s="1" t="s">
        <v>124</v>
      </c>
      <c r="T203" s="4">
        <v>45292</v>
      </c>
      <c r="U203" s="4">
        <v>45657</v>
      </c>
      <c r="V203" s="1" t="s">
        <v>125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2141011.46</v>
      </c>
      <c r="AH203" s="5">
        <v>444803.44</v>
      </c>
      <c r="AI203" s="5">
        <v>0</v>
      </c>
      <c r="AJ203" s="5">
        <v>448008.93</v>
      </c>
      <c r="AK203" s="5">
        <v>0</v>
      </c>
      <c r="AL203" s="5">
        <v>0</v>
      </c>
      <c r="AM203" s="5">
        <v>3205.49</v>
      </c>
      <c r="AN203" s="5">
        <v>444803.44</v>
      </c>
      <c r="AO203" s="1" t="s">
        <v>434</v>
      </c>
    </row>
    <row r="204" spans="1:41" x14ac:dyDescent="0.25">
      <c r="A204" s="1">
        <f t="shared" si="2"/>
        <v>188</v>
      </c>
      <c r="B204" s="1" t="s">
        <v>492</v>
      </c>
      <c r="C204" s="1" t="s">
        <v>123</v>
      </c>
      <c r="D204" s="1" t="s">
        <v>815</v>
      </c>
      <c r="E204" s="4">
        <v>45292</v>
      </c>
      <c r="F204" s="4">
        <v>45657</v>
      </c>
      <c r="G204" s="1" t="s">
        <v>125</v>
      </c>
      <c r="H204" s="5">
        <v>2229101.333333333</v>
      </c>
      <c r="I204" s="5">
        <v>90000</v>
      </c>
      <c r="J204" s="5">
        <v>36000</v>
      </c>
      <c r="K204" s="5">
        <v>48500</v>
      </c>
      <c r="L204" s="5">
        <v>0</v>
      </c>
      <c r="M204" s="5">
        <v>174500</v>
      </c>
      <c r="N204" s="5">
        <v>1865132</v>
      </c>
      <c r="O204" s="5">
        <v>69469.33</v>
      </c>
      <c r="P204" s="5">
        <v>120000</v>
      </c>
      <c r="Q204" s="5">
        <v>2054601.33</v>
      </c>
      <c r="R204" s="1" t="s">
        <v>831</v>
      </c>
      <c r="S204" s="1" t="s">
        <v>124</v>
      </c>
      <c r="T204" s="4">
        <v>45292</v>
      </c>
      <c r="U204" s="4">
        <v>45657</v>
      </c>
      <c r="V204" s="1" t="s">
        <v>125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2054601.33</v>
      </c>
      <c r="AH204" s="5">
        <v>418880.4</v>
      </c>
      <c r="AI204" s="5">
        <v>0</v>
      </c>
      <c r="AJ204" s="5">
        <v>421436.15</v>
      </c>
      <c r="AK204" s="5">
        <v>0</v>
      </c>
      <c r="AL204" s="5">
        <v>0</v>
      </c>
      <c r="AM204" s="5">
        <v>2555.75</v>
      </c>
      <c r="AN204" s="5">
        <v>418880.4</v>
      </c>
      <c r="AO204" s="1" t="s">
        <v>434</v>
      </c>
    </row>
    <row r="205" spans="1:41" x14ac:dyDescent="0.25">
      <c r="A205" s="1">
        <f t="shared" si="2"/>
        <v>189</v>
      </c>
      <c r="B205" s="1" t="s">
        <v>493</v>
      </c>
      <c r="C205" s="1" t="s">
        <v>123</v>
      </c>
      <c r="D205" s="1" t="s">
        <v>815</v>
      </c>
      <c r="E205" s="4">
        <v>45292</v>
      </c>
      <c r="F205" s="4">
        <v>45657</v>
      </c>
      <c r="G205" s="1" t="s">
        <v>125</v>
      </c>
      <c r="H205" s="5">
        <v>1749374.4724999999</v>
      </c>
      <c r="I205" s="5">
        <v>90000</v>
      </c>
      <c r="J205" s="5">
        <v>39600</v>
      </c>
      <c r="K205" s="5">
        <v>48500</v>
      </c>
      <c r="L205" s="5">
        <v>200</v>
      </c>
      <c r="M205" s="5">
        <v>178300</v>
      </c>
      <c r="N205" s="5">
        <v>1482528.43</v>
      </c>
      <c r="O205" s="5">
        <v>37585.699999999997</v>
      </c>
      <c r="P205" s="5">
        <v>50960.34</v>
      </c>
      <c r="Q205" s="5">
        <v>1571074.47</v>
      </c>
      <c r="R205" s="1" t="s">
        <v>832</v>
      </c>
      <c r="S205" s="1" t="s">
        <v>124</v>
      </c>
      <c r="T205" s="4">
        <v>45292</v>
      </c>
      <c r="U205" s="4">
        <v>45657</v>
      </c>
      <c r="V205" s="1" t="s">
        <v>125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1571074.47</v>
      </c>
      <c r="AH205" s="5">
        <v>295268.62</v>
      </c>
      <c r="AI205" s="5">
        <v>0</v>
      </c>
      <c r="AJ205" s="5">
        <v>295293.33</v>
      </c>
      <c r="AK205" s="5">
        <v>0</v>
      </c>
      <c r="AL205" s="5">
        <v>0</v>
      </c>
      <c r="AM205" s="5">
        <v>24.71</v>
      </c>
      <c r="AN205" s="5">
        <v>295268.62</v>
      </c>
      <c r="AO205" s="1" t="s">
        <v>434</v>
      </c>
    </row>
    <row r="206" spans="1:41" x14ac:dyDescent="0.25">
      <c r="A206" s="1">
        <f t="shared" si="2"/>
        <v>190</v>
      </c>
      <c r="B206" s="1" t="s">
        <v>494</v>
      </c>
      <c r="C206" s="1" t="s">
        <v>123</v>
      </c>
      <c r="D206" s="1" t="s">
        <v>815</v>
      </c>
      <c r="E206" s="4">
        <v>45292</v>
      </c>
      <c r="F206" s="4">
        <v>45657</v>
      </c>
      <c r="G206" s="1" t="s">
        <v>125</v>
      </c>
      <c r="H206" s="5">
        <v>2080709.5833333333</v>
      </c>
      <c r="I206" s="5">
        <v>90000</v>
      </c>
      <c r="J206" s="5">
        <v>36000</v>
      </c>
      <c r="K206" s="5">
        <v>48500</v>
      </c>
      <c r="L206" s="5">
        <v>0</v>
      </c>
      <c r="M206" s="5">
        <v>174500</v>
      </c>
      <c r="N206" s="5">
        <v>1728155</v>
      </c>
      <c r="O206" s="5">
        <v>58054.58</v>
      </c>
      <c r="P206" s="5">
        <v>120000</v>
      </c>
      <c r="Q206" s="5">
        <v>1906209.58</v>
      </c>
      <c r="R206" s="1" t="s">
        <v>833</v>
      </c>
      <c r="S206" s="1" t="s">
        <v>124</v>
      </c>
      <c r="T206" s="4">
        <v>45292</v>
      </c>
      <c r="U206" s="4">
        <v>45657</v>
      </c>
      <c r="V206" s="1" t="s">
        <v>125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1906209.58</v>
      </c>
      <c r="AH206" s="5">
        <v>379052.4</v>
      </c>
      <c r="AI206" s="5">
        <v>0</v>
      </c>
      <c r="AJ206" s="5">
        <v>379051.2</v>
      </c>
      <c r="AK206" s="5">
        <v>0</v>
      </c>
      <c r="AL206" s="5">
        <v>1.2</v>
      </c>
      <c r="AM206" s="5">
        <v>0</v>
      </c>
      <c r="AN206" s="5">
        <v>379052.4</v>
      </c>
      <c r="AO206" s="1" t="s">
        <v>434</v>
      </c>
    </row>
    <row r="207" spans="1:41" x14ac:dyDescent="0.25">
      <c r="A207" s="1">
        <f t="shared" si="2"/>
        <v>191</v>
      </c>
      <c r="B207" s="1" t="s">
        <v>495</v>
      </c>
      <c r="C207" s="1" t="s">
        <v>123</v>
      </c>
      <c r="D207" s="1" t="s">
        <v>815</v>
      </c>
      <c r="E207" s="4">
        <v>45292</v>
      </c>
      <c r="F207" s="4">
        <v>45657</v>
      </c>
      <c r="G207" s="1" t="s">
        <v>125</v>
      </c>
      <c r="H207" s="5">
        <v>1623209.0833333333</v>
      </c>
      <c r="I207" s="5">
        <v>90000</v>
      </c>
      <c r="J207" s="5">
        <v>39600</v>
      </c>
      <c r="K207" s="5">
        <v>48500</v>
      </c>
      <c r="L207" s="5">
        <v>0</v>
      </c>
      <c r="M207" s="5">
        <v>178100</v>
      </c>
      <c r="N207" s="5">
        <v>1413293</v>
      </c>
      <c r="O207" s="5">
        <v>31816.080000000002</v>
      </c>
      <c r="P207" s="5">
        <v>0</v>
      </c>
      <c r="Q207" s="5">
        <v>1445109.08</v>
      </c>
      <c r="R207" s="1" t="s">
        <v>834</v>
      </c>
      <c r="S207" s="1" t="s">
        <v>124</v>
      </c>
      <c r="T207" s="4">
        <v>45292</v>
      </c>
      <c r="U207" s="4">
        <v>45657</v>
      </c>
      <c r="V207" s="1" t="s">
        <v>125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1445109.08</v>
      </c>
      <c r="AH207" s="5">
        <v>263777.27</v>
      </c>
      <c r="AI207" s="5">
        <v>0</v>
      </c>
      <c r="AJ207" s="5">
        <v>263776.07</v>
      </c>
      <c r="AK207" s="5">
        <v>0</v>
      </c>
      <c r="AL207" s="5">
        <v>1.2</v>
      </c>
      <c r="AM207" s="5">
        <v>0</v>
      </c>
      <c r="AN207" s="5">
        <v>263777.27</v>
      </c>
      <c r="AO207" s="1" t="s">
        <v>434</v>
      </c>
    </row>
    <row r="208" spans="1:41" x14ac:dyDescent="0.25">
      <c r="A208" s="1">
        <f t="shared" si="2"/>
        <v>192</v>
      </c>
      <c r="B208" s="1" t="s">
        <v>496</v>
      </c>
      <c r="C208" s="1" t="s">
        <v>123</v>
      </c>
      <c r="D208" s="1" t="s">
        <v>815</v>
      </c>
      <c r="E208" s="4">
        <v>45292</v>
      </c>
      <c r="F208" s="4">
        <v>45657</v>
      </c>
      <c r="G208" s="1" t="s">
        <v>125</v>
      </c>
      <c r="H208" s="5">
        <v>1346920.89</v>
      </c>
      <c r="I208" s="5">
        <v>90000</v>
      </c>
      <c r="J208" s="5">
        <v>39600</v>
      </c>
      <c r="K208" s="5">
        <v>47408</v>
      </c>
      <c r="L208" s="5">
        <v>1700</v>
      </c>
      <c r="M208" s="5">
        <v>178708</v>
      </c>
      <c r="N208" s="5">
        <v>1146611.26</v>
      </c>
      <c r="O208" s="5">
        <v>6819</v>
      </c>
      <c r="P208" s="5">
        <v>14782.63</v>
      </c>
      <c r="Q208" s="5">
        <v>1168212.8899999999</v>
      </c>
      <c r="R208" s="1" t="s">
        <v>835</v>
      </c>
      <c r="S208" s="1" t="s">
        <v>124</v>
      </c>
      <c r="T208" s="4">
        <v>45292</v>
      </c>
      <c r="U208" s="4">
        <v>45657</v>
      </c>
      <c r="V208" s="1" t="s">
        <v>125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1168212.8899999999</v>
      </c>
      <c r="AH208" s="5">
        <v>194553.22</v>
      </c>
      <c r="AI208" s="5">
        <v>0</v>
      </c>
      <c r="AJ208" s="5">
        <v>194770.95</v>
      </c>
      <c r="AK208" s="5">
        <v>0</v>
      </c>
      <c r="AL208" s="5">
        <v>0</v>
      </c>
      <c r="AM208" s="5">
        <v>217.73</v>
      </c>
      <c r="AN208" s="5">
        <v>194553.22</v>
      </c>
      <c r="AO208" s="1" t="s">
        <v>434</v>
      </c>
    </row>
    <row r="209" spans="1:41" x14ac:dyDescent="0.25">
      <c r="A209" s="1">
        <f t="shared" si="2"/>
        <v>193</v>
      </c>
      <c r="B209" s="1" t="s">
        <v>497</v>
      </c>
      <c r="C209" s="1" t="s">
        <v>123</v>
      </c>
      <c r="D209" s="1" t="s">
        <v>815</v>
      </c>
      <c r="E209" s="4">
        <v>45292</v>
      </c>
      <c r="F209" s="4">
        <v>45657</v>
      </c>
      <c r="G209" s="1" t="s">
        <v>125</v>
      </c>
      <c r="H209" s="5">
        <v>1319074.27</v>
      </c>
      <c r="I209" s="5">
        <v>82825.289999999994</v>
      </c>
      <c r="J209" s="5">
        <v>39600</v>
      </c>
      <c r="K209" s="5">
        <v>43347.55</v>
      </c>
      <c r="L209" s="5">
        <v>7925</v>
      </c>
      <c r="M209" s="5">
        <v>173697.84</v>
      </c>
      <c r="N209" s="5">
        <v>984978.94</v>
      </c>
      <c r="O209" s="5">
        <v>0</v>
      </c>
      <c r="P209" s="5">
        <v>160397.49</v>
      </c>
      <c r="Q209" s="5">
        <v>1145376.43</v>
      </c>
      <c r="R209" s="1" t="s">
        <v>836</v>
      </c>
      <c r="S209" s="1" t="s">
        <v>124</v>
      </c>
      <c r="T209" s="4">
        <v>45292</v>
      </c>
      <c r="U209" s="4">
        <v>45657</v>
      </c>
      <c r="V209" s="1" t="s">
        <v>125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1145376.43</v>
      </c>
      <c r="AH209" s="5">
        <v>188844.11</v>
      </c>
      <c r="AI209" s="5">
        <v>0</v>
      </c>
      <c r="AJ209" s="5">
        <v>188842.96</v>
      </c>
      <c r="AK209" s="5">
        <v>0</v>
      </c>
      <c r="AL209" s="5">
        <v>1.1499999999999999</v>
      </c>
      <c r="AM209" s="5">
        <v>0</v>
      </c>
      <c r="AN209" s="5">
        <v>188844.11</v>
      </c>
      <c r="AO209" s="1" t="s">
        <v>434</v>
      </c>
    </row>
    <row r="210" spans="1:41" x14ac:dyDescent="0.25">
      <c r="A210" s="1">
        <f t="shared" si="2"/>
        <v>194</v>
      </c>
      <c r="B210" s="1" t="s">
        <v>498</v>
      </c>
      <c r="C210" s="1" t="s">
        <v>123</v>
      </c>
      <c r="D210" s="1" t="s">
        <v>815</v>
      </c>
      <c r="E210" s="4">
        <v>45292</v>
      </c>
      <c r="F210" s="4">
        <v>45657</v>
      </c>
      <c r="G210" s="1" t="s">
        <v>125</v>
      </c>
      <c r="H210" s="5">
        <v>1459857.7966666664</v>
      </c>
      <c r="I210" s="5">
        <v>90000</v>
      </c>
      <c r="J210" s="5">
        <v>38850</v>
      </c>
      <c r="K210" s="5">
        <v>46805.86</v>
      </c>
      <c r="L210" s="5">
        <v>20600</v>
      </c>
      <c r="M210" s="5">
        <v>196255.86</v>
      </c>
      <c r="N210" s="5">
        <v>1209710.1399999999</v>
      </c>
      <c r="O210" s="5">
        <v>14709.67</v>
      </c>
      <c r="P210" s="5">
        <v>39182.129999999997</v>
      </c>
      <c r="Q210" s="5">
        <v>1263601.94</v>
      </c>
      <c r="R210" s="1" t="s">
        <v>837</v>
      </c>
      <c r="S210" s="1" t="s">
        <v>124</v>
      </c>
      <c r="T210" s="4">
        <v>45292</v>
      </c>
      <c r="U210" s="4">
        <v>45657</v>
      </c>
      <c r="V210" s="1" t="s">
        <v>125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1263601.94</v>
      </c>
      <c r="AH210" s="5">
        <v>218400.48</v>
      </c>
      <c r="AI210" s="5">
        <v>0</v>
      </c>
      <c r="AJ210" s="5">
        <v>218399.27</v>
      </c>
      <c r="AK210" s="5">
        <v>0</v>
      </c>
      <c r="AL210" s="5">
        <v>1.21</v>
      </c>
      <c r="AM210" s="5">
        <v>0</v>
      </c>
      <c r="AN210" s="5">
        <v>218400.48</v>
      </c>
      <c r="AO210" s="1" t="s">
        <v>434</v>
      </c>
    </row>
    <row r="211" spans="1:41" x14ac:dyDescent="0.25">
      <c r="A211" s="1">
        <f t="shared" si="2"/>
        <v>195</v>
      </c>
      <c r="B211" s="1" t="s">
        <v>499</v>
      </c>
      <c r="C211" s="1" t="s">
        <v>123</v>
      </c>
      <c r="D211" s="1" t="s">
        <v>815</v>
      </c>
      <c r="E211" s="4">
        <v>45292</v>
      </c>
      <c r="F211" s="4">
        <v>45657</v>
      </c>
      <c r="G211" s="1" t="s">
        <v>125</v>
      </c>
      <c r="H211" s="5">
        <v>1754088.9666666668</v>
      </c>
      <c r="I211" s="5">
        <v>90000</v>
      </c>
      <c r="J211" s="5">
        <v>39600</v>
      </c>
      <c r="K211" s="5">
        <v>47895.37</v>
      </c>
      <c r="L211" s="5">
        <v>3700</v>
      </c>
      <c r="M211" s="5">
        <v>181195.37</v>
      </c>
      <c r="N211" s="5">
        <v>1234958.6299999999</v>
      </c>
      <c r="O211" s="5">
        <v>12981.17</v>
      </c>
      <c r="P211" s="5">
        <v>324953.8</v>
      </c>
      <c r="Q211" s="5">
        <v>1572893.6</v>
      </c>
      <c r="R211" s="1" t="s">
        <v>838</v>
      </c>
      <c r="S211" s="1" t="s">
        <v>124</v>
      </c>
      <c r="T211" s="4">
        <v>45292</v>
      </c>
      <c r="U211" s="4">
        <v>45657</v>
      </c>
      <c r="V211" s="1" t="s">
        <v>125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1572893.6</v>
      </c>
      <c r="AH211" s="5">
        <v>295723.40000000002</v>
      </c>
      <c r="AI211" s="5">
        <v>0</v>
      </c>
      <c r="AJ211" s="5">
        <v>298803.32</v>
      </c>
      <c r="AK211" s="5">
        <v>0</v>
      </c>
      <c r="AL211" s="5">
        <v>0</v>
      </c>
      <c r="AM211" s="5">
        <v>3079.92</v>
      </c>
      <c r="AN211" s="5">
        <v>295723.40000000002</v>
      </c>
      <c r="AO211" s="1" t="s">
        <v>434</v>
      </c>
    </row>
    <row r="212" spans="1:41" x14ac:dyDescent="0.25">
      <c r="A212" s="1">
        <f t="shared" si="2"/>
        <v>196</v>
      </c>
      <c r="B212" s="1" t="s">
        <v>500</v>
      </c>
      <c r="C212" s="1" t="s">
        <v>123</v>
      </c>
      <c r="D212" s="1" t="s">
        <v>815</v>
      </c>
      <c r="E212" s="4">
        <v>45292</v>
      </c>
      <c r="F212" s="4">
        <v>45657</v>
      </c>
      <c r="G212" s="1" t="s">
        <v>125</v>
      </c>
      <c r="H212" s="5">
        <v>1771372.1308333334</v>
      </c>
      <c r="I212" s="5">
        <v>90000</v>
      </c>
      <c r="J212" s="5">
        <v>39600</v>
      </c>
      <c r="K212" s="5">
        <v>48500</v>
      </c>
      <c r="L212" s="5">
        <v>3400</v>
      </c>
      <c r="M212" s="5">
        <v>181500</v>
      </c>
      <c r="N212" s="5">
        <v>1272277.5</v>
      </c>
      <c r="O212" s="5">
        <v>18781.86</v>
      </c>
      <c r="P212" s="5">
        <v>298812.77</v>
      </c>
      <c r="Q212" s="5">
        <v>1589872.13</v>
      </c>
      <c r="R212" s="1" t="s">
        <v>839</v>
      </c>
      <c r="S212" s="1" t="s">
        <v>124</v>
      </c>
      <c r="T212" s="4">
        <v>45292</v>
      </c>
      <c r="U212" s="4">
        <v>45657</v>
      </c>
      <c r="V212" s="1" t="s">
        <v>125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1589872.13</v>
      </c>
      <c r="AH212" s="5">
        <v>299968.03000000003</v>
      </c>
      <c r="AI212" s="5">
        <v>0</v>
      </c>
      <c r="AJ212" s="5">
        <v>300790.48</v>
      </c>
      <c r="AK212" s="5">
        <v>0</v>
      </c>
      <c r="AL212" s="5">
        <v>0</v>
      </c>
      <c r="AM212" s="5">
        <v>822.45</v>
      </c>
      <c r="AN212" s="5">
        <v>299968.03000000003</v>
      </c>
      <c r="AO212" s="1" t="s">
        <v>434</v>
      </c>
    </row>
    <row r="213" spans="1:41" x14ac:dyDescent="0.25">
      <c r="A213" s="1">
        <f t="shared" si="2"/>
        <v>197</v>
      </c>
      <c r="B213" s="1" t="s">
        <v>501</v>
      </c>
      <c r="C213" s="1" t="s">
        <v>123</v>
      </c>
      <c r="D213" s="1" t="s">
        <v>815</v>
      </c>
      <c r="E213" s="4">
        <v>45292</v>
      </c>
      <c r="F213" s="4">
        <v>45657</v>
      </c>
      <c r="G213" s="1" t="s">
        <v>125</v>
      </c>
      <c r="H213" s="5">
        <v>2314267.6241666665</v>
      </c>
      <c r="I213" s="5">
        <v>90000</v>
      </c>
      <c r="J213" s="5">
        <v>36000</v>
      </c>
      <c r="K213" s="5">
        <v>48500</v>
      </c>
      <c r="L213" s="5">
        <v>0</v>
      </c>
      <c r="M213" s="5">
        <v>174500</v>
      </c>
      <c r="N213" s="5">
        <v>1947997.86</v>
      </c>
      <c r="O213" s="5">
        <v>71769.759999999995</v>
      </c>
      <c r="P213" s="5">
        <v>120000</v>
      </c>
      <c r="Q213" s="5">
        <v>2139767.62</v>
      </c>
      <c r="R213" s="1" t="s">
        <v>840</v>
      </c>
      <c r="S213" s="1" t="s">
        <v>124</v>
      </c>
      <c r="T213" s="4">
        <v>45292</v>
      </c>
      <c r="U213" s="4">
        <v>45657</v>
      </c>
      <c r="V213" s="1" t="s">
        <v>125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2139767.62</v>
      </c>
      <c r="AH213" s="5">
        <v>444430.29</v>
      </c>
      <c r="AI213" s="5">
        <v>0</v>
      </c>
      <c r="AJ213" s="5">
        <v>445772.74</v>
      </c>
      <c r="AK213" s="5">
        <v>0</v>
      </c>
      <c r="AL213" s="5">
        <v>0</v>
      </c>
      <c r="AM213" s="5">
        <v>1342.45</v>
      </c>
      <c r="AN213" s="5">
        <v>444430.29</v>
      </c>
      <c r="AO213" s="1" t="s">
        <v>434</v>
      </c>
    </row>
    <row r="214" spans="1:41" x14ac:dyDescent="0.25">
      <c r="A214" s="1">
        <f t="shared" si="2"/>
        <v>198</v>
      </c>
      <c r="B214" s="1" t="s">
        <v>502</v>
      </c>
      <c r="C214" s="1" t="s">
        <v>123</v>
      </c>
      <c r="D214" s="1" t="s">
        <v>815</v>
      </c>
      <c r="E214" s="4">
        <v>45292</v>
      </c>
      <c r="F214" s="4">
        <v>45657</v>
      </c>
      <c r="G214" s="1" t="s">
        <v>125</v>
      </c>
      <c r="H214" s="5">
        <v>1490433.8016666668</v>
      </c>
      <c r="I214" s="5">
        <v>90000</v>
      </c>
      <c r="J214" s="5">
        <v>39600</v>
      </c>
      <c r="K214" s="5">
        <v>48158.75</v>
      </c>
      <c r="L214" s="5">
        <v>3200</v>
      </c>
      <c r="M214" s="5">
        <v>180958.75</v>
      </c>
      <c r="N214" s="5">
        <v>1218048.75</v>
      </c>
      <c r="O214" s="5">
        <v>15517.29</v>
      </c>
      <c r="P214" s="5">
        <v>75909.009999999995</v>
      </c>
      <c r="Q214" s="5">
        <v>1309475.05</v>
      </c>
      <c r="R214" s="1" t="s">
        <v>841</v>
      </c>
      <c r="S214" s="1" t="s">
        <v>124</v>
      </c>
      <c r="T214" s="4">
        <v>45292</v>
      </c>
      <c r="U214" s="4">
        <v>45657</v>
      </c>
      <c r="V214" s="1" t="s">
        <v>125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1309475.05</v>
      </c>
      <c r="AH214" s="5">
        <v>229868.76</v>
      </c>
      <c r="AI214" s="5">
        <v>0</v>
      </c>
      <c r="AJ214" s="5">
        <v>229867.62</v>
      </c>
      <c r="AK214" s="5">
        <v>0</v>
      </c>
      <c r="AL214" s="5">
        <v>1.1399999999999999</v>
      </c>
      <c r="AM214" s="5">
        <v>0</v>
      </c>
      <c r="AN214" s="5">
        <v>229868.76</v>
      </c>
      <c r="AO214" s="1" t="s">
        <v>434</v>
      </c>
    </row>
    <row r="215" spans="1:41" x14ac:dyDescent="0.25">
      <c r="A215" s="1">
        <f t="shared" si="2"/>
        <v>199</v>
      </c>
      <c r="B215" s="1" t="s">
        <v>503</v>
      </c>
      <c r="C215" s="1" t="s">
        <v>123</v>
      </c>
      <c r="D215" s="1" t="s">
        <v>815</v>
      </c>
      <c r="E215" s="4">
        <v>45292</v>
      </c>
      <c r="F215" s="4">
        <v>45657</v>
      </c>
      <c r="G215" s="1" t="s">
        <v>125</v>
      </c>
      <c r="H215" s="5">
        <v>1124864.6000000001</v>
      </c>
      <c r="I215" s="5">
        <v>82895.460000000006</v>
      </c>
      <c r="J215" s="5">
        <v>39600</v>
      </c>
      <c r="K215" s="5">
        <v>43368.6</v>
      </c>
      <c r="L215" s="5">
        <v>4700</v>
      </c>
      <c r="M215" s="5">
        <v>170564.06</v>
      </c>
      <c r="N215" s="5">
        <v>951376.9</v>
      </c>
      <c r="O215" s="5">
        <v>0</v>
      </c>
      <c r="P215" s="5">
        <v>2923.64</v>
      </c>
      <c r="Q215" s="5">
        <v>954300.54</v>
      </c>
      <c r="R215" s="1" t="s">
        <v>842</v>
      </c>
      <c r="S215" s="1" t="s">
        <v>124</v>
      </c>
      <c r="T215" s="4">
        <v>45292</v>
      </c>
      <c r="U215" s="4">
        <v>45657</v>
      </c>
      <c r="V215" s="1" t="s">
        <v>125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954300.54</v>
      </c>
      <c r="AH215" s="5">
        <v>141075.14000000001</v>
      </c>
      <c r="AI215" s="5">
        <v>0</v>
      </c>
      <c r="AJ215" s="5">
        <v>141073.94</v>
      </c>
      <c r="AK215" s="5">
        <v>0</v>
      </c>
      <c r="AL215" s="5">
        <v>1.19</v>
      </c>
      <c r="AM215" s="5">
        <v>0</v>
      </c>
      <c r="AN215" s="5">
        <v>141075.14000000001</v>
      </c>
      <c r="AO215" s="1" t="s">
        <v>434</v>
      </c>
    </row>
    <row r="216" spans="1:41" x14ac:dyDescent="0.25">
      <c r="A216" s="1">
        <f t="shared" si="2"/>
        <v>200</v>
      </c>
      <c r="B216" s="1" t="s">
        <v>504</v>
      </c>
      <c r="C216" s="1" t="s">
        <v>123</v>
      </c>
      <c r="D216" s="1" t="s">
        <v>815</v>
      </c>
      <c r="E216" s="4">
        <v>45292</v>
      </c>
      <c r="F216" s="4">
        <v>45657</v>
      </c>
      <c r="G216" s="1" t="s">
        <v>125</v>
      </c>
      <c r="H216" s="5">
        <v>1322896.5149999999</v>
      </c>
      <c r="I216" s="5">
        <v>90000</v>
      </c>
      <c r="J216" s="5">
        <v>39600</v>
      </c>
      <c r="K216" s="5">
        <v>47470.55</v>
      </c>
      <c r="L216" s="5">
        <v>0</v>
      </c>
      <c r="M216" s="5">
        <v>177070.55</v>
      </c>
      <c r="N216" s="5">
        <v>1111352.95</v>
      </c>
      <c r="O216" s="5">
        <v>6568.63</v>
      </c>
      <c r="P216" s="5">
        <v>27904.39</v>
      </c>
      <c r="Q216" s="5">
        <v>1145825.97</v>
      </c>
      <c r="R216" s="1" t="s">
        <v>843</v>
      </c>
      <c r="S216" s="1" t="s">
        <v>124</v>
      </c>
      <c r="T216" s="4">
        <v>45292</v>
      </c>
      <c r="U216" s="4">
        <v>45657</v>
      </c>
      <c r="V216" s="1" t="s">
        <v>125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1145825.97</v>
      </c>
      <c r="AH216" s="5">
        <v>188956.49</v>
      </c>
      <c r="AI216" s="5">
        <v>0</v>
      </c>
      <c r="AJ216" s="5">
        <v>188955.28</v>
      </c>
      <c r="AK216" s="5">
        <v>0</v>
      </c>
      <c r="AL216" s="5">
        <v>1.21</v>
      </c>
      <c r="AM216" s="5">
        <v>0</v>
      </c>
      <c r="AN216" s="5">
        <v>188956.49</v>
      </c>
      <c r="AO216" s="1" t="s">
        <v>434</v>
      </c>
    </row>
    <row r="217" spans="1:41" x14ac:dyDescent="0.25">
      <c r="A217" s="1">
        <f t="shared" si="2"/>
        <v>201</v>
      </c>
      <c r="B217" s="1" t="s">
        <v>505</v>
      </c>
      <c r="C217" s="1" t="s">
        <v>123</v>
      </c>
      <c r="D217" s="1" t="s">
        <v>815</v>
      </c>
      <c r="E217" s="4">
        <v>45292</v>
      </c>
      <c r="F217" s="4">
        <v>45657</v>
      </c>
      <c r="G217" s="1" t="s">
        <v>125</v>
      </c>
      <c r="H217" s="5">
        <v>1700959.0833333333</v>
      </c>
      <c r="I217" s="5">
        <v>90000</v>
      </c>
      <c r="J217" s="5">
        <v>28550</v>
      </c>
      <c r="K217" s="5">
        <v>48500</v>
      </c>
      <c r="L217" s="5">
        <v>3800</v>
      </c>
      <c r="M217" s="5">
        <v>170850</v>
      </c>
      <c r="N217" s="5">
        <v>1413293</v>
      </c>
      <c r="O217" s="5">
        <v>31816.080000000002</v>
      </c>
      <c r="P217" s="5">
        <v>85000</v>
      </c>
      <c r="Q217" s="5">
        <v>1530109.08</v>
      </c>
      <c r="R217" s="1" t="s">
        <v>844</v>
      </c>
      <c r="S217" s="1" t="s">
        <v>124</v>
      </c>
      <c r="T217" s="4">
        <v>45292</v>
      </c>
      <c r="U217" s="4">
        <v>45657</v>
      </c>
      <c r="V217" s="1" t="s">
        <v>125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1530109.08</v>
      </c>
      <c r="AH217" s="5">
        <v>285027.27</v>
      </c>
      <c r="AI217" s="5">
        <v>0</v>
      </c>
      <c r="AJ217" s="5">
        <v>285026.07</v>
      </c>
      <c r="AK217" s="5">
        <v>0</v>
      </c>
      <c r="AL217" s="5">
        <v>1.2</v>
      </c>
      <c r="AM217" s="5">
        <v>0</v>
      </c>
      <c r="AN217" s="5">
        <v>285027.27</v>
      </c>
      <c r="AO217" s="1" t="s">
        <v>434</v>
      </c>
    </row>
    <row r="218" spans="1:41" x14ac:dyDescent="0.25">
      <c r="A218" s="1">
        <f t="shared" si="2"/>
        <v>202</v>
      </c>
      <c r="B218" s="1" t="s">
        <v>506</v>
      </c>
      <c r="C218" s="1" t="s">
        <v>123</v>
      </c>
      <c r="D218" s="1" t="s">
        <v>815</v>
      </c>
      <c r="E218" s="4">
        <v>45292</v>
      </c>
      <c r="F218" s="4">
        <v>45657</v>
      </c>
      <c r="G218" s="1" t="s">
        <v>125</v>
      </c>
      <c r="H218" s="5">
        <v>954181.70000000007</v>
      </c>
      <c r="I218" s="5">
        <v>69865.899999999994</v>
      </c>
      <c r="J218" s="5">
        <v>31550</v>
      </c>
      <c r="K218" s="5">
        <v>39500</v>
      </c>
      <c r="L218" s="5">
        <v>14375</v>
      </c>
      <c r="M218" s="5">
        <v>155290.9</v>
      </c>
      <c r="N218" s="5">
        <v>798890.8</v>
      </c>
      <c r="O218" s="5">
        <v>0</v>
      </c>
      <c r="P218" s="5">
        <v>0</v>
      </c>
      <c r="Q218" s="5">
        <v>798890.8</v>
      </c>
      <c r="R218" s="1" t="s">
        <v>845</v>
      </c>
      <c r="S218" s="1" t="s">
        <v>124</v>
      </c>
      <c r="T218" s="4">
        <v>45292</v>
      </c>
      <c r="U218" s="4">
        <v>45657</v>
      </c>
      <c r="V218" s="1" t="s">
        <v>125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798890.8</v>
      </c>
      <c r="AH218" s="5">
        <v>102278.16</v>
      </c>
      <c r="AI218" s="5">
        <v>0</v>
      </c>
      <c r="AJ218" s="5">
        <v>102979.76</v>
      </c>
      <c r="AK218" s="5">
        <v>0</v>
      </c>
      <c r="AL218" s="5">
        <v>0</v>
      </c>
      <c r="AM218" s="5">
        <v>701.6</v>
      </c>
      <c r="AN218" s="5">
        <v>102278.16</v>
      </c>
      <c r="AO218" s="1" t="s">
        <v>434</v>
      </c>
    </row>
    <row r="219" spans="1:41" x14ac:dyDescent="0.25">
      <c r="A219" s="1">
        <f t="shared" si="2"/>
        <v>203</v>
      </c>
      <c r="B219" s="1" t="s">
        <v>507</v>
      </c>
      <c r="C219" s="1" t="s">
        <v>123</v>
      </c>
      <c r="D219" s="1" t="s">
        <v>815</v>
      </c>
      <c r="E219" s="4">
        <v>45292</v>
      </c>
      <c r="F219" s="4">
        <v>45657</v>
      </c>
      <c r="G219" s="1" t="s">
        <v>125</v>
      </c>
      <c r="H219" s="5">
        <v>1010008.2</v>
      </c>
      <c r="I219" s="5">
        <v>74149.88</v>
      </c>
      <c r="J219" s="5">
        <v>39600</v>
      </c>
      <c r="K219" s="5">
        <v>40744.92</v>
      </c>
      <c r="L219" s="5">
        <v>3600</v>
      </c>
      <c r="M219" s="5">
        <v>158094.79999999999</v>
      </c>
      <c r="N219" s="5">
        <v>849053.58</v>
      </c>
      <c r="O219" s="5">
        <v>0</v>
      </c>
      <c r="P219" s="5">
        <v>2859.82</v>
      </c>
      <c r="Q219" s="5">
        <v>851913.4</v>
      </c>
      <c r="R219" s="1" t="s">
        <v>846</v>
      </c>
      <c r="S219" s="1" t="s">
        <v>124</v>
      </c>
      <c r="T219" s="4">
        <v>45292</v>
      </c>
      <c r="U219" s="4">
        <v>45657</v>
      </c>
      <c r="V219" s="1" t="s">
        <v>125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851913.4</v>
      </c>
      <c r="AH219" s="5">
        <v>115478.35</v>
      </c>
      <c r="AI219" s="5">
        <v>0</v>
      </c>
      <c r="AJ219" s="5">
        <v>115543.35</v>
      </c>
      <c r="AK219" s="5">
        <v>0</v>
      </c>
      <c r="AL219" s="5">
        <v>0</v>
      </c>
      <c r="AM219" s="5">
        <v>65</v>
      </c>
      <c r="AN219" s="5">
        <v>115478.35</v>
      </c>
      <c r="AO219" s="1" t="s">
        <v>434</v>
      </c>
    </row>
    <row r="220" spans="1:41" x14ac:dyDescent="0.25">
      <c r="A220" s="1">
        <f t="shared" si="2"/>
        <v>204</v>
      </c>
      <c r="B220" s="1" t="s">
        <v>508</v>
      </c>
      <c r="C220" s="1" t="s">
        <v>123</v>
      </c>
      <c r="D220" s="1" t="s">
        <v>815</v>
      </c>
      <c r="E220" s="4">
        <v>45292</v>
      </c>
      <c r="F220" s="4">
        <v>45657</v>
      </c>
      <c r="G220" s="1" t="s">
        <v>125</v>
      </c>
      <c r="H220" s="5">
        <v>1269951.7849999999</v>
      </c>
      <c r="I220" s="5">
        <v>90000</v>
      </c>
      <c r="J220" s="5">
        <v>39600</v>
      </c>
      <c r="K220" s="5">
        <v>46847.6</v>
      </c>
      <c r="L220" s="5">
        <v>1900</v>
      </c>
      <c r="M220" s="5">
        <v>178347.6</v>
      </c>
      <c r="N220" s="5">
        <v>1087057.8999999999</v>
      </c>
      <c r="O220" s="5">
        <v>4492.13</v>
      </c>
      <c r="P220" s="5">
        <v>54.16</v>
      </c>
      <c r="Q220" s="5">
        <v>1091604.19</v>
      </c>
      <c r="R220" s="1" t="s">
        <v>847</v>
      </c>
      <c r="S220" s="1" t="s">
        <v>124</v>
      </c>
      <c r="T220" s="4">
        <v>45292</v>
      </c>
      <c r="U220" s="4">
        <v>45657</v>
      </c>
      <c r="V220" s="1" t="s">
        <v>125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1091604.19</v>
      </c>
      <c r="AH220" s="5">
        <v>175401.05</v>
      </c>
      <c r="AI220" s="5">
        <v>0</v>
      </c>
      <c r="AJ220" s="5">
        <v>175399.86</v>
      </c>
      <c r="AK220" s="5">
        <v>0</v>
      </c>
      <c r="AL220" s="5">
        <v>1.19</v>
      </c>
      <c r="AM220" s="5">
        <v>0</v>
      </c>
      <c r="AN220" s="5">
        <v>175401.05</v>
      </c>
      <c r="AO220" s="1" t="s">
        <v>434</v>
      </c>
    </row>
    <row r="221" spans="1:41" x14ac:dyDescent="0.25">
      <c r="A221" s="1">
        <f t="shared" si="2"/>
        <v>205</v>
      </c>
      <c r="B221" s="1" t="s">
        <v>509</v>
      </c>
      <c r="C221" s="1" t="s">
        <v>123</v>
      </c>
      <c r="D221" s="1" t="s">
        <v>815</v>
      </c>
      <c r="E221" s="4">
        <v>45292</v>
      </c>
      <c r="F221" s="4">
        <v>45657</v>
      </c>
      <c r="G221" s="1" t="s">
        <v>125</v>
      </c>
      <c r="H221" s="5">
        <v>1148772.6399999999</v>
      </c>
      <c r="I221" s="5">
        <v>75784.820000000007</v>
      </c>
      <c r="J221" s="5">
        <v>39600</v>
      </c>
      <c r="K221" s="5">
        <v>41405.97</v>
      </c>
      <c r="L221" s="5">
        <v>6200</v>
      </c>
      <c r="M221" s="5">
        <v>162990.79</v>
      </c>
      <c r="N221" s="5">
        <v>899745.2</v>
      </c>
      <c r="O221" s="5">
        <v>0</v>
      </c>
      <c r="P221" s="5">
        <v>86036.65</v>
      </c>
      <c r="Q221" s="5">
        <v>985781.85</v>
      </c>
      <c r="R221" s="1" t="s">
        <v>848</v>
      </c>
      <c r="S221" s="1" t="s">
        <v>124</v>
      </c>
      <c r="T221" s="4">
        <v>45292</v>
      </c>
      <c r="U221" s="4">
        <v>45657</v>
      </c>
      <c r="V221" s="1" t="s">
        <v>125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985781.85</v>
      </c>
      <c r="AH221" s="5">
        <v>148945.46</v>
      </c>
      <c r="AI221" s="5">
        <v>0</v>
      </c>
      <c r="AJ221" s="5">
        <v>149018.31</v>
      </c>
      <c r="AK221" s="5">
        <v>0</v>
      </c>
      <c r="AL221" s="5">
        <v>0</v>
      </c>
      <c r="AM221" s="5">
        <v>72.849999999999994</v>
      </c>
      <c r="AN221" s="5">
        <v>148945.46</v>
      </c>
      <c r="AO221" s="1" t="s">
        <v>434</v>
      </c>
    </row>
    <row r="222" spans="1:41" x14ac:dyDescent="0.25">
      <c r="A222" s="1">
        <f t="shared" si="2"/>
        <v>206</v>
      </c>
      <c r="B222" s="1" t="s">
        <v>510</v>
      </c>
      <c r="C222" s="1" t="s">
        <v>123</v>
      </c>
      <c r="D222" s="1" t="s">
        <v>815</v>
      </c>
      <c r="E222" s="4">
        <v>45292</v>
      </c>
      <c r="F222" s="4">
        <v>45657</v>
      </c>
      <c r="G222" s="1" t="s">
        <v>125</v>
      </c>
      <c r="H222" s="5">
        <v>2616959.5833333335</v>
      </c>
      <c r="I222" s="5">
        <v>90000</v>
      </c>
      <c r="J222" s="5">
        <v>36000</v>
      </c>
      <c r="K222" s="5">
        <v>48500</v>
      </c>
      <c r="L222" s="5">
        <v>0</v>
      </c>
      <c r="M222" s="5">
        <v>174500</v>
      </c>
      <c r="N222" s="5">
        <v>2223155</v>
      </c>
      <c r="O222" s="5">
        <v>99304.58</v>
      </c>
      <c r="P222" s="5">
        <v>120000</v>
      </c>
      <c r="Q222" s="5">
        <v>2442459.58</v>
      </c>
      <c r="R222" s="1" t="s">
        <v>849</v>
      </c>
      <c r="S222" s="1" t="s">
        <v>124</v>
      </c>
      <c r="T222" s="4">
        <v>45292</v>
      </c>
      <c r="U222" s="4">
        <v>45657</v>
      </c>
      <c r="V222" s="1" t="s">
        <v>125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2442459.58</v>
      </c>
      <c r="AH222" s="5">
        <v>535237.88</v>
      </c>
      <c r="AI222" s="5">
        <v>0</v>
      </c>
      <c r="AJ222" s="5">
        <v>535237.07999999996</v>
      </c>
      <c r="AK222" s="5">
        <v>0</v>
      </c>
      <c r="AL222" s="5">
        <v>0.8</v>
      </c>
      <c r="AM222" s="5">
        <v>0</v>
      </c>
      <c r="AN222" s="5">
        <v>535237.88</v>
      </c>
      <c r="AO222" s="1" t="s">
        <v>434</v>
      </c>
    </row>
    <row r="223" spans="1:41" x14ac:dyDescent="0.25">
      <c r="A223" s="1">
        <f t="shared" si="2"/>
        <v>207</v>
      </c>
      <c r="B223" s="1" t="s">
        <v>511</v>
      </c>
      <c r="C223" s="1" t="s">
        <v>123</v>
      </c>
      <c r="D223" s="1" t="s">
        <v>815</v>
      </c>
      <c r="E223" s="4">
        <v>45292</v>
      </c>
      <c r="F223" s="4">
        <v>45657</v>
      </c>
      <c r="G223" s="1" t="s">
        <v>125</v>
      </c>
      <c r="H223" s="5">
        <v>784857.78</v>
      </c>
      <c r="I223" s="5">
        <v>46759.42</v>
      </c>
      <c r="J223" s="5">
        <v>39600</v>
      </c>
      <c r="K223" s="5">
        <v>32527.82</v>
      </c>
      <c r="L223" s="5">
        <v>0</v>
      </c>
      <c r="M223" s="5">
        <v>118887.24</v>
      </c>
      <c r="N223" s="5">
        <v>528585.18000000005</v>
      </c>
      <c r="O223" s="5">
        <v>0</v>
      </c>
      <c r="P223" s="5">
        <v>137385.35999999999</v>
      </c>
      <c r="Q223" s="5">
        <v>665970.54</v>
      </c>
      <c r="R223" s="1" t="s">
        <v>850</v>
      </c>
      <c r="S223" s="1" t="s">
        <v>124</v>
      </c>
      <c r="T223" s="4">
        <v>45292</v>
      </c>
      <c r="U223" s="4">
        <v>45657</v>
      </c>
      <c r="V223" s="1" t="s">
        <v>125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665970.54</v>
      </c>
      <c r="AH223" s="5">
        <v>75694.11</v>
      </c>
      <c r="AI223" s="5">
        <v>0</v>
      </c>
      <c r="AJ223" s="5">
        <v>76079.94</v>
      </c>
      <c r="AK223" s="5">
        <v>0</v>
      </c>
      <c r="AL223" s="5">
        <v>0</v>
      </c>
      <c r="AM223" s="5">
        <v>385.83</v>
      </c>
      <c r="AN223" s="5">
        <v>75694.11</v>
      </c>
      <c r="AO223" s="1" t="s">
        <v>434</v>
      </c>
    </row>
    <row r="224" spans="1:41" x14ac:dyDescent="0.25">
      <c r="A224" s="1">
        <f t="shared" si="2"/>
        <v>208</v>
      </c>
      <c r="B224" s="1" t="s">
        <v>512</v>
      </c>
      <c r="C224" s="1" t="s">
        <v>123</v>
      </c>
      <c r="D224" s="1" t="s">
        <v>815</v>
      </c>
      <c r="E224" s="4">
        <v>45292</v>
      </c>
      <c r="F224" s="4">
        <v>45657</v>
      </c>
      <c r="G224" s="1" t="s">
        <v>125</v>
      </c>
      <c r="H224" s="5">
        <v>1708674.7166666668</v>
      </c>
      <c r="I224" s="5">
        <v>90000</v>
      </c>
      <c r="J224" s="5">
        <v>39600</v>
      </c>
      <c r="K224" s="5">
        <v>48038</v>
      </c>
      <c r="L224" s="5">
        <v>3575</v>
      </c>
      <c r="M224" s="5">
        <v>181213</v>
      </c>
      <c r="N224" s="5">
        <v>1213122</v>
      </c>
      <c r="O224" s="5">
        <v>15096.67</v>
      </c>
      <c r="P224" s="5">
        <v>299243.05</v>
      </c>
      <c r="Q224" s="5">
        <v>1527461.72</v>
      </c>
      <c r="R224" s="1" t="s">
        <v>851</v>
      </c>
      <c r="S224" s="1" t="s">
        <v>124</v>
      </c>
      <c r="T224" s="4">
        <v>45292</v>
      </c>
      <c r="U224" s="4">
        <v>45657</v>
      </c>
      <c r="V224" s="1" t="s">
        <v>125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1527461.72</v>
      </c>
      <c r="AH224" s="5">
        <v>284365.43</v>
      </c>
      <c r="AI224" s="5">
        <v>0</v>
      </c>
      <c r="AJ224" s="5">
        <v>284536.33</v>
      </c>
      <c r="AK224" s="5">
        <v>0</v>
      </c>
      <c r="AL224" s="5">
        <v>0</v>
      </c>
      <c r="AM224" s="5">
        <v>170.9</v>
      </c>
      <c r="AN224" s="5">
        <v>284365.43</v>
      </c>
      <c r="AO224" s="1" t="s">
        <v>434</v>
      </c>
    </row>
    <row r="225" spans="1:41" x14ac:dyDescent="0.25">
      <c r="A225" s="1">
        <f t="shared" si="2"/>
        <v>209</v>
      </c>
      <c r="B225" s="1" t="s">
        <v>513</v>
      </c>
      <c r="C225" s="1" t="s">
        <v>123</v>
      </c>
      <c r="D225" s="1" t="s">
        <v>815</v>
      </c>
      <c r="E225" s="4">
        <v>45292</v>
      </c>
      <c r="F225" s="4">
        <v>45657</v>
      </c>
      <c r="G225" s="1" t="s">
        <v>125</v>
      </c>
      <c r="H225" s="5">
        <v>806634.14</v>
      </c>
      <c r="I225" s="5">
        <v>57776.25</v>
      </c>
      <c r="J225" s="5">
        <v>39600</v>
      </c>
      <c r="K225" s="5">
        <v>35832.870000000003</v>
      </c>
      <c r="L225" s="5">
        <v>600</v>
      </c>
      <c r="M225" s="5">
        <v>133809.12</v>
      </c>
      <c r="N225" s="5">
        <v>657482.13</v>
      </c>
      <c r="O225" s="5">
        <v>0</v>
      </c>
      <c r="P225" s="5">
        <v>15342.89</v>
      </c>
      <c r="Q225" s="5">
        <v>672825.02</v>
      </c>
      <c r="R225" s="1" t="s">
        <v>852</v>
      </c>
      <c r="S225" s="1" t="s">
        <v>124</v>
      </c>
      <c r="T225" s="4">
        <v>45292</v>
      </c>
      <c r="U225" s="4">
        <v>45657</v>
      </c>
      <c r="V225" s="1" t="s">
        <v>125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672825.02</v>
      </c>
      <c r="AH225" s="5">
        <v>77065</v>
      </c>
      <c r="AI225" s="5">
        <v>0</v>
      </c>
      <c r="AJ225" s="5">
        <v>77123.88</v>
      </c>
      <c r="AK225" s="5">
        <v>0</v>
      </c>
      <c r="AL225" s="5">
        <v>0</v>
      </c>
      <c r="AM225" s="5">
        <v>58.88</v>
      </c>
      <c r="AN225" s="5">
        <v>77065</v>
      </c>
      <c r="AO225" s="1" t="s">
        <v>434</v>
      </c>
    </row>
    <row r="226" spans="1:41" x14ac:dyDescent="0.25">
      <c r="A226" s="1">
        <f t="shared" si="2"/>
        <v>210</v>
      </c>
      <c r="B226" s="1" t="s">
        <v>514</v>
      </c>
      <c r="C226" s="1" t="s">
        <v>123</v>
      </c>
      <c r="D226" s="1" t="s">
        <v>815</v>
      </c>
      <c r="E226" s="4">
        <v>45292</v>
      </c>
      <c r="F226" s="4">
        <v>45657</v>
      </c>
      <c r="G226" s="1" t="s">
        <v>125</v>
      </c>
      <c r="H226" s="5">
        <v>1618028.3816666666</v>
      </c>
      <c r="I226" s="5">
        <v>90000</v>
      </c>
      <c r="J226" s="5">
        <v>31500</v>
      </c>
      <c r="K226" s="5">
        <v>43200</v>
      </c>
      <c r="L226" s="5">
        <v>0</v>
      </c>
      <c r="M226" s="5">
        <v>164700</v>
      </c>
      <c r="N226" s="5">
        <v>1324364.6599999999</v>
      </c>
      <c r="O226" s="5">
        <v>23963.72</v>
      </c>
      <c r="P226" s="5">
        <v>105000</v>
      </c>
      <c r="Q226" s="5">
        <v>1453328.38</v>
      </c>
      <c r="R226" s="1" t="s">
        <v>853</v>
      </c>
      <c r="S226" s="1" t="s">
        <v>124</v>
      </c>
      <c r="T226" s="4">
        <v>45292</v>
      </c>
      <c r="U226" s="4">
        <v>45657</v>
      </c>
      <c r="V226" s="1" t="s">
        <v>125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1453328.38</v>
      </c>
      <c r="AH226" s="5">
        <v>265832.09999999998</v>
      </c>
      <c r="AI226" s="5">
        <v>0</v>
      </c>
      <c r="AJ226" s="5">
        <v>278051.40000000002</v>
      </c>
      <c r="AK226" s="5">
        <v>0</v>
      </c>
      <c r="AL226" s="5">
        <v>0</v>
      </c>
      <c r="AM226" s="5">
        <v>12219.3</v>
      </c>
      <c r="AN226" s="5">
        <v>265832.09999999998</v>
      </c>
      <c r="AO226" s="1" t="s">
        <v>434</v>
      </c>
    </row>
    <row r="227" spans="1:41" x14ac:dyDescent="0.25">
      <c r="A227" s="1">
        <f t="shared" si="2"/>
        <v>211</v>
      </c>
      <c r="B227" s="1" t="s">
        <v>515</v>
      </c>
      <c r="C227" s="1" t="s">
        <v>123</v>
      </c>
      <c r="D227" s="1" t="s">
        <v>815</v>
      </c>
      <c r="E227" s="4">
        <v>45292</v>
      </c>
      <c r="F227" s="4">
        <v>45657</v>
      </c>
      <c r="G227" s="1" t="s">
        <v>125</v>
      </c>
      <c r="H227" s="5">
        <v>952754.66999999993</v>
      </c>
      <c r="I227" s="5">
        <v>70242.67</v>
      </c>
      <c r="J227" s="5">
        <v>39600</v>
      </c>
      <c r="K227" s="5">
        <v>39572.800000000003</v>
      </c>
      <c r="L227" s="5">
        <v>0</v>
      </c>
      <c r="M227" s="5">
        <v>149415.47</v>
      </c>
      <c r="N227" s="5">
        <v>803339.2</v>
      </c>
      <c r="O227" s="5">
        <v>0</v>
      </c>
      <c r="P227" s="5">
        <v>0</v>
      </c>
      <c r="Q227" s="5">
        <v>803339.2</v>
      </c>
      <c r="R227" s="1" t="s">
        <v>854</v>
      </c>
      <c r="S227" s="1" t="s">
        <v>124</v>
      </c>
      <c r="T227" s="4">
        <v>45292</v>
      </c>
      <c r="U227" s="4">
        <v>45657</v>
      </c>
      <c r="V227" s="1" t="s">
        <v>125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803339.2</v>
      </c>
      <c r="AH227" s="5">
        <v>103334.8</v>
      </c>
      <c r="AI227" s="5">
        <v>0</v>
      </c>
      <c r="AJ227" s="5">
        <v>103782.91</v>
      </c>
      <c r="AK227" s="5">
        <v>0</v>
      </c>
      <c r="AL227" s="5">
        <v>0</v>
      </c>
      <c r="AM227" s="5">
        <v>448.11</v>
      </c>
      <c r="AN227" s="5">
        <v>103334.8</v>
      </c>
      <c r="AO227" s="1" t="s">
        <v>434</v>
      </c>
    </row>
    <row r="228" spans="1:41" x14ac:dyDescent="0.25">
      <c r="A228" s="1">
        <f t="shared" si="2"/>
        <v>212</v>
      </c>
      <c r="B228" s="1" t="s">
        <v>516</v>
      </c>
      <c r="C228" s="1" t="s">
        <v>123</v>
      </c>
      <c r="D228" s="1" t="s">
        <v>815</v>
      </c>
      <c r="E228" s="4">
        <v>45292</v>
      </c>
      <c r="F228" s="4">
        <v>45657</v>
      </c>
      <c r="G228" s="1" t="s">
        <v>125</v>
      </c>
      <c r="H228" s="5">
        <v>674408.05999999994</v>
      </c>
      <c r="I228" s="5">
        <v>46181.54</v>
      </c>
      <c r="J228" s="5">
        <v>39600</v>
      </c>
      <c r="K228" s="5">
        <v>32354.42</v>
      </c>
      <c r="L228" s="5">
        <v>0</v>
      </c>
      <c r="M228" s="5">
        <v>118135.96</v>
      </c>
      <c r="N228" s="5">
        <v>521824.08</v>
      </c>
      <c r="O228" s="5">
        <v>0</v>
      </c>
      <c r="P228" s="5">
        <v>34448.019999999997</v>
      </c>
      <c r="Q228" s="5">
        <v>556272.1</v>
      </c>
      <c r="R228" s="1" t="s">
        <v>855</v>
      </c>
      <c r="S228" s="1" t="s">
        <v>124</v>
      </c>
      <c r="T228" s="4">
        <v>45292</v>
      </c>
      <c r="U228" s="4">
        <v>45657</v>
      </c>
      <c r="V228" s="1" t="s">
        <v>125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556272.1</v>
      </c>
      <c r="AH228" s="5">
        <v>53754.42</v>
      </c>
      <c r="AI228" s="5">
        <v>0</v>
      </c>
      <c r="AJ228" s="5">
        <v>53752.78</v>
      </c>
      <c r="AK228" s="5">
        <v>0</v>
      </c>
      <c r="AL228" s="5">
        <v>1.64</v>
      </c>
      <c r="AM228" s="5">
        <v>0</v>
      </c>
      <c r="AN228" s="5">
        <v>53754.42</v>
      </c>
      <c r="AO228" s="1" t="s">
        <v>434</v>
      </c>
    </row>
    <row r="229" spans="1:41" x14ac:dyDescent="0.25">
      <c r="A229" s="1">
        <f t="shared" si="2"/>
        <v>213</v>
      </c>
      <c r="B229" s="1" t="s">
        <v>517</v>
      </c>
      <c r="C229" s="1" t="s">
        <v>123</v>
      </c>
      <c r="D229" s="1" t="s">
        <v>815</v>
      </c>
      <c r="E229" s="4">
        <v>45292</v>
      </c>
      <c r="F229" s="4">
        <v>45657</v>
      </c>
      <c r="G229" s="1" t="s">
        <v>125</v>
      </c>
      <c r="H229" s="5">
        <v>1045110</v>
      </c>
      <c r="I229" s="5">
        <v>76995</v>
      </c>
      <c r="J229" s="5">
        <v>39600</v>
      </c>
      <c r="K229" s="5">
        <v>41598.5</v>
      </c>
      <c r="L229" s="5">
        <v>4575</v>
      </c>
      <c r="M229" s="5">
        <v>162768.5</v>
      </c>
      <c r="N229" s="5">
        <v>882341.5</v>
      </c>
      <c r="O229" s="5">
        <v>0</v>
      </c>
      <c r="P229" s="5">
        <v>0</v>
      </c>
      <c r="Q229" s="5">
        <v>882341.5</v>
      </c>
      <c r="R229" s="1" t="s">
        <v>856</v>
      </c>
      <c r="S229" s="1" t="s">
        <v>124</v>
      </c>
      <c r="T229" s="4">
        <v>45292</v>
      </c>
      <c r="U229" s="4">
        <v>45657</v>
      </c>
      <c r="V229" s="1" t="s">
        <v>125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882341.5</v>
      </c>
      <c r="AH229" s="5">
        <v>123085.38</v>
      </c>
      <c r="AI229" s="5">
        <v>0</v>
      </c>
      <c r="AJ229" s="5">
        <v>123269.81</v>
      </c>
      <c r="AK229" s="5">
        <v>0</v>
      </c>
      <c r="AL229" s="5">
        <v>0</v>
      </c>
      <c r="AM229" s="5">
        <v>184.44</v>
      </c>
      <c r="AN229" s="5">
        <v>123085.38</v>
      </c>
      <c r="AO229" s="1" t="s">
        <v>434</v>
      </c>
    </row>
    <row r="230" spans="1:41" x14ac:dyDescent="0.25">
      <c r="A230" s="1">
        <f t="shared" si="2"/>
        <v>214</v>
      </c>
      <c r="B230" s="1" t="s">
        <v>518</v>
      </c>
      <c r="C230" s="1" t="s">
        <v>123</v>
      </c>
      <c r="D230" s="1" t="s">
        <v>815</v>
      </c>
      <c r="E230" s="4">
        <v>45292</v>
      </c>
      <c r="F230" s="4">
        <v>45657</v>
      </c>
      <c r="G230" s="1" t="s">
        <v>125</v>
      </c>
      <c r="H230" s="5">
        <v>1325260.0850000002</v>
      </c>
      <c r="I230" s="5">
        <v>90000</v>
      </c>
      <c r="J230" s="5">
        <v>39600</v>
      </c>
      <c r="K230" s="5">
        <v>45689.07</v>
      </c>
      <c r="L230" s="5">
        <v>0</v>
      </c>
      <c r="M230" s="5">
        <v>175289.07</v>
      </c>
      <c r="N230" s="5">
        <v>1041875.43</v>
      </c>
      <c r="O230" s="5">
        <v>630.38</v>
      </c>
      <c r="P230" s="5">
        <v>107465.21</v>
      </c>
      <c r="Q230" s="5">
        <v>1149971.02</v>
      </c>
      <c r="R230" s="1" t="s">
        <v>857</v>
      </c>
      <c r="S230" s="1" t="s">
        <v>124</v>
      </c>
      <c r="T230" s="4">
        <v>45292</v>
      </c>
      <c r="U230" s="4">
        <v>45657</v>
      </c>
      <c r="V230" s="1" t="s">
        <v>125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1149971.02</v>
      </c>
      <c r="AH230" s="5">
        <v>189992.75</v>
      </c>
      <c r="AI230" s="5">
        <v>0</v>
      </c>
      <c r="AJ230" s="5">
        <v>189991.59</v>
      </c>
      <c r="AK230" s="5">
        <v>0</v>
      </c>
      <c r="AL230" s="5">
        <v>1.1599999999999999</v>
      </c>
      <c r="AM230" s="5">
        <v>0</v>
      </c>
      <c r="AN230" s="5">
        <v>189992.75</v>
      </c>
      <c r="AO230" s="1" t="s">
        <v>434</v>
      </c>
    </row>
    <row r="231" spans="1:41" x14ac:dyDescent="0.25">
      <c r="A231" s="1">
        <f t="shared" si="2"/>
        <v>215</v>
      </c>
      <c r="B231" s="1" t="s">
        <v>519</v>
      </c>
      <c r="C231" s="1" t="s">
        <v>123</v>
      </c>
      <c r="D231" s="1" t="s">
        <v>815</v>
      </c>
      <c r="E231" s="4">
        <v>45292</v>
      </c>
      <c r="F231" s="4">
        <v>45657</v>
      </c>
      <c r="G231" s="1" t="s">
        <v>125</v>
      </c>
      <c r="H231" s="5">
        <v>693383.02</v>
      </c>
      <c r="I231" s="5">
        <v>40812.75</v>
      </c>
      <c r="J231" s="5">
        <v>39600</v>
      </c>
      <c r="K231" s="5">
        <v>30743.82</v>
      </c>
      <c r="L231" s="5">
        <v>34100</v>
      </c>
      <c r="M231" s="5">
        <v>145256.57</v>
      </c>
      <c r="N231" s="5">
        <v>459009.18</v>
      </c>
      <c r="O231" s="5">
        <v>0</v>
      </c>
      <c r="P231" s="5">
        <v>89117.27</v>
      </c>
      <c r="Q231" s="5">
        <v>548126.44999999995</v>
      </c>
      <c r="R231" s="1" t="s">
        <v>858</v>
      </c>
      <c r="S231" s="1" t="s">
        <v>124</v>
      </c>
      <c r="T231" s="4">
        <v>45292</v>
      </c>
      <c r="U231" s="4">
        <v>45657</v>
      </c>
      <c r="V231" s="1" t="s">
        <v>125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548126.44999999995</v>
      </c>
      <c r="AH231" s="5">
        <v>52125.29</v>
      </c>
      <c r="AI231" s="5">
        <v>0</v>
      </c>
      <c r="AJ231" s="5">
        <v>52282.49</v>
      </c>
      <c r="AK231" s="5">
        <v>0</v>
      </c>
      <c r="AL231" s="5">
        <v>0</v>
      </c>
      <c r="AM231" s="5">
        <v>157.19999999999999</v>
      </c>
      <c r="AN231" s="5">
        <v>52125.29</v>
      </c>
      <c r="AO231" s="1" t="s">
        <v>434</v>
      </c>
    </row>
    <row r="232" spans="1:41" x14ac:dyDescent="0.25">
      <c r="A232" s="1">
        <f t="shared" si="2"/>
        <v>216</v>
      </c>
      <c r="B232" s="1" t="s">
        <v>520</v>
      </c>
      <c r="C232" s="1" t="s">
        <v>123</v>
      </c>
      <c r="D232" s="1" t="s">
        <v>815</v>
      </c>
      <c r="E232" s="4">
        <v>45292</v>
      </c>
      <c r="F232" s="4">
        <v>45657</v>
      </c>
      <c r="G232" s="1" t="s">
        <v>125</v>
      </c>
      <c r="H232" s="5">
        <v>767337.08</v>
      </c>
      <c r="I232" s="5">
        <v>47566.38</v>
      </c>
      <c r="J232" s="5">
        <v>39600</v>
      </c>
      <c r="K232" s="5">
        <v>32769.870000000003</v>
      </c>
      <c r="L232" s="5">
        <v>17925</v>
      </c>
      <c r="M232" s="5">
        <v>137861.25</v>
      </c>
      <c r="N232" s="5">
        <v>538026.63</v>
      </c>
      <c r="O232" s="5">
        <v>0</v>
      </c>
      <c r="P232" s="5">
        <v>91449.2</v>
      </c>
      <c r="Q232" s="5">
        <v>629475.82999999996</v>
      </c>
      <c r="R232" s="1" t="s">
        <v>859</v>
      </c>
      <c r="S232" s="1" t="s">
        <v>124</v>
      </c>
      <c r="T232" s="4">
        <v>45292</v>
      </c>
      <c r="U232" s="4">
        <v>45657</v>
      </c>
      <c r="V232" s="1" t="s">
        <v>125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629475.82999999996</v>
      </c>
      <c r="AH232" s="5">
        <v>68395.17</v>
      </c>
      <c r="AI232" s="5">
        <v>0</v>
      </c>
      <c r="AJ232" s="5">
        <v>68393.56</v>
      </c>
      <c r="AK232" s="5">
        <v>0</v>
      </c>
      <c r="AL232" s="5">
        <v>1.61</v>
      </c>
      <c r="AM232" s="5">
        <v>0</v>
      </c>
      <c r="AN232" s="5">
        <v>68395.17</v>
      </c>
      <c r="AO232" s="1" t="s">
        <v>434</v>
      </c>
    </row>
    <row r="233" spans="1:41" x14ac:dyDescent="0.25">
      <c r="A233" s="1">
        <f t="shared" si="2"/>
        <v>217</v>
      </c>
      <c r="B233" s="1" t="s">
        <v>521</v>
      </c>
      <c r="C233" s="1" t="s">
        <v>123</v>
      </c>
      <c r="D233" s="1" t="s">
        <v>815</v>
      </c>
      <c r="E233" s="4">
        <v>45292</v>
      </c>
      <c r="F233" s="4">
        <v>45657</v>
      </c>
      <c r="G233" s="1" t="s">
        <v>125</v>
      </c>
      <c r="H233" s="5">
        <v>1063632.42</v>
      </c>
      <c r="I233" s="5">
        <v>77979.42</v>
      </c>
      <c r="J233" s="5">
        <v>39600</v>
      </c>
      <c r="K233" s="5">
        <v>41893.82</v>
      </c>
      <c r="L233" s="5">
        <v>10300</v>
      </c>
      <c r="M233" s="5">
        <v>169773.24</v>
      </c>
      <c r="N233" s="5">
        <v>893859.18</v>
      </c>
      <c r="O233" s="5">
        <v>0</v>
      </c>
      <c r="P233" s="5">
        <v>0</v>
      </c>
      <c r="Q233" s="5">
        <v>893859.18</v>
      </c>
      <c r="R233" s="1" t="s">
        <v>860</v>
      </c>
      <c r="S233" s="1" t="s">
        <v>124</v>
      </c>
      <c r="T233" s="4">
        <v>45292</v>
      </c>
      <c r="U233" s="4">
        <v>45657</v>
      </c>
      <c r="V233" s="1" t="s">
        <v>125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893859.18</v>
      </c>
      <c r="AH233" s="5">
        <v>125964.8</v>
      </c>
      <c r="AI233" s="5">
        <v>0</v>
      </c>
      <c r="AJ233" s="5">
        <v>125963.56</v>
      </c>
      <c r="AK233" s="5">
        <v>0</v>
      </c>
      <c r="AL233" s="5">
        <v>1.24</v>
      </c>
      <c r="AM233" s="5">
        <v>0</v>
      </c>
      <c r="AN233" s="5">
        <v>125964.8</v>
      </c>
      <c r="AO233" s="1" t="s">
        <v>434</v>
      </c>
    </row>
    <row r="234" spans="1:41" x14ac:dyDescent="0.25">
      <c r="A234" s="1">
        <f t="shared" si="2"/>
        <v>218</v>
      </c>
      <c r="B234" s="1" t="s">
        <v>522</v>
      </c>
      <c r="C234" s="1" t="s">
        <v>123</v>
      </c>
      <c r="D234" s="1" t="s">
        <v>815</v>
      </c>
      <c r="E234" s="4">
        <v>45292</v>
      </c>
      <c r="F234" s="4">
        <v>45657</v>
      </c>
      <c r="G234" s="1" t="s">
        <v>125</v>
      </c>
      <c r="H234" s="5">
        <v>555326.56999999995</v>
      </c>
      <c r="I234" s="5">
        <v>36643.870000000003</v>
      </c>
      <c r="J234" s="5">
        <v>39600</v>
      </c>
      <c r="K234" s="5">
        <v>29577.7</v>
      </c>
      <c r="L234" s="5">
        <v>15375</v>
      </c>
      <c r="M234" s="5">
        <v>121196.57</v>
      </c>
      <c r="N234" s="5">
        <v>410148.79</v>
      </c>
      <c r="O234" s="5">
        <v>0</v>
      </c>
      <c r="P234" s="5">
        <v>23981.21</v>
      </c>
      <c r="Q234" s="5">
        <v>434130</v>
      </c>
      <c r="R234" s="1" t="s">
        <v>861</v>
      </c>
      <c r="S234" s="1" t="s">
        <v>124</v>
      </c>
      <c r="T234" s="4">
        <v>45292</v>
      </c>
      <c r="U234" s="4">
        <v>45657</v>
      </c>
      <c r="V234" s="1" t="s">
        <v>125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434130</v>
      </c>
      <c r="AH234" s="5">
        <v>29326</v>
      </c>
      <c r="AI234" s="5">
        <v>0</v>
      </c>
      <c r="AJ234" s="5">
        <v>29429.59</v>
      </c>
      <c r="AK234" s="5">
        <v>0</v>
      </c>
      <c r="AL234" s="5">
        <v>0</v>
      </c>
      <c r="AM234" s="5">
        <v>103.59</v>
      </c>
      <c r="AN234" s="5">
        <v>29326</v>
      </c>
      <c r="AO234" s="1" t="s">
        <v>434</v>
      </c>
    </row>
    <row r="235" spans="1:41" x14ac:dyDescent="0.25">
      <c r="A235" s="1">
        <f t="shared" si="2"/>
        <v>219</v>
      </c>
      <c r="B235" s="1" t="s">
        <v>523</v>
      </c>
      <c r="C235" s="1" t="s">
        <v>123</v>
      </c>
      <c r="D235" s="1" t="s">
        <v>815</v>
      </c>
      <c r="E235" s="4">
        <v>45292</v>
      </c>
      <c r="F235" s="4">
        <v>45657</v>
      </c>
      <c r="G235" s="1" t="s">
        <v>125</v>
      </c>
      <c r="H235" s="5">
        <v>523647.95</v>
      </c>
      <c r="I235" s="5">
        <v>33754.58</v>
      </c>
      <c r="J235" s="5">
        <v>39600</v>
      </c>
      <c r="K235" s="5">
        <v>28603.87</v>
      </c>
      <c r="L235" s="5">
        <v>17100</v>
      </c>
      <c r="M235" s="5">
        <v>119058.45</v>
      </c>
      <c r="N235" s="5">
        <v>376451.13</v>
      </c>
      <c r="O235" s="5">
        <v>0</v>
      </c>
      <c r="P235" s="5">
        <v>28138.37</v>
      </c>
      <c r="Q235" s="5">
        <v>404589.5</v>
      </c>
      <c r="R235" s="1" t="s">
        <v>862</v>
      </c>
      <c r="S235" s="1" t="s">
        <v>124</v>
      </c>
      <c r="T235" s="4">
        <v>45292</v>
      </c>
      <c r="U235" s="4">
        <v>45657</v>
      </c>
      <c r="V235" s="1" t="s">
        <v>125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404589.5</v>
      </c>
      <c r="AH235" s="5">
        <v>23417.9</v>
      </c>
      <c r="AI235" s="5">
        <v>0</v>
      </c>
      <c r="AJ235" s="5">
        <v>24061.57</v>
      </c>
      <c r="AK235" s="5">
        <v>0</v>
      </c>
      <c r="AL235" s="5">
        <v>0</v>
      </c>
      <c r="AM235" s="5">
        <v>643.66999999999996</v>
      </c>
      <c r="AN235" s="5">
        <v>23417.9</v>
      </c>
      <c r="AO235" s="1" t="s">
        <v>434</v>
      </c>
    </row>
    <row r="236" spans="1:41" x14ac:dyDescent="0.25">
      <c r="A236" s="1">
        <f t="shared" ref="A236:A299" si="3">A235+1</f>
        <v>220</v>
      </c>
      <c r="B236" s="1" t="s">
        <v>524</v>
      </c>
      <c r="C236" s="1" t="s">
        <v>123</v>
      </c>
      <c r="D236" s="1" t="s">
        <v>815</v>
      </c>
      <c r="E236" s="4">
        <v>45292</v>
      </c>
      <c r="F236" s="4">
        <v>45657</v>
      </c>
      <c r="G236" s="1" t="s">
        <v>125</v>
      </c>
      <c r="H236" s="5">
        <v>927757.58</v>
      </c>
      <c r="I236" s="5">
        <v>67550.58</v>
      </c>
      <c r="J236" s="5">
        <v>39600</v>
      </c>
      <c r="K236" s="5">
        <v>38765.17</v>
      </c>
      <c r="L236" s="5">
        <v>10000</v>
      </c>
      <c r="M236" s="5">
        <v>155915.75</v>
      </c>
      <c r="N236" s="5">
        <v>771841.83</v>
      </c>
      <c r="O236" s="5">
        <v>0</v>
      </c>
      <c r="P236" s="5">
        <v>0</v>
      </c>
      <c r="Q236" s="5">
        <v>771841.83</v>
      </c>
      <c r="R236" s="1" t="s">
        <v>863</v>
      </c>
      <c r="S236" s="1" t="s">
        <v>124</v>
      </c>
      <c r="T236" s="4">
        <v>45292</v>
      </c>
      <c r="U236" s="4">
        <v>45657</v>
      </c>
      <c r="V236" s="1" t="s">
        <v>125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771841.83</v>
      </c>
      <c r="AH236" s="5">
        <v>96868.37</v>
      </c>
      <c r="AI236" s="5">
        <v>0</v>
      </c>
      <c r="AJ236" s="5">
        <v>96888.39</v>
      </c>
      <c r="AK236" s="5">
        <v>0</v>
      </c>
      <c r="AL236" s="5">
        <v>0</v>
      </c>
      <c r="AM236" s="5">
        <v>20.02</v>
      </c>
      <c r="AN236" s="5">
        <v>96868.37</v>
      </c>
      <c r="AO236" s="1" t="s">
        <v>434</v>
      </c>
    </row>
    <row r="237" spans="1:41" x14ac:dyDescent="0.25">
      <c r="A237" s="1">
        <f t="shared" si="3"/>
        <v>221</v>
      </c>
      <c r="B237" s="1" t="s">
        <v>525</v>
      </c>
      <c r="C237" s="1" t="s">
        <v>123</v>
      </c>
      <c r="D237" s="1" t="s">
        <v>815</v>
      </c>
      <c r="E237" s="4">
        <v>45292</v>
      </c>
      <c r="F237" s="4">
        <v>45657</v>
      </c>
      <c r="G237" s="1" t="s">
        <v>125</v>
      </c>
      <c r="H237" s="5">
        <v>1481443.75</v>
      </c>
      <c r="I237" s="5">
        <v>90000</v>
      </c>
      <c r="J237" s="5">
        <v>39600</v>
      </c>
      <c r="K237" s="5">
        <v>48500</v>
      </c>
      <c r="L237" s="5">
        <v>15000</v>
      </c>
      <c r="M237" s="5">
        <v>193100</v>
      </c>
      <c r="N237" s="5">
        <v>1256125</v>
      </c>
      <c r="O237" s="5">
        <v>18718.75</v>
      </c>
      <c r="P237" s="5">
        <v>13500</v>
      </c>
      <c r="Q237" s="5">
        <v>1288343.75</v>
      </c>
      <c r="R237" s="1" t="s">
        <v>864</v>
      </c>
      <c r="S237" s="1" t="s">
        <v>124</v>
      </c>
      <c r="T237" s="4">
        <v>45292</v>
      </c>
      <c r="U237" s="4">
        <v>45657</v>
      </c>
      <c r="V237" s="1" t="s">
        <v>125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1288343.75</v>
      </c>
      <c r="AH237" s="5">
        <v>224585.94</v>
      </c>
      <c r="AI237" s="5">
        <v>0</v>
      </c>
      <c r="AJ237" s="5">
        <v>224584.74</v>
      </c>
      <c r="AK237" s="5">
        <v>0</v>
      </c>
      <c r="AL237" s="5">
        <v>1.2</v>
      </c>
      <c r="AM237" s="5">
        <v>0</v>
      </c>
      <c r="AN237" s="5">
        <v>224585.94</v>
      </c>
      <c r="AO237" s="1" t="s">
        <v>434</v>
      </c>
    </row>
    <row r="238" spans="1:41" x14ac:dyDescent="0.25">
      <c r="A238" s="1">
        <f t="shared" si="3"/>
        <v>222</v>
      </c>
      <c r="B238" s="1" t="s">
        <v>526</v>
      </c>
      <c r="C238" s="1" t="s">
        <v>123</v>
      </c>
      <c r="D238" s="1" t="s">
        <v>815</v>
      </c>
      <c r="E238" s="4">
        <v>45292</v>
      </c>
      <c r="F238" s="4">
        <v>45657</v>
      </c>
      <c r="G238" s="1" t="s">
        <v>125</v>
      </c>
      <c r="H238" s="5">
        <v>1854655.7050000001</v>
      </c>
      <c r="I238" s="5">
        <v>90000</v>
      </c>
      <c r="J238" s="5">
        <v>36000</v>
      </c>
      <c r="K238" s="5">
        <v>48500</v>
      </c>
      <c r="L238" s="5">
        <v>0</v>
      </c>
      <c r="M238" s="5">
        <v>174500</v>
      </c>
      <c r="N238" s="5">
        <v>1520432</v>
      </c>
      <c r="O238" s="5">
        <v>39723.71</v>
      </c>
      <c r="P238" s="5">
        <v>120000</v>
      </c>
      <c r="Q238" s="5">
        <v>1680155.71</v>
      </c>
      <c r="R238" s="1" t="s">
        <v>865</v>
      </c>
      <c r="S238" s="1" t="s">
        <v>124</v>
      </c>
      <c r="T238" s="4">
        <v>45292</v>
      </c>
      <c r="U238" s="4">
        <v>45657</v>
      </c>
      <c r="V238" s="1" t="s">
        <v>125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1680155.71</v>
      </c>
      <c r="AH238" s="5">
        <v>322538.93</v>
      </c>
      <c r="AI238" s="5">
        <v>0</v>
      </c>
      <c r="AJ238" s="5">
        <v>322537.74</v>
      </c>
      <c r="AK238" s="5">
        <v>0</v>
      </c>
      <c r="AL238" s="5">
        <v>1.19</v>
      </c>
      <c r="AM238" s="5">
        <v>0</v>
      </c>
      <c r="AN238" s="5">
        <v>322538.93</v>
      </c>
      <c r="AO238" s="1" t="s">
        <v>434</v>
      </c>
    </row>
    <row r="239" spans="1:41" x14ac:dyDescent="0.25">
      <c r="A239" s="1">
        <f t="shared" si="3"/>
        <v>223</v>
      </c>
      <c r="B239" s="1" t="s">
        <v>527</v>
      </c>
      <c r="C239" s="1" t="s">
        <v>123</v>
      </c>
      <c r="D239" s="1" t="s">
        <v>815</v>
      </c>
      <c r="E239" s="4">
        <v>45292</v>
      </c>
      <c r="F239" s="4">
        <v>45657</v>
      </c>
      <c r="G239" s="1" t="s">
        <v>125</v>
      </c>
      <c r="H239" s="5">
        <v>1597749.8333333333</v>
      </c>
      <c r="I239" s="5">
        <v>90000</v>
      </c>
      <c r="J239" s="5">
        <v>36000</v>
      </c>
      <c r="K239" s="5">
        <v>48500</v>
      </c>
      <c r="L239" s="5">
        <v>0</v>
      </c>
      <c r="M239" s="5">
        <v>174500</v>
      </c>
      <c r="N239" s="5">
        <v>1282346</v>
      </c>
      <c r="O239" s="5">
        <v>20903.830000000002</v>
      </c>
      <c r="P239" s="5">
        <v>120000</v>
      </c>
      <c r="Q239" s="5">
        <v>1423249.83</v>
      </c>
      <c r="R239" s="1" t="s">
        <v>866</v>
      </c>
      <c r="S239" s="1" t="s">
        <v>124</v>
      </c>
      <c r="T239" s="4">
        <v>45292</v>
      </c>
      <c r="U239" s="4">
        <v>45657</v>
      </c>
      <c r="V239" s="1" t="s">
        <v>125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1423249.83</v>
      </c>
      <c r="AH239" s="5">
        <v>258312.46</v>
      </c>
      <c r="AI239" s="5">
        <v>0</v>
      </c>
      <c r="AJ239" s="5">
        <v>258311.26</v>
      </c>
      <c r="AK239" s="5">
        <v>0</v>
      </c>
      <c r="AL239" s="5">
        <v>1.2</v>
      </c>
      <c r="AM239" s="5">
        <v>0</v>
      </c>
      <c r="AN239" s="5">
        <v>258312.46</v>
      </c>
      <c r="AO239" s="1" t="s">
        <v>434</v>
      </c>
    </row>
    <row r="240" spans="1:41" x14ac:dyDescent="0.25">
      <c r="A240" s="1">
        <f t="shared" si="3"/>
        <v>224</v>
      </c>
      <c r="B240" s="1" t="s">
        <v>528</v>
      </c>
      <c r="C240" s="1" t="s">
        <v>123</v>
      </c>
      <c r="D240" s="1" t="s">
        <v>815</v>
      </c>
      <c r="E240" s="4">
        <v>45292</v>
      </c>
      <c r="F240" s="4">
        <v>45657</v>
      </c>
      <c r="G240" s="1" t="s">
        <v>125</v>
      </c>
      <c r="H240" s="5">
        <v>891898.19</v>
      </c>
      <c r="I240" s="5">
        <v>65413.75</v>
      </c>
      <c r="J240" s="5">
        <v>39600</v>
      </c>
      <c r="K240" s="5">
        <v>38124.120000000003</v>
      </c>
      <c r="L240" s="5">
        <v>0</v>
      </c>
      <c r="M240" s="5">
        <v>143137.87</v>
      </c>
      <c r="N240" s="5">
        <v>746840.88</v>
      </c>
      <c r="O240" s="5">
        <v>0</v>
      </c>
      <c r="P240" s="5">
        <v>1919.44</v>
      </c>
      <c r="Q240" s="5">
        <v>748760.32</v>
      </c>
      <c r="R240" s="1" t="s">
        <v>867</v>
      </c>
      <c r="S240" s="1" t="s">
        <v>124</v>
      </c>
      <c r="T240" s="4">
        <v>45292</v>
      </c>
      <c r="U240" s="4">
        <v>45657</v>
      </c>
      <c r="V240" s="1" t="s">
        <v>125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748760.32</v>
      </c>
      <c r="AH240" s="5">
        <v>92252.06</v>
      </c>
      <c r="AI240" s="5">
        <v>0</v>
      </c>
      <c r="AJ240" s="5">
        <v>92250.48</v>
      </c>
      <c r="AK240" s="5">
        <v>0</v>
      </c>
      <c r="AL240" s="5">
        <v>1.58</v>
      </c>
      <c r="AM240" s="5">
        <v>0</v>
      </c>
      <c r="AN240" s="5">
        <v>92252.06</v>
      </c>
      <c r="AO240" s="1" t="s">
        <v>434</v>
      </c>
    </row>
    <row r="241" spans="1:41" x14ac:dyDescent="0.25">
      <c r="A241" s="1">
        <f t="shared" si="3"/>
        <v>225</v>
      </c>
      <c r="B241" s="1" t="s">
        <v>529</v>
      </c>
      <c r="C241" s="1" t="s">
        <v>123</v>
      </c>
      <c r="D241" s="1" t="s">
        <v>815</v>
      </c>
      <c r="E241" s="4">
        <v>45292</v>
      </c>
      <c r="F241" s="4">
        <v>45657</v>
      </c>
      <c r="G241" s="1" t="s">
        <v>125</v>
      </c>
      <c r="H241" s="5">
        <v>776441.74</v>
      </c>
      <c r="I241" s="5">
        <v>55221.38</v>
      </c>
      <c r="J241" s="5">
        <v>39600</v>
      </c>
      <c r="K241" s="5">
        <v>35052.76</v>
      </c>
      <c r="L241" s="5">
        <v>14575</v>
      </c>
      <c r="M241" s="5">
        <v>144449.14000000001</v>
      </c>
      <c r="N241" s="5">
        <v>627603.74</v>
      </c>
      <c r="O241" s="5">
        <v>0</v>
      </c>
      <c r="P241" s="5">
        <v>4388.8599999999997</v>
      </c>
      <c r="Q241" s="5">
        <v>631992.6</v>
      </c>
      <c r="R241" s="1" t="s">
        <v>868</v>
      </c>
      <c r="S241" s="1" t="s">
        <v>124</v>
      </c>
      <c r="T241" s="4">
        <v>45292</v>
      </c>
      <c r="U241" s="4">
        <v>45657</v>
      </c>
      <c r="V241" s="1" t="s">
        <v>125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631992.6</v>
      </c>
      <c r="AH241" s="5">
        <v>68898.52</v>
      </c>
      <c r="AI241" s="5">
        <v>0</v>
      </c>
      <c r="AJ241" s="5">
        <v>68896.88</v>
      </c>
      <c r="AK241" s="5">
        <v>0</v>
      </c>
      <c r="AL241" s="5">
        <v>1.64</v>
      </c>
      <c r="AM241" s="5">
        <v>0</v>
      </c>
      <c r="AN241" s="5">
        <v>68898.52</v>
      </c>
      <c r="AO241" s="1" t="s">
        <v>434</v>
      </c>
    </row>
    <row r="242" spans="1:41" x14ac:dyDescent="0.25">
      <c r="A242" s="1">
        <f t="shared" si="3"/>
        <v>226</v>
      </c>
      <c r="B242" s="1" t="s">
        <v>530</v>
      </c>
      <c r="C242" s="1" t="s">
        <v>123</v>
      </c>
      <c r="D242" s="1" t="s">
        <v>815</v>
      </c>
      <c r="E242" s="4">
        <v>45292</v>
      </c>
      <c r="F242" s="4">
        <v>45657</v>
      </c>
      <c r="G242" s="1" t="s">
        <v>125</v>
      </c>
      <c r="H242" s="5">
        <v>1170193.0899999999</v>
      </c>
      <c r="I242" s="5">
        <v>86951.25</v>
      </c>
      <c r="J242" s="5">
        <v>39600</v>
      </c>
      <c r="K242" s="5">
        <v>44585.37</v>
      </c>
      <c r="L242" s="5">
        <v>0</v>
      </c>
      <c r="M242" s="5">
        <v>171136.62</v>
      </c>
      <c r="N242" s="5">
        <v>998829.63</v>
      </c>
      <c r="O242" s="5">
        <v>0</v>
      </c>
      <c r="P242" s="5">
        <v>226.84</v>
      </c>
      <c r="Q242" s="5">
        <v>999056.47</v>
      </c>
      <c r="R242" s="1" t="s">
        <v>869</v>
      </c>
      <c r="S242" s="1" t="s">
        <v>124</v>
      </c>
      <c r="T242" s="4">
        <v>45292</v>
      </c>
      <c r="U242" s="4">
        <v>45657</v>
      </c>
      <c r="V242" s="1" t="s">
        <v>125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999056.47</v>
      </c>
      <c r="AH242" s="5">
        <v>152264.12</v>
      </c>
      <c r="AI242" s="5">
        <v>0</v>
      </c>
      <c r="AJ242" s="5">
        <v>152262.93</v>
      </c>
      <c r="AK242" s="5">
        <v>0</v>
      </c>
      <c r="AL242" s="5">
        <v>1.19</v>
      </c>
      <c r="AM242" s="5">
        <v>0</v>
      </c>
      <c r="AN242" s="5">
        <v>152264.12</v>
      </c>
      <c r="AO242" s="1" t="s">
        <v>434</v>
      </c>
    </row>
    <row r="243" spans="1:41" x14ac:dyDescent="0.25">
      <c r="A243" s="1">
        <f t="shared" si="3"/>
        <v>227</v>
      </c>
      <c r="B243" s="1" t="s">
        <v>531</v>
      </c>
      <c r="C243" s="1" t="s">
        <v>123</v>
      </c>
      <c r="D243" s="1" t="s">
        <v>815</v>
      </c>
      <c r="E243" s="4">
        <v>45292</v>
      </c>
      <c r="F243" s="4">
        <v>45657</v>
      </c>
      <c r="G243" s="1" t="s">
        <v>125</v>
      </c>
      <c r="H243" s="5">
        <v>1930906.25</v>
      </c>
      <c r="I243" s="5">
        <v>90000</v>
      </c>
      <c r="J243" s="5">
        <v>36000</v>
      </c>
      <c r="K243" s="5">
        <v>48500</v>
      </c>
      <c r="L243" s="5">
        <v>0</v>
      </c>
      <c r="M243" s="5">
        <v>174500</v>
      </c>
      <c r="N243" s="5">
        <v>1589875</v>
      </c>
      <c r="O243" s="5">
        <v>46531.25</v>
      </c>
      <c r="P243" s="5">
        <v>120000</v>
      </c>
      <c r="Q243" s="5">
        <v>1756406.25</v>
      </c>
      <c r="R243" s="1" t="s">
        <v>870</v>
      </c>
      <c r="S243" s="1" t="s">
        <v>124</v>
      </c>
      <c r="T243" s="4">
        <v>45292</v>
      </c>
      <c r="U243" s="4">
        <v>45657</v>
      </c>
      <c r="V243" s="1" t="s">
        <v>125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1756406.25</v>
      </c>
      <c r="AH243" s="5">
        <v>341601.56</v>
      </c>
      <c r="AI243" s="5">
        <v>0</v>
      </c>
      <c r="AJ243" s="5">
        <v>341600.36</v>
      </c>
      <c r="AK243" s="5">
        <v>0</v>
      </c>
      <c r="AL243" s="5">
        <v>1.2</v>
      </c>
      <c r="AM243" s="5">
        <v>0</v>
      </c>
      <c r="AN243" s="5">
        <v>341601.56</v>
      </c>
      <c r="AO243" s="1" t="s">
        <v>434</v>
      </c>
    </row>
    <row r="244" spans="1:41" x14ac:dyDescent="0.25">
      <c r="A244" s="1">
        <f t="shared" si="3"/>
        <v>228</v>
      </c>
      <c r="B244" s="1" t="s">
        <v>532</v>
      </c>
      <c r="C244" s="1" t="s">
        <v>123</v>
      </c>
      <c r="D244" s="1" t="s">
        <v>815</v>
      </c>
      <c r="E244" s="4">
        <v>45292</v>
      </c>
      <c r="F244" s="4">
        <v>45657</v>
      </c>
      <c r="G244" s="1" t="s">
        <v>125</v>
      </c>
      <c r="H244" s="5">
        <v>483267.37</v>
      </c>
      <c r="I244" s="5">
        <v>31301</v>
      </c>
      <c r="J244" s="5">
        <v>39600</v>
      </c>
      <c r="K244" s="5">
        <v>27845.3</v>
      </c>
      <c r="L244" s="5">
        <v>15675</v>
      </c>
      <c r="M244" s="5">
        <v>114421.3</v>
      </c>
      <c r="N244" s="5">
        <v>347766.7</v>
      </c>
      <c r="O244" s="5">
        <v>0</v>
      </c>
      <c r="P244" s="5">
        <v>21079.37</v>
      </c>
      <c r="Q244" s="5">
        <v>368846.07</v>
      </c>
      <c r="R244" s="1" t="s">
        <v>871</v>
      </c>
      <c r="S244" s="1" t="s">
        <v>124</v>
      </c>
      <c r="T244" s="4">
        <v>45292</v>
      </c>
      <c r="U244" s="4">
        <v>45657</v>
      </c>
      <c r="V244" s="1" t="s">
        <v>125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368846.07</v>
      </c>
      <c r="AH244" s="5">
        <v>17826.91</v>
      </c>
      <c r="AI244" s="5">
        <v>0</v>
      </c>
      <c r="AJ244" s="5">
        <v>18101.93</v>
      </c>
      <c r="AK244" s="5">
        <v>0</v>
      </c>
      <c r="AL244" s="5">
        <v>0</v>
      </c>
      <c r="AM244" s="5">
        <v>275.02</v>
      </c>
      <c r="AN244" s="5">
        <v>17826.91</v>
      </c>
      <c r="AO244" s="1" t="s">
        <v>434</v>
      </c>
    </row>
    <row r="245" spans="1:41" x14ac:dyDescent="0.25">
      <c r="A245" s="1">
        <f t="shared" si="3"/>
        <v>229</v>
      </c>
      <c r="B245" s="1" t="s">
        <v>533</v>
      </c>
      <c r="C245" s="1" t="s">
        <v>123</v>
      </c>
      <c r="D245" s="1" t="s">
        <v>815</v>
      </c>
      <c r="E245" s="4">
        <v>45292</v>
      </c>
      <c r="F245" s="4">
        <v>45657</v>
      </c>
      <c r="G245" s="1" t="s">
        <v>125</v>
      </c>
      <c r="H245" s="5">
        <v>1861743</v>
      </c>
      <c r="I245" s="5">
        <v>90000</v>
      </c>
      <c r="J245" s="5">
        <v>36000</v>
      </c>
      <c r="K245" s="5">
        <v>48500</v>
      </c>
      <c r="L245" s="5">
        <v>0</v>
      </c>
      <c r="M245" s="5">
        <v>174500</v>
      </c>
      <c r="N245" s="5">
        <v>1526032</v>
      </c>
      <c r="O245" s="5">
        <v>41211</v>
      </c>
      <c r="P245" s="5">
        <v>120000</v>
      </c>
      <c r="Q245" s="5">
        <v>1687243</v>
      </c>
      <c r="R245" s="1" t="s">
        <v>872</v>
      </c>
      <c r="S245" s="1" t="s">
        <v>124</v>
      </c>
      <c r="T245" s="4">
        <v>45292</v>
      </c>
      <c r="U245" s="4">
        <v>45657</v>
      </c>
      <c r="V245" s="1" t="s">
        <v>125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1687243</v>
      </c>
      <c r="AH245" s="5">
        <v>324310.75</v>
      </c>
      <c r="AI245" s="5">
        <v>0</v>
      </c>
      <c r="AJ245" s="5">
        <v>324309.55</v>
      </c>
      <c r="AK245" s="5">
        <v>0</v>
      </c>
      <c r="AL245" s="5">
        <v>1.2</v>
      </c>
      <c r="AM245" s="5">
        <v>0</v>
      </c>
      <c r="AN245" s="5">
        <v>324310.75</v>
      </c>
      <c r="AO245" s="1" t="s">
        <v>434</v>
      </c>
    </row>
    <row r="246" spans="1:41" x14ac:dyDescent="0.25">
      <c r="A246" s="1">
        <f t="shared" si="3"/>
        <v>230</v>
      </c>
      <c r="B246" s="1" t="s">
        <v>534</v>
      </c>
      <c r="C246" s="1" t="s">
        <v>123</v>
      </c>
      <c r="D246" s="1" t="s">
        <v>815</v>
      </c>
      <c r="E246" s="4">
        <v>45292</v>
      </c>
      <c r="F246" s="4">
        <v>45657</v>
      </c>
      <c r="G246" s="1" t="s">
        <v>125</v>
      </c>
      <c r="H246" s="5">
        <v>1831788.8333333333</v>
      </c>
      <c r="I246" s="5">
        <v>90000</v>
      </c>
      <c r="J246" s="5">
        <v>36000</v>
      </c>
      <c r="K246" s="5">
        <v>48500</v>
      </c>
      <c r="L246" s="5">
        <v>0</v>
      </c>
      <c r="M246" s="5">
        <v>174500</v>
      </c>
      <c r="N246" s="5">
        <v>1498382</v>
      </c>
      <c r="O246" s="5">
        <v>38906.83</v>
      </c>
      <c r="P246" s="5">
        <v>120000</v>
      </c>
      <c r="Q246" s="5">
        <v>1657288.83</v>
      </c>
      <c r="R246" s="1" t="s">
        <v>873</v>
      </c>
      <c r="S246" s="1" t="s">
        <v>124</v>
      </c>
      <c r="T246" s="4">
        <v>45292</v>
      </c>
      <c r="U246" s="4">
        <v>45657</v>
      </c>
      <c r="V246" s="1" t="s">
        <v>125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1657288.83</v>
      </c>
      <c r="AH246" s="5">
        <v>316822.21000000002</v>
      </c>
      <c r="AI246" s="5">
        <v>0</v>
      </c>
      <c r="AJ246" s="5">
        <v>316821.01</v>
      </c>
      <c r="AK246" s="5">
        <v>0</v>
      </c>
      <c r="AL246" s="5">
        <v>1.2</v>
      </c>
      <c r="AM246" s="5">
        <v>0</v>
      </c>
      <c r="AN246" s="5">
        <v>316822.21000000002</v>
      </c>
      <c r="AO246" s="1" t="s">
        <v>434</v>
      </c>
    </row>
    <row r="247" spans="1:41" x14ac:dyDescent="0.25">
      <c r="A247" s="1">
        <f t="shared" si="3"/>
        <v>231</v>
      </c>
      <c r="B247" s="1" t="s">
        <v>535</v>
      </c>
      <c r="C247" s="1" t="s">
        <v>123</v>
      </c>
      <c r="D247" s="1" t="s">
        <v>815</v>
      </c>
      <c r="E247" s="4">
        <v>45292</v>
      </c>
      <c r="F247" s="4">
        <v>45657</v>
      </c>
      <c r="G247" s="1" t="s">
        <v>125</v>
      </c>
      <c r="H247" s="5">
        <v>863268.39</v>
      </c>
      <c r="I247" s="5">
        <v>61835.08</v>
      </c>
      <c r="J247" s="5">
        <v>39600</v>
      </c>
      <c r="K247" s="5">
        <v>37050.519999999997</v>
      </c>
      <c r="L247" s="5">
        <v>16700</v>
      </c>
      <c r="M247" s="5">
        <v>155185.60000000001</v>
      </c>
      <c r="N247" s="5">
        <v>704970.48</v>
      </c>
      <c r="O247" s="5">
        <v>0</v>
      </c>
      <c r="P247" s="5">
        <v>3112.31</v>
      </c>
      <c r="Q247" s="5">
        <v>708082.79</v>
      </c>
      <c r="R247" s="1" t="s">
        <v>874</v>
      </c>
      <c r="S247" s="1" t="s">
        <v>124</v>
      </c>
      <c r="T247" s="4">
        <v>45292</v>
      </c>
      <c r="U247" s="4">
        <v>45657</v>
      </c>
      <c r="V247" s="1" t="s">
        <v>125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708082.79</v>
      </c>
      <c r="AH247" s="5">
        <v>84116.56</v>
      </c>
      <c r="AI247" s="5">
        <v>0</v>
      </c>
      <c r="AJ247" s="5">
        <v>83714.97</v>
      </c>
      <c r="AK247" s="5">
        <v>0</v>
      </c>
      <c r="AL247" s="5">
        <v>401.59</v>
      </c>
      <c r="AM247" s="5">
        <v>0</v>
      </c>
      <c r="AN247" s="5">
        <v>84116.56</v>
      </c>
      <c r="AO247" s="1" t="s">
        <v>434</v>
      </c>
    </row>
    <row r="248" spans="1:41" x14ac:dyDescent="0.25">
      <c r="A248" s="1">
        <f t="shared" si="3"/>
        <v>232</v>
      </c>
      <c r="B248" s="1" t="s">
        <v>536</v>
      </c>
      <c r="C248" s="1" t="s">
        <v>123</v>
      </c>
      <c r="D248" s="1" t="s">
        <v>815</v>
      </c>
      <c r="E248" s="4">
        <v>45292</v>
      </c>
      <c r="F248" s="4">
        <v>45657</v>
      </c>
      <c r="G248" s="1" t="s">
        <v>125</v>
      </c>
      <c r="H248" s="5">
        <v>1298247</v>
      </c>
      <c r="I248" s="5">
        <v>90000</v>
      </c>
      <c r="J248" s="5">
        <v>39600</v>
      </c>
      <c r="K248" s="5">
        <v>47408</v>
      </c>
      <c r="L248" s="5">
        <v>0</v>
      </c>
      <c r="M248" s="5">
        <v>177008</v>
      </c>
      <c r="N248" s="5">
        <v>1114420</v>
      </c>
      <c r="O248" s="5">
        <v>6819</v>
      </c>
      <c r="P248" s="5">
        <v>0</v>
      </c>
      <c r="Q248" s="5">
        <v>1121239</v>
      </c>
      <c r="R248" s="1" t="s">
        <v>875</v>
      </c>
      <c r="S248" s="1" t="s">
        <v>124</v>
      </c>
      <c r="T248" s="4">
        <v>45292</v>
      </c>
      <c r="U248" s="4">
        <v>45657</v>
      </c>
      <c r="V248" s="1" t="s">
        <v>125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1121239</v>
      </c>
      <c r="AH248" s="5">
        <v>182809.75</v>
      </c>
      <c r="AI248" s="5">
        <v>0</v>
      </c>
      <c r="AJ248" s="5">
        <v>182808.55</v>
      </c>
      <c r="AK248" s="5">
        <v>0</v>
      </c>
      <c r="AL248" s="5">
        <v>1.2</v>
      </c>
      <c r="AM248" s="5">
        <v>0</v>
      </c>
      <c r="AN248" s="5">
        <v>182809.75</v>
      </c>
      <c r="AO248" s="1" t="s">
        <v>434</v>
      </c>
    </row>
    <row r="249" spans="1:41" x14ac:dyDescent="0.25">
      <c r="A249" s="1">
        <f t="shared" si="3"/>
        <v>233</v>
      </c>
      <c r="B249" s="1" t="s">
        <v>537</v>
      </c>
      <c r="C249" s="1" t="s">
        <v>123</v>
      </c>
      <c r="D249" s="1" t="s">
        <v>815</v>
      </c>
      <c r="E249" s="4">
        <v>45292</v>
      </c>
      <c r="F249" s="4">
        <v>45657</v>
      </c>
      <c r="G249" s="1" t="s">
        <v>125</v>
      </c>
      <c r="H249" s="5">
        <v>869809.04</v>
      </c>
      <c r="I249" s="5">
        <v>52252.54</v>
      </c>
      <c r="J249" s="5">
        <v>39600</v>
      </c>
      <c r="K249" s="5">
        <v>34175.72</v>
      </c>
      <c r="L249" s="5">
        <v>34325</v>
      </c>
      <c r="M249" s="5">
        <v>160353.26</v>
      </c>
      <c r="N249" s="5">
        <v>592854.78</v>
      </c>
      <c r="O249" s="5">
        <v>0</v>
      </c>
      <c r="P249" s="5">
        <v>116601</v>
      </c>
      <c r="Q249" s="5">
        <v>709455.78</v>
      </c>
      <c r="R249" s="1" t="s">
        <v>876</v>
      </c>
      <c r="S249" s="1" t="s">
        <v>124</v>
      </c>
      <c r="T249" s="4">
        <v>45292</v>
      </c>
      <c r="U249" s="4">
        <v>45657</v>
      </c>
      <c r="V249" s="1" t="s">
        <v>125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709455.78</v>
      </c>
      <c r="AH249" s="5">
        <v>84391.16</v>
      </c>
      <c r="AI249" s="5">
        <v>0</v>
      </c>
      <c r="AJ249" s="5">
        <v>85591.95</v>
      </c>
      <c r="AK249" s="5">
        <v>0</v>
      </c>
      <c r="AL249" s="5">
        <v>0</v>
      </c>
      <c r="AM249" s="5">
        <v>1200.79</v>
      </c>
      <c r="AN249" s="5">
        <v>84391.16</v>
      </c>
      <c r="AO249" s="1" t="s">
        <v>434</v>
      </c>
    </row>
    <row r="250" spans="1:41" x14ac:dyDescent="0.25">
      <c r="A250" s="1">
        <f t="shared" si="3"/>
        <v>234</v>
      </c>
      <c r="B250" s="1" t="s">
        <v>538</v>
      </c>
      <c r="C250" s="1" t="s">
        <v>123</v>
      </c>
      <c r="D250" s="1" t="s">
        <v>815</v>
      </c>
      <c r="E250" s="4">
        <v>45292</v>
      </c>
      <c r="F250" s="4">
        <v>45657</v>
      </c>
      <c r="G250" s="1" t="s">
        <v>125</v>
      </c>
      <c r="H250" s="5">
        <v>842731.33</v>
      </c>
      <c r="I250" s="5">
        <v>59770.12</v>
      </c>
      <c r="J250" s="5">
        <v>31550</v>
      </c>
      <c r="K250" s="5">
        <v>36500</v>
      </c>
      <c r="L250" s="5">
        <v>17025</v>
      </c>
      <c r="M250" s="5">
        <v>144845.12</v>
      </c>
      <c r="N250" s="5">
        <v>680741.38</v>
      </c>
      <c r="O250" s="5">
        <v>0</v>
      </c>
      <c r="P250" s="5">
        <v>17144.830000000002</v>
      </c>
      <c r="Q250" s="5">
        <v>697886.21</v>
      </c>
      <c r="R250" s="1" t="s">
        <v>877</v>
      </c>
      <c r="S250" s="1" t="s">
        <v>124</v>
      </c>
      <c r="T250" s="4">
        <v>45292</v>
      </c>
      <c r="U250" s="4">
        <v>45657</v>
      </c>
      <c r="V250" s="1" t="s">
        <v>125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697886.21</v>
      </c>
      <c r="AH250" s="5">
        <v>82077.240000000005</v>
      </c>
      <c r="AI250" s="5">
        <v>0</v>
      </c>
      <c r="AJ250" s="5">
        <v>82798.63</v>
      </c>
      <c r="AK250" s="5">
        <v>0</v>
      </c>
      <c r="AL250" s="5">
        <v>0</v>
      </c>
      <c r="AM250" s="5">
        <v>721.39</v>
      </c>
      <c r="AN250" s="5">
        <v>82077.240000000005</v>
      </c>
      <c r="AO250" s="1" t="s">
        <v>434</v>
      </c>
    </row>
    <row r="251" spans="1:41" x14ac:dyDescent="0.25">
      <c r="A251" s="1">
        <f t="shared" si="3"/>
        <v>235</v>
      </c>
      <c r="B251" s="1" t="s">
        <v>539</v>
      </c>
      <c r="C251" s="1" t="s">
        <v>123</v>
      </c>
      <c r="D251" s="1" t="s">
        <v>815</v>
      </c>
      <c r="E251" s="4">
        <v>45292</v>
      </c>
      <c r="F251" s="4">
        <v>45657</v>
      </c>
      <c r="G251" s="1" t="s">
        <v>125</v>
      </c>
      <c r="H251" s="5">
        <v>1117159.17</v>
      </c>
      <c r="I251" s="5">
        <v>82889.17</v>
      </c>
      <c r="J251" s="5">
        <v>39600</v>
      </c>
      <c r="K251" s="5">
        <v>43366.75</v>
      </c>
      <c r="L251" s="5">
        <v>0</v>
      </c>
      <c r="M251" s="5">
        <v>165855.92000000001</v>
      </c>
      <c r="N251" s="5">
        <v>951303.25</v>
      </c>
      <c r="O251" s="5">
        <v>0</v>
      </c>
      <c r="P251" s="5">
        <v>0</v>
      </c>
      <c r="Q251" s="5">
        <v>951303.25</v>
      </c>
      <c r="R251" s="1" t="s">
        <v>878</v>
      </c>
      <c r="S251" s="1" t="s">
        <v>124</v>
      </c>
      <c r="T251" s="4">
        <v>45292</v>
      </c>
      <c r="U251" s="4">
        <v>45657</v>
      </c>
      <c r="V251" s="1" t="s">
        <v>125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951303.25</v>
      </c>
      <c r="AH251" s="5">
        <v>140325.81</v>
      </c>
      <c r="AI251" s="5">
        <v>0</v>
      </c>
      <c r="AJ251" s="5">
        <v>140566.79</v>
      </c>
      <c r="AK251" s="5">
        <v>0</v>
      </c>
      <c r="AL251" s="5">
        <v>0</v>
      </c>
      <c r="AM251" s="5">
        <v>240.98</v>
      </c>
      <c r="AN251" s="5">
        <v>140325.81</v>
      </c>
      <c r="AO251" s="1" t="s">
        <v>434</v>
      </c>
    </row>
    <row r="252" spans="1:41" x14ac:dyDescent="0.25">
      <c r="A252" s="1">
        <f t="shared" si="3"/>
        <v>236</v>
      </c>
      <c r="B252" s="1" t="s">
        <v>540</v>
      </c>
      <c r="C252" s="1" t="s">
        <v>123</v>
      </c>
      <c r="D252" s="1" t="s">
        <v>815</v>
      </c>
      <c r="E252" s="4">
        <v>45292</v>
      </c>
      <c r="F252" s="4">
        <v>45657</v>
      </c>
      <c r="G252" s="1" t="s">
        <v>125</v>
      </c>
      <c r="H252" s="5">
        <v>420096.55</v>
      </c>
      <c r="I252" s="5">
        <v>27956.25</v>
      </c>
      <c r="J252" s="5">
        <v>39600</v>
      </c>
      <c r="K252" s="5">
        <v>26031.87</v>
      </c>
      <c r="L252" s="5">
        <v>14825</v>
      </c>
      <c r="M252" s="5">
        <v>108413.12</v>
      </c>
      <c r="N252" s="5">
        <v>309443.13</v>
      </c>
      <c r="O252" s="5">
        <v>0</v>
      </c>
      <c r="P252" s="5">
        <v>2240.3000000000002</v>
      </c>
      <c r="Q252" s="5">
        <v>311683.43</v>
      </c>
      <c r="R252" s="1" t="s">
        <v>879</v>
      </c>
      <c r="S252" s="1" t="s">
        <v>124</v>
      </c>
      <c r="T252" s="4">
        <v>45292</v>
      </c>
      <c r="U252" s="4">
        <v>45657</v>
      </c>
      <c r="V252" s="1" t="s">
        <v>125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311683.43</v>
      </c>
      <c r="AH252" s="5">
        <v>9252.51</v>
      </c>
      <c r="AI252" s="5">
        <v>0</v>
      </c>
      <c r="AJ252" s="5">
        <v>9251.35</v>
      </c>
      <c r="AK252" s="5">
        <v>0</v>
      </c>
      <c r="AL252" s="5">
        <v>1.1599999999999999</v>
      </c>
      <c r="AM252" s="5">
        <v>0</v>
      </c>
      <c r="AN252" s="5">
        <v>9252.51</v>
      </c>
      <c r="AO252" s="1" t="s">
        <v>434</v>
      </c>
    </row>
    <row r="253" spans="1:41" x14ac:dyDescent="0.25">
      <c r="A253" s="1">
        <f t="shared" si="3"/>
        <v>237</v>
      </c>
      <c r="B253" s="1" t="s">
        <v>541</v>
      </c>
      <c r="C253" s="1" t="s">
        <v>123</v>
      </c>
      <c r="D253" s="1" t="s">
        <v>815</v>
      </c>
      <c r="E253" s="4">
        <v>45292</v>
      </c>
      <c r="F253" s="4">
        <v>45657</v>
      </c>
      <c r="G253" s="1" t="s">
        <v>125</v>
      </c>
      <c r="H253" s="5">
        <v>888340.17999999993</v>
      </c>
      <c r="I253" s="5">
        <v>66360</v>
      </c>
      <c r="J253" s="5">
        <v>39600</v>
      </c>
      <c r="K253" s="5">
        <v>38408</v>
      </c>
      <c r="L253" s="5">
        <v>8850</v>
      </c>
      <c r="M253" s="5">
        <v>153218</v>
      </c>
      <c r="N253" s="5">
        <v>729332.69</v>
      </c>
      <c r="O253" s="5">
        <v>0</v>
      </c>
      <c r="P253" s="5">
        <v>5789.49</v>
      </c>
      <c r="Q253" s="5">
        <v>735122.18</v>
      </c>
      <c r="R253" s="1" t="s">
        <v>880</v>
      </c>
      <c r="S253" s="1" t="s">
        <v>124</v>
      </c>
      <c r="T253" s="4">
        <v>45292</v>
      </c>
      <c r="U253" s="4">
        <v>45657</v>
      </c>
      <c r="V253" s="1" t="s">
        <v>125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735122.18</v>
      </c>
      <c r="AH253" s="5">
        <v>89524.44</v>
      </c>
      <c r="AI253" s="5">
        <v>0</v>
      </c>
      <c r="AJ253" s="5">
        <v>91878.41</v>
      </c>
      <c r="AK253" s="5">
        <v>0</v>
      </c>
      <c r="AL253" s="5">
        <v>0</v>
      </c>
      <c r="AM253" s="5">
        <v>2353.9699999999998</v>
      </c>
      <c r="AN253" s="5">
        <v>89524.44</v>
      </c>
      <c r="AO253" s="1" t="s">
        <v>434</v>
      </c>
    </row>
    <row r="254" spans="1:41" x14ac:dyDescent="0.25">
      <c r="A254" s="1">
        <f t="shared" si="3"/>
        <v>238</v>
      </c>
      <c r="B254" s="1" t="s">
        <v>542</v>
      </c>
      <c r="C254" s="1" t="s">
        <v>123</v>
      </c>
      <c r="D254" s="1" t="s">
        <v>815</v>
      </c>
      <c r="E254" s="4">
        <v>45292</v>
      </c>
      <c r="F254" s="4">
        <v>45657</v>
      </c>
      <c r="G254" s="1" t="s">
        <v>125</v>
      </c>
      <c r="H254" s="5">
        <v>980485.69</v>
      </c>
      <c r="I254" s="5">
        <v>69383.33</v>
      </c>
      <c r="J254" s="5">
        <v>37300</v>
      </c>
      <c r="K254" s="5">
        <v>39315</v>
      </c>
      <c r="L254" s="5">
        <v>29600</v>
      </c>
      <c r="M254" s="5">
        <v>175598.33</v>
      </c>
      <c r="N254" s="5">
        <v>793285</v>
      </c>
      <c r="O254" s="5">
        <v>0</v>
      </c>
      <c r="P254" s="5">
        <v>11602.36</v>
      </c>
      <c r="Q254" s="5">
        <v>804887.36</v>
      </c>
      <c r="R254" s="1" t="s">
        <v>881</v>
      </c>
      <c r="S254" s="1" t="s">
        <v>124</v>
      </c>
      <c r="T254" s="4">
        <v>45292</v>
      </c>
      <c r="U254" s="4">
        <v>45657</v>
      </c>
      <c r="V254" s="1" t="s">
        <v>125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804887.36</v>
      </c>
      <c r="AH254" s="5">
        <v>103721.84</v>
      </c>
      <c r="AI254" s="5">
        <v>0</v>
      </c>
      <c r="AJ254" s="5">
        <v>105720.43</v>
      </c>
      <c r="AK254" s="5">
        <v>0</v>
      </c>
      <c r="AL254" s="5">
        <v>0</v>
      </c>
      <c r="AM254" s="5">
        <v>1998.59</v>
      </c>
      <c r="AN254" s="5">
        <v>103721.84</v>
      </c>
      <c r="AO254" s="1" t="s">
        <v>434</v>
      </c>
    </row>
    <row r="255" spans="1:41" x14ac:dyDescent="0.25">
      <c r="A255" s="1">
        <f t="shared" si="3"/>
        <v>239</v>
      </c>
      <c r="B255" s="1" t="s">
        <v>543</v>
      </c>
      <c r="C255" s="1" t="s">
        <v>123</v>
      </c>
      <c r="D255" s="1" t="s">
        <v>815</v>
      </c>
      <c r="E255" s="4">
        <v>45292</v>
      </c>
      <c r="F255" s="4">
        <v>45657</v>
      </c>
      <c r="G255" s="1" t="s">
        <v>125</v>
      </c>
      <c r="H255" s="5">
        <v>1014813.7999999999</v>
      </c>
      <c r="I255" s="5">
        <v>61438.77</v>
      </c>
      <c r="J255" s="5">
        <v>39600</v>
      </c>
      <c r="K255" s="5">
        <v>36618.120000000003</v>
      </c>
      <c r="L255" s="5">
        <v>5700</v>
      </c>
      <c r="M255" s="5">
        <v>143356.89000000001</v>
      </c>
      <c r="N255" s="5">
        <v>738267.8</v>
      </c>
      <c r="O255" s="5">
        <v>0</v>
      </c>
      <c r="P255" s="5">
        <v>133189.10999999999</v>
      </c>
      <c r="Q255" s="5">
        <v>871456.91</v>
      </c>
      <c r="R255" s="1" t="s">
        <v>882</v>
      </c>
      <c r="S255" s="1" t="s">
        <v>124</v>
      </c>
      <c r="T255" s="4">
        <v>45292</v>
      </c>
      <c r="U255" s="4">
        <v>45657</v>
      </c>
      <c r="V255" s="1" t="s">
        <v>125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871456.91</v>
      </c>
      <c r="AH255" s="5">
        <v>120364.23</v>
      </c>
      <c r="AI255" s="5">
        <v>0</v>
      </c>
      <c r="AJ255" s="5">
        <v>122742.79</v>
      </c>
      <c r="AK255" s="5">
        <v>0</v>
      </c>
      <c r="AL255" s="5">
        <v>0</v>
      </c>
      <c r="AM255" s="5">
        <v>2378.56</v>
      </c>
      <c r="AN255" s="5">
        <v>120364.23</v>
      </c>
      <c r="AO255" s="1" t="s">
        <v>434</v>
      </c>
    </row>
    <row r="256" spans="1:41" x14ac:dyDescent="0.25">
      <c r="A256" s="1">
        <f t="shared" si="3"/>
        <v>240</v>
      </c>
      <c r="B256" s="1" t="s">
        <v>544</v>
      </c>
      <c r="C256" s="1" t="s">
        <v>123</v>
      </c>
      <c r="D256" s="1" t="s">
        <v>815</v>
      </c>
      <c r="E256" s="4">
        <v>45292</v>
      </c>
      <c r="F256" s="4">
        <v>45657</v>
      </c>
      <c r="G256" s="1" t="s">
        <v>125</v>
      </c>
      <c r="H256" s="5">
        <v>838247.79</v>
      </c>
      <c r="I256" s="5">
        <v>56482.33</v>
      </c>
      <c r="J256" s="5">
        <v>39600</v>
      </c>
      <c r="K256" s="5">
        <v>35444.699999999997</v>
      </c>
      <c r="L256" s="5">
        <v>22025</v>
      </c>
      <c r="M256" s="5">
        <v>153552.03</v>
      </c>
      <c r="N256" s="5">
        <v>642343.30000000005</v>
      </c>
      <c r="O256" s="5">
        <v>0</v>
      </c>
      <c r="P256" s="5">
        <v>42352.46</v>
      </c>
      <c r="Q256" s="5">
        <v>684695.76</v>
      </c>
      <c r="R256" s="1" t="s">
        <v>883</v>
      </c>
      <c r="S256" s="1" t="s">
        <v>124</v>
      </c>
      <c r="T256" s="4">
        <v>45292</v>
      </c>
      <c r="U256" s="4">
        <v>45657</v>
      </c>
      <c r="V256" s="1" t="s">
        <v>125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684695.76</v>
      </c>
      <c r="AH256" s="5">
        <v>79439.149999999994</v>
      </c>
      <c r="AI256" s="5">
        <v>0</v>
      </c>
      <c r="AJ256" s="5">
        <v>79465.03</v>
      </c>
      <c r="AK256" s="5">
        <v>0</v>
      </c>
      <c r="AL256" s="5">
        <v>0</v>
      </c>
      <c r="AM256" s="5">
        <v>25.88</v>
      </c>
      <c r="AN256" s="5">
        <v>79439.149999999994</v>
      </c>
      <c r="AO256" s="1" t="s">
        <v>434</v>
      </c>
    </row>
    <row r="257" spans="1:41" x14ac:dyDescent="0.25">
      <c r="A257" s="1">
        <f t="shared" si="3"/>
        <v>241</v>
      </c>
      <c r="B257" s="1" t="s">
        <v>545</v>
      </c>
      <c r="C257" s="1" t="s">
        <v>123</v>
      </c>
      <c r="D257" s="1" t="s">
        <v>815</v>
      </c>
      <c r="E257" s="4">
        <v>45292</v>
      </c>
      <c r="F257" s="4">
        <v>45657</v>
      </c>
      <c r="G257" s="1" t="s">
        <v>125</v>
      </c>
      <c r="H257" s="5">
        <v>1497479.625</v>
      </c>
      <c r="I257" s="5">
        <v>90000</v>
      </c>
      <c r="J257" s="5">
        <v>39600</v>
      </c>
      <c r="K257" s="5">
        <v>48500</v>
      </c>
      <c r="L257" s="5">
        <v>500</v>
      </c>
      <c r="M257" s="5">
        <v>178600</v>
      </c>
      <c r="N257" s="5">
        <v>1296773.5</v>
      </c>
      <c r="O257" s="5">
        <v>22106.13</v>
      </c>
      <c r="P257" s="5">
        <v>0</v>
      </c>
      <c r="Q257" s="5">
        <v>1318879.6299999999</v>
      </c>
      <c r="R257" s="1" t="s">
        <v>884</v>
      </c>
      <c r="S257" s="1" t="s">
        <v>124</v>
      </c>
      <c r="T257" s="4">
        <v>45292</v>
      </c>
      <c r="U257" s="4">
        <v>45657</v>
      </c>
      <c r="V257" s="1" t="s">
        <v>125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1318879.6299999999</v>
      </c>
      <c r="AH257" s="5">
        <v>232219.91</v>
      </c>
      <c r="AI257" s="5">
        <v>0</v>
      </c>
      <c r="AJ257" s="5">
        <v>232218.79</v>
      </c>
      <c r="AK257" s="5">
        <v>0</v>
      </c>
      <c r="AL257" s="5">
        <v>1.1200000000000001</v>
      </c>
      <c r="AM257" s="5">
        <v>0</v>
      </c>
      <c r="AN257" s="5">
        <v>232219.91</v>
      </c>
      <c r="AO257" s="1" t="s">
        <v>434</v>
      </c>
    </row>
    <row r="258" spans="1:41" x14ac:dyDescent="0.25">
      <c r="A258" s="1">
        <f t="shared" si="3"/>
        <v>242</v>
      </c>
      <c r="B258" s="1" t="s">
        <v>546</v>
      </c>
      <c r="C258" s="1" t="s">
        <v>123</v>
      </c>
      <c r="D258" s="1" t="s">
        <v>815</v>
      </c>
      <c r="E258" s="4">
        <v>45292</v>
      </c>
      <c r="F258" s="4">
        <v>45657</v>
      </c>
      <c r="G258" s="1" t="s">
        <v>125</v>
      </c>
      <c r="H258" s="5">
        <v>1064959.69</v>
      </c>
      <c r="I258" s="5">
        <v>78862.289999999994</v>
      </c>
      <c r="J258" s="5">
        <v>39600</v>
      </c>
      <c r="K258" s="5">
        <v>42158.65</v>
      </c>
      <c r="L258" s="5">
        <v>100</v>
      </c>
      <c r="M258" s="5">
        <v>160720.94</v>
      </c>
      <c r="N258" s="5">
        <v>904188.85</v>
      </c>
      <c r="O258" s="5">
        <v>0</v>
      </c>
      <c r="P258" s="5">
        <v>49.9</v>
      </c>
      <c r="Q258" s="5">
        <v>904238.75</v>
      </c>
      <c r="R258" s="1" t="s">
        <v>885</v>
      </c>
      <c r="S258" s="1" t="s">
        <v>124</v>
      </c>
      <c r="T258" s="4">
        <v>45292</v>
      </c>
      <c r="U258" s="4">
        <v>45657</v>
      </c>
      <c r="V258" s="1" t="s">
        <v>125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904238.75</v>
      </c>
      <c r="AH258" s="5">
        <v>128559.69</v>
      </c>
      <c r="AI258" s="5">
        <v>0</v>
      </c>
      <c r="AJ258" s="5">
        <v>129217.64</v>
      </c>
      <c r="AK258" s="5">
        <v>0</v>
      </c>
      <c r="AL258" s="5">
        <v>0</v>
      </c>
      <c r="AM258" s="5">
        <v>657.95</v>
      </c>
      <c r="AN258" s="5">
        <v>128559.69</v>
      </c>
      <c r="AO258" s="1" t="s">
        <v>434</v>
      </c>
    </row>
    <row r="259" spans="1:41" x14ac:dyDescent="0.25">
      <c r="A259" s="1">
        <f t="shared" si="3"/>
        <v>243</v>
      </c>
      <c r="B259" s="1" t="s">
        <v>547</v>
      </c>
      <c r="C259" s="1" t="s">
        <v>123</v>
      </c>
      <c r="D259" s="1" t="s">
        <v>815</v>
      </c>
      <c r="E259" s="4">
        <v>45292</v>
      </c>
      <c r="F259" s="4">
        <v>45657</v>
      </c>
      <c r="G259" s="1" t="s">
        <v>125</v>
      </c>
      <c r="H259" s="5">
        <v>416634.36</v>
      </c>
      <c r="I259" s="5">
        <v>27956.25</v>
      </c>
      <c r="J259" s="5">
        <v>39600</v>
      </c>
      <c r="K259" s="5">
        <v>26031.87</v>
      </c>
      <c r="L259" s="5">
        <v>13375</v>
      </c>
      <c r="M259" s="5">
        <v>106963.12</v>
      </c>
      <c r="N259" s="5">
        <v>309443.13</v>
      </c>
      <c r="O259" s="5">
        <v>0</v>
      </c>
      <c r="P259" s="5">
        <v>228.11</v>
      </c>
      <c r="Q259" s="5">
        <v>309671.24</v>
      </c>
      <c r="R259" s="1" t="s">
        <v>886</v>
      </c>
      <c r="S259" s="1" t="s">
        <v>124</v>
      </c>
      <c r="T259" s="4">
        <v>45292</v>
      </c>
      <c r="U259" s="4">
        <v>45657</v>
      </c>
      <c r="V259" s="1" t="s">
        <v>125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309671.24</v>
      </c>
      <c r="AH259" s="5">
        <v>8950.69</v>
      </c>
      <c r="AI259" s="5">
        <v>0</v>
      </c>
      <c r="AJ259" s="5">
        <v>8949.5</v>
      </c>
      <c r="AK259" s="5">
        <v>0</v>
      </c>
      <c r="AL259" s="5">
        <v>1.19</v>
      </c>
      <c r="AM259" s="5">
        <v>0</v>
      </c>
      <c r="AN259" s="5">
        <v>8950.69</v>
      </c>
      <c r="AO259" s="1" t="s">
        <v>434</v>
      </c>
    </row>
    <row r="260" spans="1:41" x14ac:dyDescent="0.25">
      <c r="A260" s="1">
        <f t="shared" si="3"/>
        <v>244</v>
      </c>
      <c r="B260" s="1" t="s">
        <v>548</v>
      </c>
      <c r="C260" s="1" t="s">
        <v>123</v>
      </c>
      <c r="D260" s="1" t="s">
        <v>815</v>
      </c>
      <c r="E260" s="4">
        <v>45292</v>
      </c>
      <c r="F260" s="4">
        <v>45657</v>
      </c>
      <c r="G260" s="1" t="s">
        <v>125</v>
      </c>
      <c r="H260" s="5">
        <v>1045529.5399999999</v>
      </c>
      <c r="I260" s="5">
        <v>74222.789999999994</v>
      </c>
      <c r="J260" s="5">
        <v>39600</v>
      </c>
      <c r="K260" s="5">
        <v>40766.800000000003</v>
      </c>
      <c r="L260" s="5">
        <v>0</v>
      </c>
      <c r="M260" s="5">
        <v>154589.59</v>
      </c>
      <c r="N260" s="5">
        <v>849906.7</v>
      </c>
      <c r="O260" s="5">
        <v>0</v>
      </c>
      <c r="P260" s="5">
        <v>41033.25</v>
      </c>
      <c r="Q260" s="5">
        <v>890939.95</v>
      </c>
      <c r="R260" s="1" t="s">
        <v>887</v>
      </c>
      <c r="S260" s="1" t="s">
        <v>124</v>
      </c>
      <c r="T260" s="4">
        <v>45292</v>
      </c>
      <c r="U260" s="4">
        <v>45657</v>
      </c>
      <c r="V260" s="1" t="s">
        <v>125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890939.95</v>
      </c>
      <c r="AH260" s="5">
        <v>125234.99</v>
      </c>
      <c r="AI260" s="5">
        <v>0</v>
      </c>
      <c r="AJ260" s="5">
        <v>125276.7</v>
      </c>
      <c r="AK260" s="5">
        <v>0</v>
      </c>
      <c r="AL260" s="5">
        <v>0</v>
      </c>
      <c r="AM260" s="5">
        <v>41.71</v>
      </c>
      <c r="AN260" s="5">
        <v>125234.99</v>
      </c>
      <c r="AO260" s="1" t="s">
        <v>434</v>
      </c>
    </row>
    <row r="261" spans="1:41" x14ac:dyDescent="0.25">
      <c r="A261" s="1">
        <f t="shared" si="3"/>
        <v>245</v>
      </c>
      <c r="B261" s="1" t="s">
        <v>549</v>
      </c>
      <c r="C261" s="1" t="s">
        <v>123</v>
      </c>
      <c r="D261" s="1" t="s">
        <v>815</v>
      </c>
      <c r="E261" s="4">
        <v>45292</v>
      </c>
      <c r="F261" s="4">
        <v>45657</v>
      </c>
      <c r="G261" s="1" t="s">
        <v>125</v>
      </c>
      <c r="H261" s="5">
        <v>837189.45</v>
      </c>
      <c r="I261" s="5">
        <v>60020.34</v>
      </c>
      <c r="J261" s="5">
        <v>39600</v>
      </c>
      <c r="K261" s="5">
        <v>36715.050000000003</v>
      </c>
      <c r="L261" s="5">
        <v>17325</v>
      </c>
      <c r="M261" s="5">
        <v>153660.39000000001</v>
      </c>
      <c r="N261" s="5">
        <v>683529.06</v>
      </c>
      <c r="O261" s="5">
        <v>0</v>
      </c>
      <c r="P261" s="5">
        <v>0</v>
      </c>
      <c r="Q261" s="5">
        <v>683529.06</v>
      </c>
      <c r="R261" s="1" t="s">
        <v>888</v>
      </c>
      <c r="S261" s="1" t="s">
        <v>124</v>
      </c>
      <c r="T261" s="4">
        <v>45292</v>
      </c>
      <c r="U261" s="4">
        <v>45657</v>
      </c>
      <c r="V261" s="1" t="s">
        <v>125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683529.06</v>
      </c>
      <c r="AH261" s="5">
        <v>79205.81</v>
      </c>
      <c r="AI261" s="5">
        <v>0</v>
      </c>
      <c r="AJ261" s="5">
        <v>79204.210000000006</v>
      </c>
      <c r="AK261" s="5">
        <v>0</v>
      </c>
      <c r="AL261" s="5">
        <v>1.6</v>
      </c>
      <c r="AM261" s="5">
        <v>0</v>
      </c>
      <c r="AN261" s="5">
        <v>79205.81</v>
      </c>
      <c r="AO261" s="1" t="s">
        <v>434</v>
      </c>
    </row>
    <row r="262" spans="1:41" x14ac:dyDescent="0.25">
      <c r="A262" s="1">
        <f t="shared" si="3"/>
        <v>246</v>
      </c>
      <c r="B262" s="1" t="s">
        <v>550</v>
      </c>
      <c r="C262" s="1" t="s">
        <v>123</v>
      </c>
      <c r="D262" s="1" t="s">
        <v>815</v>
      </c>
      <c r="E262" s="4">
        <v>45292</v>
      </c>
      <c r="F262" s="4">
        <v>45657</v>
      </c>
      <c r="G262" s="1" t="s">
        <v>125</v>
      </c>
      <c r="H262" s="5">
        <v>1327503.8133333332</v>
      </c>
      <c r="I262" s="5">
        <v>90000</v>
      </c>
      <c r="J262" s="5">
        <v>39600</v>
      </c>
      <c r="K262" s="5">
        <v>47403.75</v>
      </c>
      <c r="L262" s="5">
        <v>0</v>
      </c>
      <c r="M262" s="5">
        <v>177003.75</v>
      </c>
      <c r="N262" s="5">
        <v>1108746.25</v>
      </c>
      <c r="O262" s="5">
        <v>6345.83</v>
      </c>
      <c r="P262" s="5">
        <v>35407.980000000003</v>
      </c>
      <c r="Q262" s="5">
        <v>1150500.06</v>
      </c>
      <c r="R262" s="1" t="s">
        <v>889</v>
      </c>
      <c r="S262" s="1" t="s">
        <v>124</v>
      </c>
      <c r="T262" s="4">
        <v>45292</v>
      </c>
      <c r="U262" s="4">
        <v>45657</v>
      </c>
      <c r="V262" s="1" t="s">
        <v>125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1150500.06</v>
      </c>
      <c r="AH262" s="5">
        <v>190125.02</v>
      </c>
      <c r="AI262" s="5">
        <v>0</v>
      </c>
      <c r="AJ262" s="5">
        <v>190123.88</v>
      </c>
      <c r="AK262" s="5">
        <v>0</v>
      </c>
      <c r="AL262" s="5">
        <v>1.1399999999999999</v>
      </c>
      <c r="AM262" s="5">
        <v>0</v>
      </c>
      <c r="AN262" s="5">
        <v>190125.02</v>
      </c>
      <c r="AO262" s="1" t="s">
        <v>434</v>
      </c>
    </row>
    <row r="263" spans="1:41" x14ac:dyDescent="0.25">
      <c r="A263" s="1">
        <f t="shared" si="3"/>
        <v>247</v>
      </c>
      <c r="B263" s="1" t="s">
        <v>551</v>
      </c>
      <c r="C263" s="1" t="s">
        <v>123</v>
      </c>
      <c r="D263" s="1" t="s">
        <v>815</v>
      </c>
      <c r="E263" s="4">
        <v>45292</v>
      </c>
      <c r="F263" s="4">
        <v>45657</v>
      </c>
      <c r="G263" s="1" t="s">
        <v>125</v>
      </c>
      <c r="H263" s="5">
        <v>847762.65</v>
      </c>
      <c r="I263" s="5">
        <v>59880</v>
      </c>
      <c r="J263" s="5">
        <v>39600</v>
      </c>
      <c r="K263" s="5">
        <v>36464</v>
      </c>
      <c r="L263" s="5">
        <v>10300</v>
      </c>
      <c r="M263" s="5">
        <v>146244</v>
      </c>
      <c r="N263" s="5">
        <v>682096</v>
      </c>
      <c r="O263" s="5">
        <v>0</v>
      </c>
      <c r="P263" s="5">
        <v>19422.650000000001</v>
      </c>
      <c r="Q263" s="5">
        <v>701518.65</v>
      </c>
      <c r="R263" s="1" t="s">
        <v>890</v>
      </c>
      <c r="S263" s="1" t="s">
        <v>124</v>
      </c>
      <c r="T263" s="4">
        <v>45292</v>
      </c>
      <c r="U263" s="4">
        <v>45657</v>
      </c>
      <c r="V263" s="1" t="s">
        <v>125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701518.65</v>
      </c>
      <c r="AH263" s="5">
        <v>82803.73</v>
      </c>
      <c r="AI263" s="5">
        <v>0</v>
      </c>
      <c r="AJ263" s="5">
        <v>82846.64</v>
      </c>
      <c r="AK263" s="5">
        <v>0</v>
      </c>
      <c r="AL263" s="5">
        <v>0</v>
      </c>
      <c r="AM263" s="5">
        <v>42.91</v>
      </c>
      <c r="AN263" s="5">
        <v>82803.73</v>
      </c>
      <c r="AO263" s="1" t="s">
        <v>434</v>
      </c>
    </row>
    <row r="264" spans="1:41" x14ac:dyDescent="0.25">
      <c r="A264" s="1">
        <f t="shared" si="3"/>
        <v>248</v>
      </c>
      <c r="B264" s="1" t="s">
        <v>552</v>
      </c>
      <c r="C264" s="1" t="s">
        <v>123</v>
      </c>
      <c r="D264" s="1" t="s">
        <v>815</v>
      </c>
      <c r="E264" s="4">
        <v>45292</v>
      </c>
      <c r="F264" s="4">
        <v>45657</v>
      </c>
      <c r="G264" s="1" t="s">
        <v>125</v>
      </c>
      <c r="H264" s="5">
        <v>836877.56</v>
      </c>
      <c r="I264" s="5">
        <v>59598.58</v>
      </c>
      <c r="J264" s="5">
        <v>39600</v>
      </c>
      <c r="K264" s="5">
        <v>36379.57</v>
      </c>
      <c r="L264" s="5">
        <v>22475</v>
      </c>
      <c r="M264" s="5">
        <v>158053.15</v>
      </c>
      <c r="N264" s="5">
        <v>678803.43</v>
      </c>
      <c r="O264" s="5">
        <v>0</v>
      </c>
      <c r="P264" s="5">
        <v>20.98</v>
      </c>
      <c r="Q264" s="5">
        <v>678824.41</v>
      </c>
      <c r="R264" s="1" t="s">
        <v>891</v>
      </c>
      <c r="S264" s="1" t="s">
        <v>124</v>
      </c>
      <c r="T264" s="4">
        <v>45292</v>
      </c>
      <c r="U264" s="4">
        <v>45657</v>
      </c>
      <c r="V264" s="1" t="s">
        <v>125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678824.41</v>
      </c>
      <c r="AH264" s="5">
        <v>78264.88</v>
      </c>
      <c r="AI264" s="5">
        <v>0</v>
      </c>
      <c r="AJ264" s="5">
        <v>78263.28</v>
      </c>
      <c r="AK264" s="5">
        <v>0</v>
      </c>
      <c r="AL264" s="5">
        <v>1.6</v>
      </c>
      <c r="AM264" s="5">
        <v>0</v>
      </c>
      <c r="AN264" s="5">
        <v>78264.88</v>
      </c>
      <c r="AO264" s="1" t="s">
        <v>434</v>
      </c>
    </row>
    <row r="265" spans="1:41" x14ac:dyDescent="0.25">
      <c r="A265" s="1">
        <f t="shared" si="3"/>
        <v>249</v>
      </c>
      <c r="B265" s="1" t="s">
        <v>553</v>
      </c>
      <c r="C265" s="1" t="s">
        <v>123</v>
      </c>
      <c r="D265" s="1" t="s">
        <v>815</v>
      </c>
      <c r="E265" s="4">
        <v>45292</v>
      </c>
      <c r="F265" s="4">
        <v>45657</v>
      </c>
      <c r="G265" s="1" t="s">
        <v>125</v>
      </c>
      <c r="H265" s="5">
        <v>941077.75</v>
      </c>
      <c r="I265" s="5">
        <v>69136.75</v>
      </c>
      <c r="J265" s="5">
        <v>39600</v>
      </c>
      <c r="K265" s="5">
        <v>39241.019999999997</v>
      </c>
      <c r="L265" s="5">
        <v>2700</v>
      </c>
      <c r="M265" s="5">
        <v>150677.76999999999</v>
      </c>
      <c r="N265" s="5">
        <v>790399.98</v>
      </c>
      <c r="O265" s="5">
        <v>0</v>
      </c>
      <c r="P265" s="5">
        <v>0</v>
      </c>
      <c r="Q265" s="5">
        <v>790399.98</v>
      </c>
      <c r="R265" s="1" t="s">
        <v>892</v>
      </c>
      <c r="S265" s="1" t="s">
        <v>124</v>
      </c>
      <c r="T265" s="4">
        <v>45292</v>
      </c>
      <c r="U265" s="4">
        <v>45657</v>
      </c>
      <c r="V265" s="1" t="s">
        <v>125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790399.98</v>
      </c>
      <c r="AH265" s="5">
        <v>100580</v>
      </c>
      <c r="AI265" s="5">
        <v>0</v>
      </c>
      <c r="AJ265" s="5">
        <v>102337.96</v>
      </c>
      <c r="AK265" s="5">
        <v>0</v>
      </c>
      <c r="AL265" s="5">
        <v>0</v>
      </c>
      <c r="AM265" s="5">
        <v>1757.96</v>
      </c>
      <c r="AN265" s="5">
        <v>100580</v>
      </c>
      <c r="AO265" s="1" t="s">
        <v>434</v>
      </c>
    </row>
    <row r="266" spans="1:41" x14ac:dyDescent="0.25">
      <c r="A266" s="1">
        <f t="shared" si="3"/>
        <v>250</v>
      </c>
      <c r="B266" s="1" t="s">
        <v>554</v>
      </c>
      <c r="C266" s="1" t="s">
        <v>123</v>
      </c>
      <c r="D266" s="1" t="s">
        <v>815</v>
      </c>
      <c r="E266" s="4">
        <v>45292</v>
      </c>
      <c r="F266" s="4">
        <v>45657</v>
      </c>
      <c r="G266" s="1" t="s">
        <v>125</v>
      </c>
      <c r="H266" s="5">
        <v>1063755.7899999996</v>
      </c>
      <c r="I266" s="5">
        <v>76985.39</v>
      </c>
      <c r="J266" s="5">
        <v>39600</v>
      </c>
      <c r="K266" s="5">
        <v>41576.6</v>
      </c>
      <c r="L266" s="5">
        <v>14000</v>
      </c>
      <c r="M266" s="5">
        <v>172161.99</v>
      </c>
      <c r="N266" s="5">
        <v>882248.1</v>
      </c>
      <c r="O266" s="5">
        <v>0</v>
      </c>
      <c r="P266" s="5">
        <v>9345.7000000000007</v>
      </c>
      <c r="Q266" s="5">
        <v>891593.8</v>
      </c>
      <c r="R266" s="1" t="s">
        <v>893</v>
      </c>
      <c r="S266" s="1" t="s">
        <v>124</v>
      </c>
      <c r="T266" s="4">
        <v>45292</v>
      </c>
      <c r="U266" s="4">
        <v>45657</v>
      </c>
      <c r="V266" s="1" t="s">
        <v>125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891593.8</v>
      </c>
      <c r="AH266" s="5">
        <v>125398.45</v>
      </c>
      <c r="AI266" s="5">
        <v>0</v>
      </c>
      <c r="AJ266" s="5">
        <v>125397.21</v>
      </c>
      <c r="AK266" s="5">
        <v>0</v>
      </c>
      <c r="AL266" s="5">
        <v>1.24</v>
      </c>
      <c r="AM266" s="5">
        <v>0</v>
      </c>
      <c r="AN266" s="5">
        <v>125398.45</v>
      </c>
      <c r="AO266" s="1" t="s">
        <v>434</v>
      </c>
    </row>
    <row r="267" spans="1:41" x14ac:dyDescent="0.25">
      <c r="A267" s="1">
        <f t="shared" si="3"/>
        <v>251</v>
      </c>
      <c r="B267" s="1" t="s">
        <v>555</v>
      </c>
      <c r="C267" s="1" t="s">
        <v>123</v>
      </c>
      <c r="D267" s="1" t="s">
        <v>815</v>
      </c>
      <c r="E267" s="4">
        <v>45292</v>
      </c>
      <c r="F267" s="4">
        <v>45657</v>
      </c>
      <c r="G267" s="1" t="s">
        <v>125</v>
      </c>
      <c r="H267" s="5">
        <v>580640</v>
      </c>
      <c r="I267" s="5">
        <v>40255</v>
      </c>
      <c r="J267" s="5">
        <v>39600</v>
      </c>
      <c r="K267" s="5">
        <v>30576.5</v>
      </c>
      <c r="L267" s="5">
        <v>17725</v>
      </c>
      <c r="M267" s="5">
        <v>128156.5</v>
      </c>
      <c r="N267" s="5">
        <v>452483.5</v>
      </c>
      <c r="O267" s="5">
        <v>0</v>
      </c>
      <c r="P267" s="5">
        <v>0</v>
      </c>
      <c r="Q267" s="5">
        <v>452483.5</v>
      </c>
      <c r="R267" s="1" t="s">
        <v>894</v>
      </c>
      <c r="S267" s="1" t="s">
        <v>124</v>
      </c>
      <c r="T267" s="4">
        <v>45292</v>
      </c>
      <c r="U267" s="4">
        <v>45657</v>
      </c>
      <c r="V267" s="1" t="s">
        <v>125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452483.5</v>
      </c>
      <c r="AH267" s="5">
        <v>32996.699999999997</v>
      </c>
      <c r="AI267" s="5">
        <v>0</v>
      </c>
      <c r="AJ267" s="5">
        <v>33438.46</v>
      </c>
      <c r="AK267" s="5">
        <v>0</v>
      </c>
      <c r="AL267" s="5">
        <v>0</v>
      </c>
      <c r="AM267" s="5">
        <v>441.76</v>
      </c>
      <c r="AN267" s="5">
        <v>32996.699999999997</v>
      </c>
      <c r="AO267" s="1" t="s">
        <v>434</v>
      </c>
    </row>
    <row r="268" spans="1:41" x14ac:dyDescent="0.25">
      <c r="A268" s="1">
        <f t="shared" si="3"/>
        <v>252</v>
      </c>
      <c r="B268" s="1" t="s">
        <v>556</v>
      </c>
      <c r="C268" s="1" t="s">
        <v>123</v>
      </c>
      <c r="D268" s="1" t="s">
        <v>815</v>
      </c>
      <c r="E268" s="4">
        <v>45292</v>
      </c>
      <c r="F268" s="4">
        <v>45657</v>
      </c>
      <c r="G268" s="1" t="s">
        <v>125</v>
      </c>
      <c r="H268" s="5">
        <v>1109747.25</v>
      </c>
      <c r="I268" s="5">
        <v>50925</v>
      </c>
      <c r="J268" s="5">
        <v>39600</v>
      </c>
      <c r="K268" s="5">
        <v>33777.5</v>
      </c>
      <c r="L268" s="5">
        <v>46825</v>
      </c>
      <c r="M268" s="5">
        <v>171127.5</v>
      </c>
      <c r="N268" s="5">
        <v>577322.5</v>
      </c>
      <c r="O268" s="5">
        <v>0</v>
      </c>
      <c r="P268" s="5">
        <v>361297.25</v>
      </c>
      <c r="Q268" s="5">
        <v>938619.75</v>
      </c>
      <c r="R268" s="1" t="s">
        <v>895</v>
      </c>
      <c r="S268" s="1" t="s">
        <v>124</v>
      </c>
      <c r="T268" s="4">
        <v>45292</v>
      </c>
      <c r="U268" s="4">
        <v>45657</v>
      </c>
      <c r="V268" s="1" t="s">
        <v>125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938619.75</v>
      </c>
      <c r="AH268" s="5">
        <v>137154.94</v>
      </c>
      <c r="AI268" s="5">
        <v>0</v>
      </c>
      <c r="AJ268" s="5">
        <v>140489.24</v>
      </c>
      <c r="AK268" s="5">
        <v>0</v>
      </c>
      <c r="AL268" s="5">
        <v>0</v>
      </c>
      <c r="AM268" s="5">
        <v>3334.3</v>
      </c>
      <c r="AN268" s="5">
        <v>137154.94</v>
      </c>
      <c r="AO268" s="1" t="s">
        <v>434</v>
      </c>
    </row>
    <row r="269" spans="1:41" x14ac:dyDescent="0.25">
      <c r="A269" s="1">
        <f t="shared" si="3"/>
        <v>253</v>
      </c>
      <c r="B269" s="1" t="s">
        <v>557</v>
      </c>
      <c r="C269" s="1" t="s">
        <v>123</v>
      </c>
      <c r="D269" s="1" t="s">
        <v>815</v>
      </c>
      <c r="E269" s="4">
        <v>45292</v>
      </c>
      <c r="F269" s="4">
        <v>45657</v>
      </c>
      <c r="G269" s="1" t="s">
        <v>125</v>
      </c>
      <c r="H269" s="5">
        <v>493880.06</v>
      </c>
      <c r="I269" s="5">
        <v>34313.75</v>
      </c>
      <c r="J269" s="5">
        <v>39600</v>
      </c>
      <c r="K269" s="5">
        <v>28659.119999999999</v>
      </c>
      <c r="L269" s="5">
        <v>6525</v>
      </c>
      <c r="M269" s="5">
        <v>109097.87</v>
      </c>
      <c r="N269" s="5">
        <v>383105.88</v>
      </c>
      <c r="O269" s="5">
        <v>0</v>
      </c>
      <c r="P269" s="5">
        <v>1676.31</v>
      </c>
      <c r="Q269" s="5">
        <v>384782.19</v>
      </c>
      <c r="R269" s="1" t="s">
        <v>896</v>
      </c>
      <c r="S269" s="1" t="s">
        <v>124</v>
      </c>
      <c r="T269" s="4">
        <v>45292</v>
      </c>
      <c r="U269" s="4">
        <v>45657</v>
      </c>
      <c r="V269" s="1" t="s">
        <v>125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384782.19</v>
      </c>
      <c r="AH269" s="5">
        <v>20217.330000000002</v>
      </c>
      <c r="AI269" s="5">
        <v>0</v>
      </c>
      <c r="AJ269" s="5">
        <v>20638.04</v>
      </c>
      <c r="AK269" s="5">
        <v>0</v>
      </c>
      <c r="AL269" s="5">
        <v>0</v>
      </c>
      <c r="AM269" s="5">
        <v>420.71</v>
      </c>
      <c r="AN269" s="5">
        <v>20217.330000000002</v>
      </c>
      <c r="AO269" s="1" t="s">
        <v>434</v>
      </c>
    </row>
    <row r="270" spans="1:41" x14ac:dyDescent="0.25">
      <c r="A270" s="1">
        <f t="shared" si="3"/>
        <v>254</v>
      </c>
      <c r="B270" s="1" t="s">
        <v>558</v>
      </c>
      <c r="C270" s="1" t="s">
        <v>123</v>
      </c>
      <c r="D270" s="1" t="s">
        <v>815</v>
      </c>
      <c r="E270" s="4">
        <v>45292</v>
      </c>
      <c r="F270" s="4">
        <v>45657</v>
      </c>
      <c r="G270" s="1" t="s">
        <v>125</v>
      </c>
      <c r="H270" s="5">
        <v>575499.99</v>
      </c>
      <c r="I270" s="5">
        <v>39746.19</v>
      </c>
      <c r="J270" s="5">
        <v>39600</v>
      </c>
      <c r="K270" s="5">
        <v>30576.5</v>
      </c>
      <c r="L270" s="5">
        <v>7400</v>
      </c>
      <c r="M270" s="5">
        <v>117322.69</v>
      </c>
      <c r="N270" s="5">
        <v>446377.75</v>
      </c>
      <c r="O270" s="5">
        <v>0</v>
      </c>
      <c r="P270" s="5">
        <v>11799.55</v>
      </c>
      <c r="Q270" s="5">
        <v>458177.3</v>
      </c>
      <c r="R270" s="1" t="s">
        <v>897</v>
      </c>
      <c r="S270" s="1" t="s">
        <v>124</v>
      </c>
      <c r="T270" s="4">
        <v>45292</v>
      </c>
      <c r="U270" s="4">
        <v>45657</v>
      </c>
      <c r="V270" s="1" t="s">
        <v>125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458177.3</v>
      </c>
      <c r="AH270" s="5">
        <v>34135.46</v>
      </c>
      <c r="AI270" s="5">
        <v>0</v>
      </c>
      <c r="AJ270" s="5">
        <v>34694.21</v>
      </c>
      <c r="AK270" s="5">
        <v>0</v>
      </c>
      <c r="AL270" s="5">
        <v>0</v>
      </c>
      <c r="AM270" s="5">
        <v>558.75</v>
      </c>
      <c r="AN270" s="5">
        <v>34135.46</v>
      </c>
      <c r="AO270" s="1" t="s">
        <v>434</v>
      </c>
    </row>
    <row r="271" spans="1:41" x14ac:dyDescent="0.25">
      <c r="A271" s="1">
        <f t="shared" si="3"/>
        <v>255</v>
      </c>
      <c r="B271" s="1" t="s">
        <v>559</v>
      </c>
      <c r="C271" s="1" t="s">
        <v>123</v>
      </c>
      <c r="D271" s="1" t="s">
        <v>815</v>
      </c>
      <c r="E271" s="4">
        <v>45292</v>
      </c>
      <c r="F271" s="4">
        <v>45657</v>
      </c>
      <c r="G271" s="1" t="s">
        <v>125</v>
      </c>
      <c r="H271" s="5">
        <v>1394936.25</v>
      </c>
      <c r="I271" s="5">
        <v>90000</v>
      </c>
      <c r="J271" s="5">
        <v>39600</v>
      </c>
      <c r="K271" s="5">
        <v>47587.37</v>
      </c>
      <c r="L271" s="5">
        <v>2800</v>
      </c>
      <c r="M271" s="5">
        <v>179987.37</v>
      </c>
      <c r="N271" s="5">
        <v>1200907.6299999999</v>
      </c>
      <c r="O271" s="5">
        <v>14041.25</v>
      </c>
      <c r="P271" s="5">
        <v>0</v>
      </c>
      <c r="Q271" s="5">
        <v>1214948.8799999999</v>
      </c>
      <c r="R271" s="1" t="s">
        <v>898</v>
      </c>
      <c r="S271" s="1" t="s">
        <v>124</v>
      </c>
      <c r="T271" s="4">
        <v>45292</v>
      </c>
      <c r="U271" s="4">
        <v>45657</v>
      </c>
      <c r="V271" s="1" t="s">
        <v>125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1214948.8799999999</v>
      </c>
      <c r="AH271" s="5">
        <v>206237.22</v>
      </c>
      <c r="AI271" s="5">
        <v>0</v>
      </c>
      <c r="AJ271" s="5">
        <v>206236.03</v>
      </c>
      <c r="AK271" s="5">
        <v>0</v>
      </c>
      <c r="AL271" s="5">
        <v>1.19</v>
      </c>
      <c r="AM271" s="5">
        <v>0</v>
      </c>
      <c r="AN271" s="5">
        <v>206237.22</v>
      </c>
      <c r="AO271" s="1" t="s">
        <v>434</v>
      </c>
    </row>
    <row r="272" spans="1:41" x14ac:dyDescent="0.25">
      <c r="A272" s="1">
        <f t="shared" si="3"/>
        <v>256</v>
      </c>
      <c r="B272" s="1" t="s">
        <v>560</v>
      </c>
      <c r="C272" s="1" t="s">
        <v>123</v>
      </c>
      <c r="D272" s="1" t="s">
        <v>815</v>
      </c>
      <c r="E272" s="4">
        <v>45292</v>
      </c>
      <c r="F272" s="4">
        <v>45657</v>
      </c>
      <c r="G272" s="1" t="s">
        <v>125</v>
      </c>
      <c r="H272" s="5">
        <v>770334.74</v>
      </c>
      <c r="I272" s="5">
        <v>50994.63</v>
      </c>
      <c r="J272" s="5">
        <v>39600</v>
      </c>
      <c r="K272" s="5">
        <v>33798.35</v>
      </c>
      <c r="L272" s="5">
        <v>20775</v>
      </c>
      <c r="M272" s="5">
        <v>145167.98000000001</v>
      </c>
      <c r="N272" s="5">
        <v>578137.15</v>
      </c>
      <c r="O272" s="5">
        <v>0</v>
      </c>
      <c r="P272" s="5">
        <v>47029.61</v>
      </c>
      <c r="Q272" s="5">
        <v>625166.76</v>
      </c>
      <c r="R272" s="1" t="s">
        <v>899</v>
      </c>
      <c r="S272" s="1" t="s">
        <v>124</v>
      </c>
      <c r="T272" s="4">
        <v>45292</v>
      </c>
      <c r="U272" s="4">
        <v>45657</v>
      </c>
      <c r="V272" s="1" t="s">
        <v>125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625166.76</v>
      </c>
      <c r="AH272" s="5">
        <v>67533.350000000006</v>
      </c>
      <c r="AI272" s="5">
        <v>0</v>
      </c>
      <c r="AJ272" s="5">
        <v>67531.789999999994</v>
      </c>
      <c r="AK272" s="5">
        <v>0</v>
      </c>
      <c r="AL272" s="5">
        <v>1.56</v>
      </c>
      <c r="AM272" s="5">
        <v>0</v>
      </c>
      <c r="AN272" s="5">
        <v>67533.350000000006</v>
      </c>
      <c r="AO272" s="1" t="s">
        <v>434</v>
      </c>
    </row>
    <row r="273" spans="1:41" x14ac:dyDescent="0.25">
      <c r="A273" s="1">
        <f t="shared" si="3"/>
        <v>257</v>
      </c>
      <c r="B273" s="1" t="s">
        <v>561</v>
      </c>
      <c r="C273" s="1" t="s">
        <v>123</v>
      </c>
      <c r="D273" s="1" t="s">
        <v>815</v>
      </c>
      <c r="E273" s="4">
        <v>45292</v>
      </c>
      <c r="F273" s="4">
        <v>45657</v>
      </c>
      <c r="G273" s="1" t="s">
        <v>125</v>
      </c>
      <c r="H273" s="5">
        <v>1099572.33</v>
      </c>
      <c r="I273" s="5">
        <v>81536.33</v>
      </c>
      <c r="J273" s="5">
        <v>39600</v>
      </c>
      <c r="K273" s="5">
        <v>42960.9</v>
      </c>
      <c r="L273" s="5">
        <v>0</v>
      </c>
      <c r="M273" s="5">
        <v>164097.23000000001</v>
      </c>
      <c r="N273" s="5">
        <v>935475.1</v>
      </c>
      <c r="O273" s="5">
        <v>0</v>
      </c>
      <c r="P273" s="5">
        <v>0</v>
      </c>
      <c r="Q273" s="5">
        <v>935475.1</v>
      </c>
      <c r="R273" s="1" t="s">
        <v>900</v>
      </c>
      <c r="S273" s="1" t="s">
        <v>124</v>
      </c>
      <c r="T273" s="4">
        <v>45292</v>
      </c>
      <c r="U273" s="4">
        <v>45657</v>
      </c>
      <c r="V273" s="1" t="s">
        <v>125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935475.1</v>
      </c>
      <c r="AH273" s="5">
        <v>136368.78</v>
      </c>
      <c r="AI273" s="5">
        <v>0</v>
      </c>
      <c r="AJ273" s="5">
        <v>136511.88</v>
      </c>
      <c r="AK273" s="5">
        <v>0</v>
      </c>
      <c r="AL273" s="5">
        <v>0</v>
      </c>
      <c r="AM273" s="5">
        <v>143.11000000000001</v>
      </c>
      <c r="AN273" s="5">
        <v>136368.78</v>
      </c>
      <c r="AO273" s="1" t="s">
        <v>434</v>
      </c>
    </row>
    <row r="274" spans="1:41" x14ac:dyDescent="0.25">
      <c r="A274" s="1">
        <f t="shared" si="3"/>
        <v>258</v>
      </c>
      <c r="B274" s="1" t="s">
        <v>562</v>
      </c>
      <c r="C274" s="1" t="s">
        <v>123</v>
      </c>
      <c r="D274" s="1" t="s">
        <v>815</v>
      </c>
      <c r="E274" s="4">
        <v>45292</v>
      </c>
      <c r="F274" s="4">
        <v>45657</v>
      </c>
      <c r="G274" s="1" t="s">
        <v>125</v>
      </c>
      <c r="H274" s="5">
        <v>1143054.1599999999</v>
      </c>
      <c r="I274" s="5">
        <v>80203.960000000006</v>
      </c>
      <c r="J274" s="5">
        <v>39600</v>
      </c>
      <c r="K274" s="5">
        <v>42561.15</v>
      </c>
      <c r="L274" s="5">
        <v>0</v>
      </c>
      <c r="M274" s="5">
        <v>162365.10999999999</v>
      </c>
      <c r="N274" s="5">
        <v>919886.35</v>
      </c>
      <c r="O274" s="5">
        <v>0</v>
      </c>
      <c r="P274" s="5">
        <v>60802.7</v>
      </c>
      <c r="Q274" s="5">
        <v>980689.05</v>
      </c>
      <c r="R274" s="1" t="s">
        <v>901</v>
      </c>
      <c r="S274" s="1" t="s">
        <v>124</v>
      </c>
      <c r="T274" s="4">
        <v>45292</v>
      </c>
      <c r="U274" s="4">
        <v>45657</v>
      </c>
      <c r="V274" s="1" t="s">
        <v>125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980689.05</v>
      </c>
      <c r="AH274" s="5">
        <v>147672.26</v>
      </c>
      <c r="AI274" s="5">
        <v>0</v>
      </c>
      <c r="AJ274" s="5">
        <v>147729.95000000001</v>
      </c>
      <c r="AK274" s="5">
        <v>0</v>
      </c>
      <c r="AL274" s="5">
        <v>0</v>
      </c>
      <c r="AM274" s="5">
        <v>57.69</v>
      </c>
      <c r="AN274" s="5">
        <v>147672.26</v>
      </c>
      <c r="AO274" s="1" t="s">
        <v>434</v>
      </c>
    </row>
    <row r="275" spans="1:41" x14ac:dyDescent="0.25">
      <c r="A275" s="1">
        <f t="shared" si="3"/>
        <v>259</v>
      </c>
      <c r="B275" s="1" t="s">
        <v>563</v>
      </c>
      <c r="C275" s="1" t="s">
        <v>123</v>
      </c>
      <c r="D275" s="1" t="s">
        <v>815</v>
      </c>
      <c r="E275" s="4">
        <v>45292</v>
      </c>
      <c r="F275" s="4">
        <v>45657</v>
      </c>
      <c r="G275" s="1" t="s">
        <v>125</v>
      </c>
      <c r="H275" s="5">
        <v>1074276.21</v>
      </c>
      <c r="I275" s="5">
        <v>77786.58</v>
      </c>
      <c r="J275" s="5">
        <v>39600</v>
      </c>
      <c r="K275" s="5">
        <v>41816.800000000003</v>
      </c>
      <c r="L275" s="5">
        <v>13525</v>
      </c>
      <c r="M275" s="5">
        <v>172728.38</v>
      </c>
      <c r="N275" s="5">
        <v>891622.2</v>
      </c>
      <c r="O275" s="5">
        <v>0</v>
      </c>
      <c r="P275" s="5">
        <v>9925.6299999999992</v>
      </c>
      <c r="Q275" s="5">
        <v>901547.83</v>
      </c>
      <c r="R275" s="1" t="s">
        <v>902</v>
      </c>
      <c r="S275" s="1" t="s">
        <v>124</v>
      </c>
      <c r="T275" s="4">
        <v>45292</v>
      </c>
      <c r="U275" s="4">
        <v>45657</v>
      </c>
      <c r="V275" s="1" t="s">
        <v>125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901547.83</v>
      </c>
      <c r="AH275" s="5">
        <v>127886.96</v>
      </c>
      <c r="AI275" s="5">
        <v>0</v>
      </c>
      <c r="AJ275" s="5">
        <v>127885.75999999999</v>
      </c>
      <c r="AK275" s="5">
        <v>0</v>
      </c>
      <c r="AL275" s="5">
        <v>1.2</v>
      </c>
      <c r="AM275" s="5">
        <v>0</v>
      </c>
      <c r="AN275" s="5">
        <v>127886.96</v>
      </c>
      <c r="AO275" s="1" t="s">
        <v>434</v>
      </c>
    </row>
    <row r="276" spans="1:41" x14ac:dyDescent="0.25">
      <c r="A276" s="1">
        <f t="shared" si="3"/>
        <v>260</v>
      </c>
      <c r="B276" s="1" t="s">
        <v>564</v>
      </c>
      <c r="C276" s="1" t="s">
        <v>123</v>
      </c>
      <c r="D276" s="1" t="s">
        <v>815</v>
      </c>
      <c r="E276" s="4">
        <v>45292</v>
      </c>
      <c r="F276" s="4">
        <v>45657</v>
      </c>
      <c r="G276" s="1" t="s">
        <v>125</v>
      </c>
      <c r="H276" s="5">
        <v>1208642.8599999999</v>
      </c>
      <c r="I276" s="5">
        <v>82204.98</v>
      </c>
      <c r="J276" s="5">
        <v>39600</v>
      </c>
      <c r="K276" s="5">
        <v>43350</v>
      </c>
      <c r="L276" s="5">
        <v>0</v>
      </c>
      <c r="M276" s="5">
        <v>165154.98000000001</v>
      </c>
      <c r="N276" s="5">
        <v>943109.77</v>
      </c>
      <c r="O276" s="5">
        <v>0</v>
      </c>
      <c r="P276" s="5">
        <v>100378.11</v>
      </c>
      <c r="Q276" s="5">
        <v>1043487.88</v>
      </c>
      <c r="R276" s="1" t="s">
        <v>903</v>
      </c>
      <c r="S276" s="1" t="s">
        <v>124</v>
      </c>
      <c r="T276" s="4">
        <v>45292</v>
      </c>
      <c r="U276" s="4">
        <v>45657</v>
      </c>
      <c r="V276" s="1" t="s">
        <v>125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1043487.88</v>
      </c>
      <c r="AH276" s="5">
        <v>163371.97</v>
      </c>
      <c r="AI276" s="5">
        <v>0</v>
      </c>
      <c r="AJ276" s="5">
        <v>163045.79</v>
      </c>
      <c r="AK276" s="5">
        <v>0</v>
      </c>
      <c r="AL276" s="5">
        <v>326.18</v>
      </c>
      <c r="AM276" s="5">
        <v>0</v>
      </c>
      <c r="AN276" s="5">
        <v>163371.97</v>
      </c>
      <c r="AO276" s="1" t="s">
        <v>434</v>
      </c>
    </row>
    <row r="277" spans="1:41" x14ac:dyDescent="0.25">
      <c r="A277" s="1">
        <f t="shared" si="3"/>
        <v>261</v>
      </c>
      <c r="B277" s="1" t="s">
        <v>565</v>
      </c>
      <c r="C277" s="1" t="s">
        <v>123</v>
      </c>
      <c r="D277" s="1" t="s">
        <v>815</v>
      </c>
      <c r="E277" s="4">
        <v>45292</v>
      </c>
      <c r="F277" s="4">
        <v>45657</v>
      </c>
      <c r="G277" s="1" t="s">
        <v>125</v>
      </c>
      <c r="H277" s="5">
        <v>1006826.65</v>
      </c>
      <c r="I277" s="5">
        <v>74108.039999999994</v>
      </c>
      <c r="J277" s="5">
        <v>39600</v>
      </c>
      <c r="K277" s="5">
        <v>40732.370000000003</v>
      </c>
      <c r="L277" s="5">
        <v>3600</v>
      </c>
      <c r="M277" s="5">
        <v>158040.41</v>
      </c>
      <c r="N277" s="5">
        <v>848564.13</v>
      </c>
      <c r="O277" s="5">
        <v>0</v>
      </c>
      <c r="P277" s="5">
        <v>222.11</v>
      </c>
      <c r="Q277" s="5">
        <v>848786.24</v>
      </c>
      <c r="R277" s="1" t="s">
        <v>904</v>
      </c>
      <c r="S277" s="1" t="s">
        <v>124</v>
      </c>
      <c r="T277" s="4">
        <v>45292</v>
      </c>
      <c r="U277" s="4">
        <v>45657</v>
      </c>
      <c r="V277" s="1" t="s">
        <v>125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848786.24</v>
      </c>
      <c r="AH277" s="5">
        <v>114696.56</v>
      </c>
      <c r="AI277" s="5">
        <v>0</v>
      </c>
      <c r="AJ277" s="5">
        <v>115236.77</v>
      </c>
      <c r="AK277" s="5">
        <v>0</v>
      </c>
      <c r="AL277" s="5">
        <v>0</v>
      </c>
      <c r="AM277" s="5">
        <v>540.21</v>
      </c>
      <c r="AN277" s="5">
        <v>114696.56</v>
      </c>
      <c r="AO277" s="1" t="s">
        <v>434</v>
      </c>
    </row>
    <row r="278" spans="1:41" x14ac:dyDescent="0.25">
      <c r="A278" s="1">
        <f t="shared" si="3"/>
        <v>262</v>
      </c>
      <c r="B278" s="1" t="s">
        <v>566</v>
      </c>
      <c r="C278" s="1" t="s">
        <v>123</v>
      </c>
      <c r="D278" s="1" t="s">
        <v>815</v>
      </c>
      <c r="E278" s="4">
        <v>45292</v>
      </c>
      <c r="F278" s="4">
        <v>45657</v>
      </c>
      <c r="G278" s="1" t="s">
        <v>125</v>
      </c>
      <c r="H278" s="5">
        <v>790923.30999999994</v>
      </c>
      <c r="I278" s="5">
        <v>56305.96</v>
      </c>
      <c r="J278" s="5">
        <v>39600</v>
      </c>
      <c r="K278" s="5">
        <v>35391.75</v>
      </c>
      <c r="L278" s="5">
        <v>13525</v>
      </c>
      <c r="M278" s="5">
        <v>144822.71</v>
      </c>
      <c r="N278" s="5">
        <v>640279.75</v>
      </c>
      <c r="O278" s="5">
        <v>0</v>
      </c>
      <c r="P278" s="5">
        <v>5820.85</v>
      </c>
      <c r="Q278" s="5">
        <v>646100.6</v>
      </c>
      <c r="R278" s="1" t="s">
        <v>905</v>
      </c>
      <c r="S278" s="1" t="s">
        <v>124</v>
      </c>
      <c r="T278" s="4">
        <v>45292</v>
      </c>
      <c r="U278" s="4">
        <v>45657</v>
      </c>
      <c r="V278" s="1" t="s">
        <v>125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646100.6</v>
      </c>
      <c r="AH278" s="5">
        <v>71720.12</v>
      </c>
      <c r="AI278" s="5">
        <v>0</v>
      </c>
      <c r="AJ278" s="5">
        <v>71718.47</v>
      </c>
      <c r="AK278" s="5">
        <v>0</v>
      </c>
      <c r="AL278" s="5">
        <v>1.65</v>
      </c>
      <c r="AM278" s="5">
        <v>0</v>
      </c>
      <c r="AN278" s="5">
        <v>71720.12</v>
      </c>
      <c r="AO278" s="1" t="s">
        <v>434</v>
      </c>
    </row>
    <row r="279" spans="1:41" x14ac:dyDescent="0.25">
      <c r="A279" s="1">
        <f t="shared" si="3"/>
        <v>263</v>
      </c>
      <c r="B279" s="1" t="s">
        <v>567</v>
      </c>
      <c r="C279" s="1" t="s">
        <v>123</v>
      </c>
      <c r="D279" s="1" t="s">
        <v>815</v>
      </c>
      <c r="E279" s="4">
        <v>45292</v>
      </c>
      <c r="F279" s="4">
        <v>45657</v>
      </c>
      <c r="G279" s="1" t="s">
        <v>125</v>
      </c>
      <c r="H279" s="5">
        <v>430610.70999999996</v>
      </c>
      <c r="I279" s="5">
        <v>27127.919999999998</v>
      </c>
      <c r="J279" s="5">
        <v>39600</v>
      </c>
      <c r="K279" s="5">
        <v>26075.87</v>
      </c>
      <c r="L279" s="5">
        <v>17550</v>
      </c>
      <c r="M279" s="5">
        <v>110353.79</v>
      </c>
      <c r="N279" s="5">
        <v>299459.13</v>
      </c>
      <c r="O279" s="5">
        <v>0</v>
      </c>
      <c r="P279" s="5">
        <v>20797.79</v>
      </c>
      <c r="Q279" s="5">
        <v>320256.92</v>
      </c>
      <c r="R279" s="1" t="s">
        <v>906</v>
      </c>
      <c r="S279" s="1" t="s">
        <v>124</v>
      </c>
      <c r="T279" s="4">
        <v>45292</v>
      </c>
      <c r="U279" s="4">
        <v>45657</v>
      </c>
      <c r="V279" s="1" t="s">
        <v>125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320256.92</v>
      </c>
      <c r="AH279" s="5">
        <v>10538.54</v>
      </c>
      <c r="AI279" s="5">
        <v>0</v>
      </c>
      <c r="AJ279" s="5">
        <v>10537.36</v>
      </c>
      <c r="AK279" s="5">
        <v>0</v>
      </c>
      <c r="AL279" s="5">
        <v>1.18</v>
      </c>
      <c r="AM279" s="5">
        <v>0</v>
      </c>
      <c r="AN279" s="5">
        <v>10538.54</v>
      </c>
      <c r="AO279" s="1" t="s">
        <v>434</v>
      </c>
    </row>
    <row r="280" spans="1:41" x14ac:dyDescent="0.25">
      <c r="A280" s="1">
        <f t="shared" si="3"/>
        <v>264</v>
      </c>
      <c r="B280" s="1" t="s">
        <v>568</v>
      </c>
      <c r="C280" s="1" t="s">
        <v>123</v>
      </c>
      <c r="D280" s="1" t="s">
        <v>815</v>
      </c>
      <c r="E280" s="4">
        <v>45292</v>
      </c>
      <c r="F280" s="4">
        <v>45657</v>
      </c>
      <c r="G280" s="1" t="s">
        <v>125</v>
      </c>
      <c r="H280" s="5">
        <v>1113297.4099999999</v>
      </c>
      <c r="I280" s="5">
        <v>80816.460000000006</v>
      </c>
      <c r="J280" s="5">
        <v>39600</v>
      </c>
      <c r="K280" s="5">
        <v>42744.9</v>
      </c>
      <c r="L280" s="5">
        <v>0</v>
      </c>
      <c r="M280" s="5">
        <v>163161.35999999999</v>
      </c>
      <c r="N280" s="5">
        <v>927052.6</v>
      </c>
      <c r="O280" s="5">
        <v>0</v>
      </c>
      <c r="P280" s="5">
        <v>23083.45</v>
      </c>
      <c r="Q280" s="5">
        <v>950136.05</v>
      </c>
      <c r="R280" s="1" t="s">
        <v>907</v>
      </c>
      <c r="S280" s="1" t="s">
        <v>124</v>
      </c>
      <c r="T280" s="4">
        <v>45292</v>
      </c>
      <c r="U280" s="4">
        <v>45657</v>
      </c>
      <c r="V280" s="1" t="s">
        <v>125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950136.05</v>
      </c>
      <c r="AH280" s="5">
        <v>140034.01</v>
      </c>
      <c r="AI280" s="5">
        <v>0</v>
      </c>
      <c r="AJ280" s="5">
        <v>140032.89000000001</v>
      </c>
      <c r="AK280" s="5">
        <v>0</v>
      </c>
      <c r="AL280" s="5">
        <v>1.1200000000000001</v>
      </c>
      <c r="AM280" s="5">
        <v>0</v>
      </c>
      <c r="AN280" s="5">
        <v>140034.01</v>
      </c>
      <c r="AO280" s="1" t="s">
        <v>434</v>
      </c>
    </row>
    <row r="281" spans="1:41" x14ac:dyDescent="0.25">
      <c r="A281" s="1">
        <f t="shared" si="3"/>
        <v>265</v>
      </c>
      <c r="B281" s="1" t="s">
        <v>569</v>
      </c>
      <c r="C281" s="1" t="s">
        <v>123</v>
      </c>
      <c r="D281" s="1" t="s">
        <v>815</v>
      </c>
      <c r="E281" s="4">
        <v>45292</v>
      </c>
      <c r="F281" s="4">
        <v>45657</v>
      </c>
      <c r="G281" s="1" t="s">
        <v>125</v>
      </c>
      <c r="H281" s="5">
        <v>788217.5199999999</v>
      </c>
      <c r="I281" s="5">
        <v>53323.96</v>
      </c>
      <c r="J281" s="5">
        <v>39600</v>
      </c>
      <c r="K281" s="5">
        <v>34497.15</v>
      </c>
      <c r="L281" s="5">
        <v>15975</v>
      </c>
      <c r="M281" s="5">
        <v>143396.10999999999</v>
      </c>
      <c r="N281" s="5">
        <v>605390.35</v>
      </c>
      <c r="O281" s="5">
        <v>0</v>
      </c>
      <c r="P281" s="5">
        <v>39431.06</v>
      </c>
      <c r="Q281" s="5">
        <v>644821.41</v>
      </c>
      <c r="R281" s="1" t="s">
        <v>908</v>
      </c>
      <c r="S281" s="1" t="s">
        <v>124</v>
      </c>
      <c r="T281" s="4">
        <v>45292</v>
      </c>
      <c r="U281" s="4">
        <v>45657</v>
      </c>
      <c r="V281" s="1" t="s">
        <v>125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644821.41</v>
      </c>
      <c r="AH281" s="5">
        <v>71464.28</v>
      </c>
      <c r="AI281" s="5">
        <v>0</v>
      </c>
      <c r="AJ281" s="5">
        <v>70664.94</v>
      </c>
      <c r="AK281" s="5">
        <v>0</v>
      </c>
      <c r="AL281" s="5">
        <v>799.34</v>
      </c>
      <c r="AM281" s="5">
        <v>0</v>
      </c>
      <c r="AN281" s="5">
        <v>71464.28</v>
      </c>
      <c r="AO281" s="1" t="s">
        <v>434</v>
      </c>
    </row>
    <row r="282" spans="1:41" x14ac:dyDescent="0.25">
      <c r="A282" s="1">
        <f t="shared" si="3"/>
        <v>266</v>
      </c>
      <c r="B282" s="1" t="s">
        <v>570</v>
      </c>
      <c r="C282" s="1" t="s">
        <v>123</v>
      </c>
      <c r="D282" s="1" t="s">
        <v>815</v>
      </c>
      <c r="E282" s="4">
        <v>45292</v>
      </c>
      <c r="F282" s="4">
        <v>45657</v>
      </c>
      <c r="G282" s="1" t="s">
        <v>125</v>
      </c>
      <c r="H282" s="5">
        <v>933043.67</v>
      </c>
      <c r="I282" s="5">
        <v>65100</v>
      </c>
      <c r="J282" s="5">
        <v>39600</v>
      </c>
      <c r="K282" s="5">
        <v>38030</v>
      </c>
      <c r="L282" s="5">
        <v>14550</v>
      </c>
      <c r="M282" s="5">
        <v>157280</v>
      </c>
      <c r="N282" s="5">
        <v>743170</v>
      </c>
      <c r="O282" s="5">
        <v>0</v>
      </c>
      <c r="P282" s="5">
        <v>32593.67</v>
      </c>
      <c r="Q282" s="5">
        <v>775763.67</v>
      </c>
      <c r="R282" s="1" t="s">
        <v>909</v>
      </c>
      <c r="S282" s="1" t="s">
        <v>124</v>
      </c>
      <c r="T282" s="4">
        <v>45292</v>
      </c>
      <c r="U282" s="4">
        <v>45657</v>
      </c>
      <c r="V282" s="1" t="s">
        <v>125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775763.67</v>
      </c>
      <c r="AH282" s="5">
        <v>97652.73</v>
      </c>
      <c r="AI282" s="5">
        <v>0</v>
      </c>
      <c r="AJ282" s="5">
        <v>98951.03</v>
      </c>
      <c r="AK282" s="5">
        <v>0</v>
      </c>
      <c r="AL282" s="5">
        <v>0</v>
      </c>
      <c r="AM282" s="5">
        <v>1298.3</v>
      </c>
      <c r="AN282" s="5">
        <v>97652.73</v>
      </c>
      <c r="AO282" s="1" t="s">
        <v>434</v>
      </c>
    </row>
    <row r="283" spans="1:41" x14ac:dyDescent="0.25">
      <c r="A283" s="1">
        <f t="shared" si="3"/>
        <v>267</v>
      </c>
      <c r="B283" s="1" t="s">
        <v>571</v>
      </c>
      <c r="C283" s="1" t="s">
        <v>123</v>
      </c>
      <c r="D283" s="1" t="s">
        <v>815</v>
      </c>
      <c r="E283" s="4">
        <v>45292</v>
      </c>
      <c r="F283" s="4">
        <v>45657</v>
      </c>
      <c r="G283" s="1" t="s">
        <v>125</v>
      </c>
      <c r="H283" s="5">
        <v>966276.3</v>
      </c>
      <c r="I283" s="5">
        <v>65707.539999999994</v>
      </c>
      <c r="J283" s="5">
        <v>39600</v>
      </c>
      <c r="K283" s="5">
        <v>38212.22</v>
      </c>
      <c r="L283" s="5">
        <v>0</v>
      </c>
      <c r="M283" s="5">
        <v>143519.76</v>
      </c>
      <c r="N283" s="5">
        <v>750278.28</v>
      </c>
      <c r="O283" s="5">
        <v>0</v>
      </c>
      <c r="P283" s="5">
        <v>72478.259999999995</v>
      </c>
      <c r="Q283" s="5">
        <v>822756.54</v>
      </c>
      <c r="R283" s="1" t="s">
        <v>910</v>
      </c>
      <c r="S283" s="1" t="s">
        <v>124</v>
      </c>
      <c r="T283" s="4">
        <v>45292</v>
      </c>
      <c r="U283" s="4">
        <v>45657</v>
      </c>
      <c r="V283" s="1" t="s">
        <v>125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822756.54</v>
      </c>
      <c r="AH283" s="5">
        <v>108189.14</v>
      </c>
      <c r="AI283" s="5">
        <v>0</v>
      </c>
      <c r="AJ283" s="5">
        <v>109444.48</v>
      </c>
      <c r="AK283" s="5">
        <v>0</v>
      </c>
      <c r="AL283" s="5">
        <v>0</v>
      </c>
      <c r="AM283" s="5">
        <v>1255.3499999999999</v>
      </c>
      <c r="AN283" s="5">
        <v>108189.14</v>
      </c>
      <c r="AO283" s="1" t="s">
        <v>434</v>
      </c>
    </row>
    <row r="284" spans="1:41" x14ac:dyDescent="0.25">
      <c r="A284" s="1">
        <f t="shared" si="3"/>
        <v>268</v>
      </c>
      <c r="B284" s="1" t="s">
        <v>572</v>
      </c>
      <c r="C284" s="1" t="s">
        <v>123</v>
      </c>
      <c r="D284" s="1" t="s">
        <v>815</v>
      </c>
      <c r="E284" s="4">
        <v>45292</v>
      </c>
      <c r="F284" s="4">
        <v>45657</v>
      </c>
      <c r="G284" s="1" t="s">
        <v>125</v>
      </c>
      <c r="H284" s="5">
        <v>2126309.2316666665</v>
      </c>
      <c r="I284" s="5">
        <v>90000</v>
      </c>
      <c r="J284" s="5">
        <v>36000</v>
      </c>
      <c r="K284" s="5">
        <v>48500</v>
      </c>
      <c r="L284" s="5">
        <v>0</v>
      </c>
      <c r="M284" s="5">
        <v>174500</v>
      </c>
      <c r="N284" s="5">
        <v>1768780.5</v>
      </c>
      <c r="O284" s="5">
        <v>61440.04</v>
      </c>
      <c r="P284" s="5">
        <v>121588.69</v>
      </c>
      <c r="Q284" s="5">
        <v>1951809.23</v>
      </c>
      <c r="R284" s="1" t="s">
        <v>911</v>
      </c>
      <c r="S284" s="1" t="s">
        <v>124</v>
      </c>
      <c r="T284" s="4">
        <v>45292</v>
      </c>
      <c r="U284" s="4">
        <v>45657</v>
      </c>
      <c r="V284" s="1" t="s">
        <v>125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1951809.23</v>
      </c>
      <c r="AH284" s="5">
        <v>390452.31</v>
      </c>
      <c r="AI284" s="5">
        <v>0</v>
      </c>
      <c r="AJ284" s="5">
        <v>391242.55</v>
      </c>
      <c r="AK284" s="5">
        <v>0</v>
      </c>
      <c r="AL284" s="5">
        <v>0</v>
      </c>
      <c r="AM284" s="5">
        <v>790.24</v>
      </c>
      <c r="AN284" s="5">
        <v>390452.31</v>
      </c>
      <c r="AO284" s="1" t="s">
        <v>434</v>
      </c>
    </row>
    <row r="285" spans="1:41" x14ac:dyDescent="0.25">
      <c r="A285" s="1">
        <f t="shared" si="3"/>
        <v>269</v>
      </c>
      <c r="B285" s="1" t="s">
        <v>573</v>
      </c>
      <c r="C285" s="1" t="s">
        <v>123</v>
      </c>
      <c r="D285" s="1" t="s">
        <v>815</v>
      </c>
      <c r="E285" s="4">
        <v>45292</v>
      </c>
      <c r="F285" s="4">
        <v>45657</v>
      </c>
      <c r="G285" s="1" t="s">
        <v>125</v>
      </c>
      <c r="H285" s="5">
        <v>1765510.4675</v>
      </c>
      <c r="I285" s="5">
        <v>90000</v>
      </c>
      <c r="J285" s="5">
        <v>36000</v>
      </c>
      <c r="K285" s="5">
        <v>48500</v>
      </c>
      <c r="L285" s="5">
        <v>0</v>
      </c>
      <c r="M285" s="5">
        <v>174500</v>
      </c>
      <c r="N285" s="5">
        <v>1437201.97</v>
      </c>
      <c r="O285" s="5">
        <v>33808.5</v>
      </c>
      <c r="P285" s="5">
        <v>120000</v>
      </c>
      <c r="Q285" s="5">
        <v>1591010.47</v>
      </c>
      <c r="R285" s="1" t="s">
        <v>912</v>
      </c>
      <c r="S285" s="1" t="s">
        <v>124</v>
      </c>
      <c r="T285" s="4">
        <v>45292</v>
      </c>
      <c r="U285" s="4">
        <v>45657</v>
      </c>
      <c r="V285" s="1" t="s">
        <v>125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1591010.47</v>
      </c>
      <c r="AH285" s="5">
        <v>300252.62</v>
      </c>
      <c r="AI285" s="5">
        <v>0</v>
      </c>
      <c r="AJ285" s="5">
        <v>300251.40999999997</v>
      </c>
      <c r="AK285" s="5">
        <v>0</v>
      </c>
      <c r="AL285" s="5">
        <v>1.21</v>
      </c>
      <c r="AM285" s="5">
        <v>0</v>
      </c>
      <c r="AN285" s="5">
        <v>300252.62</v>
      </c>
      <c r="AO285" s="1" t="s">
        <v>434</v>
      </c>
    </row>
    <row r="286" spans="1:41" x14ac:dyDescent="0.25">
      <c r="A286" s="1">
        <f t="shared" si="3"/>
        <v>270</v>
      </c>
      <c r="B286" s="1" t="s">
        <v>574</v>
      </c>
      <c r="C286" s="1" t="s">
        <v>123</v>
      </c>
      <c r="D286" s="1" t="s">
        <v>815</v>
      </c>
      <c r="E286" s="4">
        <v>45292</v>
      </c>
      <c r="F286" s="4">
        <v>45657</v>
      </c>
      <c r="G286" s="1" t="s">
        <v>125</v>
      </c>
      <c r="H286" s="5">
        <v>2149643.0199999996</v>
      </c>
      <c r="I286" s="5">
        <v>90000</v>
      </c>
      <c r="J286" s="5">
        <v>39600</v>
      </c>
      <c r="K286" s="5">
        <v>48500</v>
      </c>
      <c r="L286" s="5">
        <v>500</v>
      </c>
      <c r="M286" s="5">
        <v>178600</v>
      </c>
      <c r="N286" s="5">
        <v>1842884.63</v>
      </c>
      <c r="O286" s="5">
        <v>61450.75</v>
      </c>
      <c r="P286" s="5">
        <v>66707.64</v>
      </c>
      <c r="Q286" s="5">
        <v>1971043.02</v>
      </c>
      <c r="R286" s="1" t="s">
        <v>913</v>
      </c>
      <c r="S286" s="1" t="s">
        <v>124</v>
      </c>
      <c r="T286" s="4">
        <v>45292</v>
      </c>
      <c r="U286" s="4">
        <v>45657</v>
      </c>
      <c r="V286" s="1" t="s">
        <v>125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1971043.02</v>
      </c>
      <c r="AH286" s="5">
        <v>395260.76</v>
      </c>
      <c r="AI286" s="5">
        <v>0</v>
      </c>
      <c r="AJ286" s="5">
        <v>400143.88</v>
      </c>
      <c r="AK286" s="5">
        <v>0</v>
      </c>
      <c r="AL286" s="5">
        <v>0</v>
      </c>
      <c r="AM286" s="5">
        <v>4883.13</v>
      </c>
      <c r="AN286" s="5">
        <v>395260.76</v>
      </c>
      <c r="AO286" s="1" t="s">
        <v>434</v>
      </c>
    </row>
    <row r="287" spans="1:41" x14ac:dyDescent="0.25">
      <c r="A287" s="1">
        <f t="shared" si="3"/>
        <v>271</v>
      </c>
      <c r="B287" s="1" t="s">
        <v>575</v>
      </c>
      <c r="C287" s="1" t="s">
        <v>123</v>
      </c>
      <c r="D287" s="1" t="s">
        <v>815</v>
      </c>
      <c r="E287" s="4">
        <v>45292</v>
      </c>
      <c r="F287" s="4">
        <v>45657</v>
      </c>
      <c r="G287" s="1" t="s">
        <v>125</v>
      </c>
      <c r="H287" s="5">
        <v>1985338.7749999999</v>
      </c>
      <c r="I287" s="5">
        <v>90000</v>
      </c>
      <c r="J287" s="5">
        <v>39600</v>
      </c>
      <c r="K287" s="5">
        <v>48500</v>
      </c>
      <c r="L287" s="5">
        <v>39400</v>
      </c>
      <c r="M287" s="5">
        <v>217500</v>
      </c>
      <c r="N287" s="5">
        <v>1311917.5</v>
      </c>
      <c r="O287" s="5">
        <v>23368.13</v>
      </c>
      <c r="P287" s="5">
        <v>432553.15</v>
      </c>
      <c r="Q287" s="5">
        <v>1767838.78</v>
      </c>
      <c r="R287" s="1" t="s">
        <v>914</v>
      </c>
      <c r="S287" s="1" t="s">
        <v>124</v>
      </c>
      <c r="T287" s="4">
        <v>45292</v>
      </c>
      <c r="U287" s="4">
        <v>45657</v>
      </c>
      <c r="V287" s="1" t="s">
        <v>125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1767838.78</v>
      </c>
      <c r="AH287" s="5">
        <v>344459.69</v>
      </c>
      <c r="AI287" s="5">
        <v>0</v>
      </c>
      <c r="AJ287" s="5">
        <v>347752.51</v>
      </c>
      <c r="AK287" s="5">
        <v>0</v>
      </c>
      <c r="AL287" s="5">
        <v>0</v>
      </c>
      <c r="AM287" s="5">
        <v>3292.82</v>
      </c>
      <c r="AN287" s="5">
        <v>344459.69</v>
      </c>
      <c r="AO287" s="1" t="s">
        <v>434</v>
      </c>
    </row>
    <row r="288" spans="1:41" x14ac:dyDescent="0.25">
      <c r="A288" s="1">
        <f t="shared" si="3"/>
        <v>272</v>
      </c>
      <c r="B288" s="1" t="s">
        <v>576</v>
      </c>
      <c r="C288" s="1" t="s">
        <v>123</v>
      </c>
      <c r="D288" s="1" t="s">
        <v>815</v>
      </c>
      <c r="E288" s="4">
        <v>45292</v>
      </c>
      <c r="F288" s="4">
        <v>45657</v>
      </c>
      <c r="G288" s="1" t="s">
        <v>125</v>
      </c>
      <c r="H288" s="5">
        <v>1120198.27</v>
      </c>
      <c r="I288" s="5">
        <v>81619.13</v>
      </c>
      <c r="J288" s="5">
        <v>39600</v>
      </c>
      <c r="K288" s="5">
        <v>42985.7</v>
      </c>
      <c r="L288" s="5">
        <v>0</v>
      </c>
      <c r="M288" s="5">
        <v>164204.82999999999</v>
      </c>
      <c r="N288" s="5">
        <v>936443.8</v>
      </c>
      <c r="O288" s="5">
        <v>0</v>
      </c>
      <c r="P288" s="5">
        <v>19549.64</v>
      </c>
      <c r="Q288" s="5">
        <v>955993.44</v>
      </c>
      <c r="R288" s="1" t="s">
        <v>915</v>
      </c>
      <c r="S288" s="1" t="s">
        <v>124</v>
      </c>
      <c r="T288" s="4">
        <v>45292</v>
      </c>
      <c r="U288" s="4">
        <v>45657</v>
      </c>
      <c r="V288" s="1" t="s">
        <v>125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955993.44</v>
      </c>
      <c r="AH288" s="5">
        <v>141498.35999999999</v>
      </c>
      <c r="AI288" s="5">
        <v>0</v>
      </c>
      <c r="AJ288" s="5">
        <v>141497.20000000001</v>
      </c>
      <c r="AK288" s="5">
        <v>0</v>
      </c>
      <c r="AL288" s="5">
        <v>1.1599999999999999</v>
      </c>
      <c r="AM288" s="5">
        <v>0</v>
      </c>
      <c r="AN288" s="5">
        <v>141498.35999999999</v>
      </c>
      <c r="AO288" s="1" t="s">
        <v>434</v>
      </c>
    </row>
    <row r="289" spans="1:41" x14ac:dyDescent="0.25">
      <c r="A289" s="1">
        <f t="shared" si="3"/>
        <v>273</v>
      </c>
      <c r="B289" s="1" t="s">
        <v>577</v>
      </c>
      <c r="C289" s="1" t="s">
        <v>123</v>
      </c>
      <c r="D289" s="1" t="s">
        <v>815</v>
      </c>
      <c r="E289" s="4">
        <v>45292</v>
      </c>
      <c r="F289" s="4">
        <v>45657</v>
      </c>
      <c r="G289" s="1" t="s">
        <v>125</v>
      </c>
      <c r="H289" s="5">
        <v>821543.67999999993</v>
      </c>
      <c r="I289" s="5">
        <v>56358.080000000002</v>
      </c>
      <c r="J289" s="5">
        <v>39600</v>
      </c>
      <c r="K289" s="5">
        <v>35407.42</v>
      </c>
      <c r="L289" s="5">
        <v>14175</v>
      </c>
      <c r="M289" s="5">
        <v>145540.5</v>
      </c>
      <c r="N289" s="5">
        <v>663412.34</v>
      </c>
      <c r="O289" s="5">
        <v>0</v>
      </c>
      <c r="P289" s="5">
        <v>12590.84</v>
      </c>
      <c r="Q289" s="5">
        <v>676003.18</v>
      </c>
      <c r="R289" s="1" t="s">
        <v>916</v>
      </c>
      <c r="S289" s="1" t="s">
        <v>124</v>
      </c>
      <c r="T289" s="4">
        <v>45292</v>
      </c>
      <c r="U289" s="4">
        <v>45657</v>
      </c>
      <c r="V289" s="1" t="s">
        <v>125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676003.18</v>
      </c>
      <c r="AH289" s="5">
        <v>77700.639999999999</v>
      </c>
      <c r="AI289" s="5">
        <v>0</v>
      </c>
      <c r="AJ289" s="5">
        <v>79040.27</v>
      </c>
      <c r="AK289" s="5">
        <v>0</v>
      </c>
      <c r="AL289" s="5">
        <v>0</v>
      </c>
      <c r="AM289" s="5">
        <v>1339.63</v>
      </c>
      <c r="AN289" s="5">
        <v>77700.639999999999</v>
      </c>
      <c r="AO289" s="1" t="s">
        <v>434</v>
      </c>
    </row>
    <row r="290" spans="1:41" x14ac:dyDescent="0.25">
      <c r="A290" s="1">
        <f t="shared" si="3"/>
        <v>274</v>
      </c>
      <c r="B290" s="1" t="s">
        <v>578</v>
      </c>
      <c r="C290" s="1" t="s">
        <v>123</v>
      </c>
      <c r="D290" s="1" t="s">
        <v>815</v>
      </c>
      <c r="E290" s="4">
        <v>45292</v>
      </c>
      <c r="F290" s="4">
        <v>45657</v>
      </c>
      <c r="G290" s="1" t="s">
        <v>125</v>
      </c>
      <c r="H290" s="5">
        <v>1039371.34</v>
      </c>
      <c r="I290" s="5">
        <v>75389.039999999994</v>
      </c>
      <c r="J290" s="5">
        <v>39600</v>
      </c>
      <c r="K290" s="5">
        <v>41116.67</v>
      </c>
      <c r="L290" s="5">
        <v>0</v>
      </c>
      <c r="M290" s="5">
        <v>156105.71</v>
      </c>
      <c r="N290" s="5">
        <v>863551.83</v>
      </c>
      <c r="O290" s="5">
        <v>0</v>
      </c>
      <c r="P290" s="5">
        <v>19713.8</v>
      </c>
      <c r="Q290" s="5">
        <v>883265.63</v>
      </c>
      <c r="R290" s="1" t="s">
        <v>917</v>
      </c>
      <c r="S290" s="1" t="s">
        <v>124</v>
      </c>
      <c r="T290" s="4">
        <v>45292</v>
      </c>
      <c r="U290" s="4">
        <v>45657</v>
      </c>
      <c r="V290" s="1" t="s">
        <v>125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883265.63</v>
      </c>
      <c r="AH290" s="5">
        <v>123316.41</v>
      </c>
      <c r="AI290" s="5">
        <v>0</v>
      </c>
      <c r="AJ290" s="5">
        <v>123315.27</v>
      </c>
      <c r="AK290" s="5">
        <v>0</v>
      </c>
      <c r="AL290" s="5">
        <v>1.1399999999999999</v>
      </c>
      <c r="AM290" s="5">
        <v>0</v>
      </c>
      <c r="AN290" s="5">
        <v>123316.41</v>
      </c>
      <c r="AO290" s="1" t="s">
        <v>434</v>
      </c>
    </row>
    <row r="291" spans="1:41" x14ac:dyDescent="0.25">
      <c r="A291" s="1">
        <f t="shared" si="3"/>
        <v>275</v>
      </c>
      <c r="B291" s="1" t="s">
        <v>579</v>
      </c>
      <c r="C291" s="1" t="s">
        <v>123</v>
      </c>
      <c r="D291" s="1" t="s">
        <v>815</v>
      </c>
      <c r="E291" s="4">
        <v>45292</v>
      </c>
      <c r="F291" s="4">
        <v>45657</v>
      </c>
      <c r="G291" s="1" t="s">
        <v>125</v>
      </c>
      <c r="H291" s="5">
        <v>1206726.8499999999</v>
      </c>
      <c r="I291" s="5">
        <v>64105.33</v>
      </c>
      <c r="J291" s="5">
        <v>39600</v>
      </c>
      <c r="K291" s="5">
        <v>37731.599999999999</v>
      </c>
      <c r="L291" s="5">
        <v>37300</v>
      </c>
      <c r="M291" s="5">
        <v>178736.93</v>
      </c>
      <c r="N291" s="5">
        <v>731532.4</v>
      </c>
      <c r="O291" s="5">
        <v>0</v>
      </c>
      <c r="P291" s="5">
        <v>296457.52</v>
      </c>
      <c r="Q291" s="5">
        <v>1027989.92</v>
      </c>
      <c r="R291" s="1" t="s">
        <v>918</v>
      </c>
      <c r="S291" s="1" t="s">
        <v>124</v>
      </c>
      <c r="T291" s="4">
        <v>45292</v>
      </c>
      <c r="U291" s="4">
        <v>45657</v>
      </c>
      <c r="V291" s="1" t="s">
        <v>125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1027989.92</v>
      </c>
      <c r="AH291" s="5">
        <v>159497.48000000001</v>
      </c>
      <c r="AI291" s="5">
        <v>0</v>
      </c>
      <c r="AJ291" s="5">
        <v>160277.01</v>
      </c>
      <c r="AK291" s="5">
        <v>0</v>
      </c>
      <c r="AL291" s="5">
        <v>0</v>
      </c>
      <c r="AM291" s="5">
        <v>779.53</v>
      </c>
      <c r="AN291" s="5">
        <v>159497.48000000001</v>
      </c>
      <c r="AO291" s="1" t="s">
        <v>434</v>
      </c>
    </row>
    <row r="292" spans="1:41" x14ac:dyDescent="0.25">
      <c r="A292" s="1">
        <f t="shared" si="3"/>
        <v>276</v>
      </c>
      <c r="B292" s="1" t="s">
        <v>580</v>
      </c>
      <c r="C292" s="1" t="s">
        <v>123</v>
      </c>
      <c r="D292" s="1" t="s">
        <v>815</v>
      </c>
      <c r="E292" s="4">
        <v>45292</v>
      </c>
      <c r="F292" s="4">
        <v>45657</v>
      </c>
      <c r="G292" s="1" t="s">
        <v>125</v>
      </c>
      <c r="H292" s="5">
        <v>764826.97</v>
      </c>
      <c r="I292" s="5">
        <v>55019.75</v>
      </c>
      <c r="J292" s="5">
        <v>37950</v>
      </c>
      <c r="K292" s="5">
        <v>34654.370000000003</v>
      </c>
      <c r="L292" s="5">
        <v>9950</v>
      </c>
      <c r="M292" s="5">
        <v>137574.12</v>
      </c>
      <c r="N292" s="5">
        <v>625582.63</v>
      </c>
      <c r="O292" s="5">
        <v>0</v>
      </c>
      <c r="P292" s="5">
        <v>1670.22</v>
      </c>
      <c r="Q292" s="5">
        <v>627252.85</v>
      </c>
      <c r="R292" s="1" t="s">
        <v>919</v>
      </c>
      <c r="S292" s="1" t="s">
        <v>124</v>
      </c>
      <c r="T292" s="4">
        <v>45292</v>
      </c>
      <c r="U292" s="4">
        <v>45657</v>
      </c>
      <c r="V292" s="1" t="s">
        <v>125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627252.85</v>
      </c>
      <c r="AH292" s="5">
        <v>67950.570000000007</v>
      </c>
      <c r="AI292" s="5">
        <v>0</v>
      </c>
      <c r="AJ292" s="5">
        <v>70466.69</v>
      </c>
      <c r="AK292" s="5">
        <v>0</v>
      </c>
      <c r="AL292" s="5">
        <v>0</v>
      </c>
      <c r="AM292" s="5">
        <v>2516.12</v>
      </c>
      <c r="AN292" s="5">
        <v>67950.570000000007</v>
      </c>
      <c r="AO292" s="1" t="s">
        <v>434</v>
      </c>
    </row>
    <row r="293" spans="1:41" x14ac:dyDescent="0.25">
      <c r="A293" s="1">
        <f t="shared" si="3"/>
        <v>277</v>
      </c>
      <c r="B293" s="1" t="s">
        <v>581</v>
      </c>
      <c r="C293" s="1" t="s">
        <v>123</v>
      </c>
      <c r="D293" s="1" t="s">
        <v>815</v>
      </c>
      <c r="E293" s="4">
        <v>45292</v>
      </c>
      <c r="F293" s="4">
        <v>45657</v>
      </c>
      <c r="G293" s="1" t="s">
        <v>125</v>
      </c>
      <c r="H293" s="5">
        <v>3254849.5000000005</v>
      </c>
      <c r="I293" s="5">
        <v>90000</v>
      </c>
      <c r="J293" s="5">
        <v>48000</v>
      </c>
      <c r="K293" s="5">
        <v>48500</v>
      </c>
      <c r="L293" s="5">
        <v>0</v>
      </c>
      <c r="M293" s="5">
        <v>186500</v>
      </c>
      <c r="N293" s="5">
        <v>2596284.4</v>
      </c>
      <c r="O293" s="5">
        <v>352065.1</v>
      </c>
      <c r="P293" s="5">
        <v>120000</v>
      </c>
      <c r="Q293" s="5">
        <v>3068349.5</v>
      </c>
      <c r="R293" s="1" t="s">
        <v>920</v>
      </c>
      <c r="S293" s="1" t="s">
        <v>124</v>
      </c>
      <c r="T293" s="4">
        <v>45292</v>
      </c>
      <c r="U293" s="4">
        <v>45657</v>
      </c>
      <c r="V293" s="1" t="s">
        <v>125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3068349.5</v>
      </c>
      <c r="AH293" s="5">
        <v>723004.85</v>
      </c>
      <c r="AI293" s="5">
        <v>0</v>
      </c>
      <c r="AJ293" s="5">
        <v>723004.05</v>
      </c>
      <c r="AK293" s="5">
        <v>0</v>
      </c>
      <c r="AL293" s="5">
        <v>0.8</v>
      </c>
      <c r="AM293" s="5">
        <v>0</v>
      </c>
      <c r="AN293" s="5">
        <v>723004.85</v>
      </c>
      <c r="AO293" s="1" t="s">
        <v>434</v>
      </c>
    </row>
    <row r="294" spans="1:41" x14ac:dyDescent="0.25">
      <c r="A294" s="1">
        <f t="shared" si="3"/>
        <v>278</v>
      </c>
      <c r="B294" s="1" t="s">
        <v>582</v>
      </c>
      <c r="C294" s="1" t="s">
        <v>123</v>
      </c>
      <c r="D294" s="1" t="s">
        <v>815</v>
      </c>
      <c r="E294" s="4">
        <v>45292</v>
      </c>
      <c r="F294" s="4">
        <v>45657</v>
      </c>
      <c r="G294" s="1" t="s">
        <v>125</v>
      </c>
      <c r="H294" s="5">
        <v>1099848.1000000001</v>
      </c>
      <c r="I294" s="5">
        <v>78070.42</v>
      </c>
      <c r="J294" s="5">
        <v>39600</v>
      </c>
      <c r="K294" s="5">
        <v>41921.120000000003</v>
      </c>
      <c r="L294" s="5">
        <v>7600</v>
      </c>
      <c r="M294" s="5">
        <v>167191.54</v>
      </c>
      <c r="N294" s="5">
        <v>894923.88</v>
      </c>
      <c r="O294" s="5">
        <v>0</v>
      </c>
      <c r="P294" s="5">
        <v>37732.68</v>
      </c>
      <c r="Q294" s="5">
        <v>932656.56</v>
      </c>
      <c r="R294" s="1" t="s">
        <v>921</v>
      </c>
      <c r="S294" s="1" t="s">
        <v>124</v>
      </c>
      <c r="T294" s="4">
        <v>45292</v>
      </c>
      <c r="U294" s="4">
        <v>45657</v>
      </c>
      <c r="V294" s="1" t="s">
        <v>125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932656.56</v>
      </c>
      <c r="AH294" s="5">
        <v>135664.14000000001</v>
      </c>
      <c r="AI294" s="5">
        <v>0</v>
      </c>
      <c r="AJ294" s="5">
        <v>136019.99</v>
      </c>
      <c r="AK294" s="5">
        <v>0</v>
      </c>
      <c r="AL294" s="5">
        <v>0</v>
      </c>
      <c r="AM294" s="5">
        <v>355.85</v>
      </c>
      <c r="AN294" s="5">
        <v>135664.14000000001</v>
      </c>
      <c r="AO294" s="1" t="s">
        <v>434</v>
      </c>
    </row>
    <row r="295" spans="1:41" x14ac:dyDescent="0.25">
      <c r="A295" s="1">
        <f t="shared" si="3"/>
        <v>279</v>
      </c>
      <c r="B295" s="1" t="s">
        <v>583</v>
      </c>
      <c r="C295" s="1" t="s">
        <v>123</v>
      </c>
      <c r="D295" s="1" t="s">
        <v>815</v>
      </c>
      <c r="E295" s="4">
        <v>45292</v>
      </c>
      <c r="F295" s="4">
        <v>45657</v>
      </c>
      <c r="G295" s="1" t="s">
        <v>125</v>
      </c>
      <c r="H295" s="5">
        <v>616703.35</v>
      </c>
      <c r="I295" s="5">
        <v>43432.95</v>
      </c>
      <c r="J295" s="5">
        <v>39600</v>
      </c>
      <c r="K295" s="5">
        <v>31580</v>
      </c>
      <c r="L295" s="5">
        <v>12475</v>
      </c>
      <c r="M295" s="5">
        <v>127087.95</v>
      </c>
      <c r="N295" s="5">
        <v>489615.4</v>
      </c>
      <c r="O295" s="5">
        <v>0</v>
      </c>
      <c r="P295" s="5">
        <v>0</v>
      </c>
      <c r="Q295" s="5">
        <v>489615.4</v>
      </c>
      <c r="R295" s="1" t="s">
        <v>922</v>
      </c>
      <c r="S295" s="1" t="s">
        <v>124</v>
      </c>
      <c r="T295" s="4">
        <v>45292</v>
      </c>
      <c r="U295" s="4">
        <v>45657</v>
      </c>
      <c r="V295" s="1" t="s">
        <v>125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489615.4</v>
      </c>
      <c r="AH295" s="5">
        <v>40423.08</v>
      </c>
      <c r="AI295" s="5">
        <v>0</v>
      </c>
      <c r="AJ295" s="5">
        <v>40438.04</v>
      </c>
      <c r="AK295" s="5">
        <v>0</v>
      </c>
      <c r="AL295" s="5">
        <v>0</v>
      </c>
      <c r="AM295" s="5">
        <v>14.96</v>
      </c>
      <c r="AN295" s="5">
        <v>40423.08</v>
      </c>
      <c r="AO295" s="1" t="s">
        <v>434</v>
      </c>
    </row>
    <row r="296" spans="1:41" x14ac:dyDescent="0.25">
      <c r="A296" s="1">
        <f t="shared" si="3"/>
        <v>280</v>
      </c>
      <c r="B296" s="1" t="s">
        <v>584</v>
      </c>
      <c r="C296" s="1" t="s">
        <v>123</v>
      </c>
      <c r="D296" s="1" t="s">
        <v>815</v>
      </c>
      <c r="E296" s="4">
        <v>45292</v>
      </c>
      <c r="F296" s="4">
        <v>45657</v>
      </c>
      <c r="G296" s="1" t="s">
        <v>125</v>
      </c>
      <c r="H296" s="5">
        <v>1139813.96</v>
      </c>
      <c r="I296" s="5">
        <v>80816.460000000006</v>
      </c>
      <c r="J296" s="5">
        <v>39600</v>
      </c>
      <c r="K296" s="5">
        <v>42744.9</v>
      </c>
      <c r="L296" s="5">
        <v>25600</v>
      </c>
      <c r="M296" s="5">
        <v>188761.36</v>
      </c>
      <c r="N296" s="5">
        <v>927052.6</v>
      </c>
      <c r="O296" s="5">
        <v>0</v>
      </c>
      <c r="P296" s="5">
        <v>24000</v>
      </c>
      <c r="Q296" s="5">
        <v>951052.6</v>
      </c>
      <c r="R296" s="1" t="s">
        <v>923</v>
      </c>
      <c r="S296" s="1" t="s">
        <v>124</v>
      </c>
      <c r="T296" s="4">
        <v>45292</v>
      </c>
      <c r="U296" s="4">
        <v>45657</v>
      </c>
      <c r="V296" s="1" t="s">
        <v>125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951052.6</v>
      </c>
      <c r="AH296" s="5">
        <v>140263.15</v>
      </c>
      <c r="AI296" s="5">
        <v>0</v>
      </c>
      <c r="AJ296" s="5">
        <v>140262.03</v>
      </c>
      <c r="AK296" s="5">
        <v>0</v>
      </c>
      <c r="AL296" s="5">
        <v>1.1200000000000001</v>
      </c>
      <c r="AM296" s="5">
        <v>0</v>
      </c>
      <c r="AN296" s="5">
        <v>140263.15</v>
      </c>
      <c r="AO296" s="1" t="s">
        <v>434</v>
      </c>
    </row>
    <row r="297" spans="1:41" x14ac:dyDescent="0.25">
      <c r="A297" s="1">
        <f t="shared" si="3"/>
        <v>281</v>
      </c>
      <c r="B297" s="1" t="s">
        <v>585</v>
      </c>
      <c r="C297" s="1" t="s">
        <v>123</v>
      </c>
      <c r="D297" s="1" t="s">
        <v>815</v>
      </c>
      <c r="E297" s="4">
        <v>45292</v>
      </c>
      <c r="F297" s="4">
        <v>45657</v>
      </c>
      <c r="G297" s="1" t="s">
        <v>125</v>
      </c>
      <c r="H297" s="5">
        <v>776424.93999999971</v>
      </c>
      <c r="I297" s="5">
        <v>55079.39</v>
      </c>
      <c r="J297" s="5">
        <v>39600</v>
      </c>
      <c r="K297" s="5">
        <v>35010.199999999997</v>
      </c>
      <c r="L297" s="5">
        <v>15475</v>
      </c>
      <c r="M297" s="5">
        <v>145164.59</v>
      </c>
      <c r="N297" s="5">
        <v>625942.5</v>
      </c>
      <c r="O297" s="5">
        <v>0</v>
      </c>
      <c r="P297" s="5">
        <v>5317.85</v>
      </c>
      <c r="Q297" s="5">
        <v>631260.35</v>
      </c>
      <c r="R297" s="1" t="s">
        <v>924</v>
      </c>
      <c r="S297" s="1" t="s">
        <v>124</v>
      </c>
      <c r="T297" s="4">
        <v>45292</v>
      </c>
      <c r="U297" s="4">
        <v>45657</v>
      </c>
      <c r="V297" s="1" t="s">
        <v>125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631260.35</v>
      </c>
      <c r="AH297" s="5">
        <v>68752.070000000007</v>
      </c>
      <c r="AI297" s="5">
        <v>0</v>
      </c>
      <c r="AJ297" s="5">
        <v>68750.47</v>
      </c>
      <c r="AK297" s="5">
        <v>0</v>
      </c>
      <c r="AL297" s="5">
        <v>1.6</v>
      </c>
      <c r="AM297" s="5">
        <v>0</v>
      </c>
      <c r="AN297" s="5">
        <v>68752.070000000007</v>
      </c>
      <c r="AO297" s="1" t="s">
        <v>434</v>
      </c>
    </row>
    <row r="298" spans="1:41" x14ac:dyDescent="0.25">
      <c r="A298" s="1">
        <f t="shared" si="3"/>
        <v>282</v>
      </c>
      <c r="B298" s="1" t="s">
        <v>586</v>
      </c>
      <c r="C298" s="1" t="s">
        <v>123</v>
      </c>
      <c r="D298" s="1" t="s">
        <v>815</v>
      </c>
      <c r="E298" s="4">
        <v>45292</v>
      </c>
      <c r="F298" s="4">
        <v>45657</v>
      </c>
      <c r="G298" s="1" t="s">
        <v>125</v>
      </c>
      <c r="H298" s="5">
        <v>345587.58999999997</v>
      </c>
      <c r="I298" s="5">
        <v>21297.5</v>
      </c>
      <c r="J298" s="5">
        <v>39600</v>
      </c>
      <c r="K298" s="5">
        <v>21131.75</v>
      </c>
      <c r="L298" s="5">
        <v>18300</v>
      </c>
      <c r="M298" s="5">
        <v>100329.25</v>
      </c>
      <c r="N298" s="5">
        <v>234438.25</v>
      </c>
      <c r="O298" s="5">
        <v>0</v>
      </c>
      <c r="P298" s="5">
        <v>10820.09</v>
      </c>
      <c r="Q298" s="5">
        <v>245258.34</v>
      </c>
      <c r="R298" s="1" t="s">
        <v>925</v>
      </c>
      <c r="S298" s="1" t="s">
        <v>124</v>
      </c>
      <c r="T298" s="4">
        <v>45292</v>
      </c>
      <c r="U298" s="4">
        <v>45657</v>
      </c>
      <c r="V298" s="1" t="s">
        <v>125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245258.34</v>
      </c>
      <c r="AH298" s="5">
        <v>0</v>
      </c>
      <c r="AI298" s="5">
        <v>0</v>
      </c>
      <c r="AJ298" s="5">
        <v>1151.6400000000001</v>
      </c>
      <c r="AK298" s="5">
        <v>0</v>
      </c>
      <c r="AL298" s="5">
        <v>0</v>
      </c>
      <c r="AM298" s="5">
        <v>1151.6400000000001</v>
      </c>
      <c r="AN298" s="5">
        <v>0</v>
      </c>
      <c r="AO298" s="1" t="s">
        <v>434</v>
      </c>
    </row>
    <row r="299" spans="1:41" x14ac:dyDescent="0.25">
      <c r="A299" s="1">
        <f t="shared" si="3"/>
        <v>283</v>
      </c>
      <c r="B299" s="1" t="s">
        <v>587</v>
      </c>
      <c r="C299" s="1" t="s">
        <v>123</v>
      </c>
      <c r="D299" s="1" t="s">
        <v>815</v>
      </c>
      <c r="E299" s="4">
        <v>45292</v>
      </c>
      <c r="F299" s="4">
        <v>45657</v>
      </c>
      <c r="G299" s="1" t="s">
        <v>125</v>
      </c>
      <c r="H299" s="5">
        <v>822460.21</v>
      </c>
      <c r="I299" s="5">
        <v>57672.71</v>
      </c>
      <c r="J299" s="5">
        <v>39600</v>
      </c>
      <c r="K299" s="5">
        <v>36589.65</v>
      </c>
      <c r="L299" s="5">
        <v>1600</v>
      </c>
      <c r="M299" s="5">
        <v>135462.35999999999</v>
      </c>
      <c r="N299" s="5">
        <v>686997.85</v>
      </c>
      <c r="O299" s="5">
        <v>0</v>
      </c>
      <c r="P299" s="5">
        <v>0</v>
      </c>
      <c r="Q299" s="5">
        <v>686997.85</v>
      </c>
      <c r="R299" s="1" t="s">
        <v>926</v>
      </c>
      <c r="S299" s="1" t="s">
        <v>124</v>
      </c>
      <c r="T299" s="4">
        <v>45292</v>
      </c>
      <c r="U299" s="4">
        <v>45657</v>
      </c>
      <c r="V299" s="1" t="s">
        <v>125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686997.85</v>
      </c>
      <c r="AH299" s="5">
        <v>79899.570000000007</v>
      </c>
      <c r="AI299" s="5">
        <v>0</v>
      </c>
      <c r="AJ299" s="5">
        <v>80874.69</v>
      </c>
      <c r="AK299" s="5">
        <v>0</v>
      </c>
      <c r="AL299" s="5">
        <v>0</v>
      </c>
      <c r="AM299" s="5">
        <v>975.12</v>
      </c>
      <c r="AN299" s="5">
        <v>79899.570000000007</v>
      </c>
      <c r="AO299" s="1" t="s">
        <v>434</v>
      </c>
    </row>
    <row r="300" spans="1:41" x14ac:dyDescent="0.25">
      <c r="A300" s="1">
        <f t="shared" ref="A300:A358" si="4">A299+1</f>
        <v>284</v>
      </c>
      <c r="B300" s="1" t="s">
        <v>588</v>
      </c>
      <c r="C300" s="1" t="s">
        <v>123</v>
      </c>
      <c r="D300" s="1" t="s">
        <v>815</v>
      </c>
      <c r="E300" s="4">
        <v>45292</v>
      </c>
      <c r="F300" s="4">
        <v>45657</v>
      </c>
      <c r="G300" s="1" t="s">
        <v>125</v>
      </c>
      <c r="H300" s="5">
        <v>574827.62</v>
      </c>
      <c r="I300" s="5">
        <v>49467.6</v>
      </c>
      <c r="J300" s="5">
        <v>28050</v>
      </c>
      <c r="K300" s="5">
        <v>25411</v>
      </c>
      <c r="L300" s="5">
        <v>18425</v>
      </c>
      <c r="M300" s="5">
        <v>121353.60000000001</v>
      </c>
      <c r="N300" s="5">
        <v>444980.17</v>
      </c>
      <c r="O300" s="5">
        <v>0</v>
      </c>
      <c r="P300" s="5">
        <v>8493.85</v>
      </c>
      <c r="Q300" s="5">
        <v>453474.02</v>
      </c>
      <c r="R300" s="1" t="s">
        <v>927</v>
      </c>
      <c r="S300" s="1" t="s">
        <v>124</v>
      </c>
      <c r="T300" s="4">
        <v>45292</v>
      </c>
      <c r="U300" s="4">
        <v>45657</v>
      </c>
      <c r="V300" s="1" t="s">
        <v>125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453474.02</v>
      </c>
      <c r="AH300" s="5">
        <v>33194.800000000003</v>
      </c>
      <c r="AI300" s="5">
        <v>0</v>
      </c>
      <c r="AJ300" s="5">
        <v>49964.51</v>
      </c>
      <c r="AK300" s="5">
        <v>0</v>
      </c>
      <c r="AL300" s="5">
        <v>0</v>
      </c>
      <c r="AM300" s="5">
        <v>16769.71</v>
      </c>
      <c r="AN300" s="5">
        <v>33194.800000000003</v>
      </c>
      <c r="AO300" s="1" t="s">
        <v>434</v>
      </c>
    </row>
    <row r="301" spans="1:41" x14ac:dyDescent="0.25">
      <c r="A301" s="1">
        <f t="shared" si="4"/>
        <v>285</v>
      </c>
      <c r="B301" s="1" t="s">
        <v>589</v>
      </c>
      <c r="C301" s="1" t="s">
        <v>123</v>
      </c>
      <c r="D301" s="1" t="s">
        <v>815</v>
      </c>
      <c r="E301" s="4">
        <v>45292</v>
      </c>
      <c r="F301" s="4">
        <v>45657</v>
      </c>
      <c r="G301" s="1" t="s">
        <v>125</v>
      </c>
      <c r="H301" s="5">
        <v>417499.83</v>
      </c>
      <c r="I301" s="5">
        <v>26202.27</v>
      </c>
      <c r="J301" s="5">
        <v>39600</v>
      </c>
      <c r="K301" s="5">
        <v>25467.37</v>
      </c>
      <c r="L301" s="5">
        <v>17025</v>
      </c>
      <c r="M301" s="5">
        <v>108294.64</v>
      </c>
      <c r="N301" s="5">
        <v>288959.81</v>
      </c>
      <c r="O301" s="5">
        <v>0</v>
      </c>
      <c r="P301" s="5">
        <v>20245.38</v>
      </c>
      <c r="Q301" s="5">
        <v>309205.19</v>
      </c>
      <c r="R301" s="1" t="s">
        <v>928</v>
      </c>
      <c r="S301" s="1" t="s">
        <v>124</v>
      </c>
      <c r="T301" s="4">
        <v>45292</v>
      </c>
      <c r="U301" s="4">
        <v>45657</v>
      </c>
      <c r="V301" s="1" t="s">
        <v>125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309205.19</v>
      </c>
      <c r="AH301" s="5">
        <v>8880.7800000000007</v>
      </c>
      <c r="AI301" s="5">
        <v>0</v>
      </c>
      <c r="AJ301" s="5">
        <v>8879.58</v>
      </c>
      <c r="AK301" s="5">
        <v>0</v>
      </c>
      <c r="AL301" s="5">
        <v>1.2</v>
      </c>
      <c r="AM301" s="5">
        <v>0</v>
      </c>
      <c r="AN301" s="5">
        <v>8880.7800000000007</v>
      </c>
      <c r="AO301" s="1" t="s">
        <v>434</v>
      </c>
    </row>
    <row r="302" spans="1:41" x14ac:dyDescent="0.25">
      <c r="A302" s="1">
        <f t="shared" si="4"/>
        <v>286</v>
      </c>
      <c r="B302" s="1" t="s">
        <v>590</v>
      </c>
      <c r="C302" s="1" t="s">
        <v>123</v>
      </c>
      <c r="D302" s="1" t="s">
        <v>815</v>
      </c>
      <c r="E302" s="4">
        <v>45292</v>
      </c>
      <c r="F302" s="4">
        <v>45657</v>
      </c>
      <c r="G302" s="1" t="s">
        <v>125</v>
      </c>
      <c r="H302" s="5">
        <v>900527.51</v>
      </c>
      <c r="I302" s="5">
        <v>65802.12</v>
      </c>
      <c r="J302" s="5">
        <v>39600</v>
      </c>
      <c r="K302" s="5">
        <v>38319.57</v>
      </c>
      <c r="L302" s="5">
        <v>5500</v>
      </c>
      <c r="M302" s="5">
        <v>149221.69</v>
      </c>
      <c r="N302" s="5">
        <v>751305.82</v>
      </c>
      <c r="O302" s="5">
        <v>0</v>
      </c>
      <c r="P302" s="5">
        <v>0</v>
      </c>
      <c r="Q302" s="5">
        <v>751305.82</v>
      </c>
      <c r="R302" s="1" t="s">
        <v>929</v>
      </c>
      <c r="S302" s="1" t="s">
        <v>124</v>
      </c>
      <c r="T302" s="4">
        <v>45292</v>
      </c>
      <c r="U302" s="4">
        <v>45657</v>
      </c>
      <c r="V302" s="1" t="s">
        <v>125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751305.82</v>
      </c>
      <c r="AH302" s="5">
        <v>92761.16</v>
      </c>
      <c r="AI302" s="5">
        <v>0</v>
      </c>
      <c r="AJ302" s="5">
        <v>92815.97</v>
      </c>
      <c r="AK302" s="5">
        <v>0</v>
      </c>
      <c r="AL302" s="5">
        <v>0</v>
      </c>
      <c r="AM302" s="5">
        <v>54.81</v>
      </c>
      <c r="AN302" s="5">
        <v>92761.16</v>
      </c>
      <c r="AO302" s="1" t="s">
        <v>434</v>
      </c>
    </row>
    <row r="303" spans="1:41" x14ac:dyDescent="0.25">
      <c r="A303" s="1">
        <f t="shared" si="4"/>
        <v>287</v>
      </c>
      <c r="B303" s="1" t="s">
        <v>591</v>
      </c>
      <c r="C303" s="1" t="s">
        <v>123</v>
      </c>
      <c r="D303" s="1" t="s">
        <v>815</v>
      </c>
      <c r="E303" s="4">
        <v>45292</v>
      </c>
      <c r="F303" s="4">
        <v>45657</v>
      </c>
      <c r="G303" s="1" t="s">
        <v>125</v>
      </c>
      <c r="H303" s="5">
        <v>836724.08000000007</v>
      </c>
      <c r="I303" s="5">
        <v>55084.17</v>
      </c>
      <c r="J303" s="5">
        <v>39600</v>
      </c>
      <c r="K303" s="5">
        <v>35025.25</v>
      </c>
      <c r="L303" s="5">
        <v>18075</v>
      </c>
      <c r="M303" s="5">
        <v>147784.42000000001</v>
      </c>
      <c r="N303" s="5">
        <v>625984.75</v>
      </c>
      <c r="O303" s="5">
        <v>0</v>
      </c>
      <c r="P303" s="5">
        <v>62954.91</v>
      </c>
      <c r="Q303" s="5">
        <v>688939.66</v>
      </c>
      <c r="R303" s="1" t="s">
        <v>930</v>
      </c>
      <c r="S303" s="1" t="s">
        <v>124</v>
      </c>
      <c r="T303" s="4">
        <v>45292</v>
      </c>
      <c r="U303" s="4">
        <v>45657</v>
      </c>
      <c r="V303" s="1" t="s">
        <v>125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688939.66</v>
      </c>
      <c r="AH303" s="5">
        <v>80287.929999999993</v>
      </c>
      <c r="AI303" s="5">
        <v>0</v>
      </c>
      <c r="AJ303" s="5">
        <v>80689.929999999993</v>
      </c>
      <c r="AK303" s="5">
        <v>0</v>
      </c>
      <c r="AL303" s="5">
        <v>0</v>
      </c>
      <c r="AM303" s="5">
        <v>402</v>
      </c>
      <c r="AN303" s="5">
        <v>80287.929999999993</v>
      </c>
      <c r="AO303" s="1" t="s">
        <v>434</v>
      </c>
    </row>
    <row r="304" spans="1:41" x14ac:dyDescent="0.25">
      <c r="A304" s="1">
        <f t="shared" si="4"/>
        <v>288</v>
      </c>
      <c r="B304" s="1" t="s">
        <v>592</v>
      </c>
      <c r="C304" s="1" t="s">
        <v>123</v>
      </c>
      <c r="D304" s="1" t="s">
        <v>815</v>
      </c>
      <c r="E304" s="4">
        <v>45292</v>
      </c>
      <c r="F304" s="4">
        <v>45657</v>
      </c>
      <c r="G304" s="1" t="s">
        <v>125</v>
      </c>
      <c r="H304" s="5">
        <v>806676.01</v>
      </c>
      <c r="I304" s="5">
        <v>55827.81</v>
      </c>
      <c r="J304" s="5">
        <v>39600</v>
      </c>
      <c r="K304" s="5">
        <v>35376.32</v>
      </c>
      <c r="L304" s="5">
        <v>13525</v>
      </c>
      <c r="M304" s="5">
        <v>144329.13</v>
      </c>
      <c r="N304" s="5">
        <v>654540.85</v>
      </c>
      <c r="O304" s="5">
        <v>0</v>
      </c>
      <c r="P304" s="5">
        <v>7806.03</v>
      </c>
      <c r="Q304" s="5">
        <v>662346.88</v>
      </c>
      <c r="R304" s="1" t="s">
        <v>931</v>
      </c>
      <c r="S304" s="1" t="s">
        <v>124</v>
      </c>
      <c r="T304" s="4">
        <v>45292</v>
      </c>
      <c r="U304" s="4">
        <v>45657</v>
      </c>
      <c r="V304" s="1" t="s">
        <v>125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662346.88</v>
      </c>
      <c r="AH304" s="5">
        <v>74969.38</v>
      </c>
      <c r="AI304" s="5">
        <v>0</v>
      </c>
      <c r="AJ304" s="5">
        <v>75950.429999999993</v>
      </c>
      <c r="AK304" s="5">
        <v>0</v>
      </c>
      <c r="AL304" s="5">
        <v>0</v>
      </c>
      <c r="AM304" s="5">
        <v>981.05</v>
      </c>
      <c r="AN304" s="5">
        <v>74969.38</v>
      </c>
      <c r="AO304" s="1" t="s">
        <v>434</v>
      </c>
    </row>
    <row r="305" spans="1:41" x14ac:dyDescent="0.25">
      <c r="A305" s="1">
        <f t="shared" si="4"/>
        <v>289</v>
      </c>
      <c r="B305" s="1" t="s">
        <v>593</v>
      </c>
      <c r="C305" s="1" t="s">
        <v>123</v>
      </c>
      <c r="D305" s="1" t="s">
        <v>815</v>
      </c>
      <c r="E305" s="4">
        <v>45292</v>
      </c>
      <c r="F305" s="4">
        <v>45657</v>
      </c>
      <c r="G305" s="1" t="s">
        <v>125</v>
      </c>
      <c r="H305" s="5">
        <v>786571.88</v>
      </c>
      <c r="I305" s="5">
        <v>56254.54</v>
      </c>
      <c r="J305" s="5">
        <v>39600</v>
      </c>
      <c r="K305" s="5">
        <v>35376.32</v>
      </c>
      <c r="L305" s="5">
        <v>15450</v>
      </c>
      <c r="M305" s="5">
        <v>146680.85999999999</v>
      </c>
      <c r="N305" s="5">
        <v>639678.18000000005</v>
      </c>
      <c r="O305" s="5">
        <v>0</v>
      </c>
      <c r="P305" s="5">
        <v>212.84</v>
      </c>
      <c r="Q305" s="5">
        <v>639891.02</v>
      </c>
      <c r="R305" s="1" t="s">
        <v>932</v>
      </c>
      <c r="S305" s="1" t="s">
        <v>124</v>
      </c>
      <c r="T305" s="4">
        <v>45292</v>
      </c>
      <c r="U305" s="4">
        <v>45657</v>
      </c>
      <c r="V305" s="1" t="s">
        <v>125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639891.02</v>
      </c>
      <c r="AH305" s="5">
        <v>70478.2</v>
      </c>
      <c r="AI305" s="5">
        <v>0</v>
      </c>
      <c r="AJ305" s="5">
        <v>70476.570000000007</v>
      </c>
      <c r="AK305" s="5">
        <v>0</v>
      </c>
      <c r="AL305" s="5">
        <v>1.63</v>
      </c>
      <c r="AM305" s="5">
        <v>0</v>
      </c>
      <c r="AN305" s="5">
        <v>70478.2</v>
      </c>
      <c r="AO305" s="1" t="s">
        <v>434</v>
      </c>
    </row>
    <row r="306" spans="1:41" x14ac:dyDescent="0.25">
      <c r="A306" s="1">
        <f t="shared" si="4"/>
        <v>290</v>
      </c>
      <c r="B306" s="1" t="s">
        <v>594</v>
      </c>
      <c r="C306" s="1" t="s">
        <v>123</v>
      </c>
      <c r="D306" s="1" t="s">
        <v>815</v>
      </c>
      <c r="E306" s="4">
        <v>45292</v>
      </c>
      <c r="F306" s="4">
        <v>45657</v>
      </c>
      <c r="G306" s="1" t="s">
        <v>125</v>
      </c>
      <c r="H306" s="5">
        <v>1072013.96</v>
      </c>
      <c r="I306" s="5">
        <v>79416.460000000006</v>
      </c>
      <c r="J306" s="5">
        <v>39600</v>
      </c>
      <c r="K306" s="5">
        <v>42324.9</v>
      </c>
      <c r="L306" s="5">
        <v>0</v>
      </c>
      <c r="M306" s="5">
        <v>161341.35999999999</v>
      </c>
      <c r="N306" s="5">
        <v>910672.6</v>
      </c>
      <c r="O306" s="5">
        <v>0</v>
      </c>
      <c r="P306" s="5">
        <v>0</v>
      </c>
      <c r="Q306" s="5">
        <v>910672.6</v>
      </c>
      <c r="R306" s="1" t="s">
        <v>933</v>
      </c>
      <c r="S306" s="1" t="s">
        <v>124</v>
      </c>
      <c r="T306" s="4">
        <v>45292</v>
      </c>
      <c r="U306" s="4">
        <v>45657</v>
      </c>
      <c r="V306" s="1" t="s">
        <v>125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910672.6</v>
      </c>
      <c r="AH306" s="5">
        <v>130168.15</v>
      </c>
      <c r="AI306" s="5">
        <v>0</v>
      </c>
      <c r="AJ306" s="5">
        <v>130166.92</v>
      </c>
      <c r="AK306" s="5">
        <v>0</v>
      </c>
      <c r="AL306" s="5">
        <v>1.23</v>
      </c>
      <c r="AM306" s="5">
        <v>0</v>
      </c>
      <c r="AN306" s="5">
        <v>130168.15</v>
      </c>
      <c r="AO306" s="1" t="s">
        <v>434</v>
      </c>
    </row>
    <row r="307" spans="1:41" x14ac:dyDescent="0.25">
      <c r="A307" s="1">
        <f t="shared" si="4"/>
        <v>291</v>
      </c>
      <c r="B307" s="1" t="s">
        <v>595</v>
      </c>
      <c r="C307" s="1" t="s">
        <v>123</v>
      </c>
      <c r="D307" s="1" t="s">
        <v>815</v>
      </c>
      <c r="E307" s="4">
        <v>45292</v>
      </c>
      <c r="F307" s="4">
        <v>45657</v>
      </c>
      <c r="G307" s="1" t="s">
        <v>125</v>
      </c>
      <c r="H307" s="5">
        <v>864693.30999999994</v>
      </c>
      <c r="I307" s="5">
        <v>61835.08</v>
      </c>
      <c r="J307" s="5">
        <v>39600</v>
      </c>
      <c r="K307" s="5">
        <v>37050.519999999997</v>
      </c>
      <c r="L307" s="5">
        <v>15425</v>
      </c>
      <c r="M307" s="5">
        <v>153910.6</v>
      </c>
      <c r="N307" s="5">
        <v>704970.48</v>
      </c>
      <c r="O307" s="5">
        <v>0</v>
      </c>
      <c r="P307" s="5">
        <v>5812.23</v>
      </c>
      <c r="Q307" s="5">
        <v>710782.71</v>
      </c>
      <c r="R307" s="1" t="s">
        <v>934</v>
      </c>
      <c r="S307" s="1" t="s">
        <v>124</v>
      </c>
      <c r="T307" s="4">
        <v>45292</v>
      </c>
      <c r="U307" s="4">
        <v>45657</v>
      </c>
      <c r="V307" s="1" t="s">
        <v>125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710782.71</v>
      </c>
      <c r="AH307" s="5">
        <v>84656.54</v>
      </c>
      <c r="AI307" s="5">
        <v>0</v>
      </c>
      <c r="AJ307" s="5">
        <v>84794.93</v>
      </c>
      <c r="AK307" s="5">
        <v>0</v>
      </c>
      <c r="AL307" s="5">
        <v>0</v>
      </c>
      <c r="AM307" s="5">
        <v>138.38999999999999</v>
      </c>
      <c r="AN307" s="5">
        <v>84656.54</v>
      </c>
      <c r="AO307" s="1" t="s">
        <v>434</v>
      </c>
    </row>
    <row r="308" spans="1:41" x14ac:dyDescent="0.25">
      <c r="A308" s="1">
        <f t="shared" si="4"/>
        <v>292</v>
      </c>
      <c r="B308" s="1" t="s">
        <v>596</v>
      </c>
      <c r="C308" s="1" t="s">
        <v>123</v>
      </c>
      <c r="D308" s="1" t="s">
        <v>815</v>
      </c>
      <c r="E308" s="4">
        <v>45292</v>
      </c>
      <c r="F308" s="4">
        <v>45657</v>
      </c>
      <c r="G308" s="1" t="s">
        <v>125</v>
      </c>
      <c r="H308" s="5">
        <v>774225.07000000007</v>
      </c>
      <c r="I308" s="5">
        <v>55084.17</v>
      </c>
      <c r="J308" s="5">
        <v>39600</v>
      </c>
      <c r="K308" s="5">
        <v>35025.25</v>
      </c>
      <c r="L308" s="5">
        <v>15225</v>
      </c>
      <c r="M308" s="5">
        <v>144934.42000000001</v>
      </c>
      <c r="N308" s="5">
        <v>625984.75</v>
      </c>
      <c r="O308" s="5">
        <v>0</v>
      </c>
      <c r="P308" s="5">
        <v>3305.9</v>
      </c>
      <c r="Q308" s="5">
        <v>629290.65</v>
      </c>
      <c r="R308" s="1" t="s">
        <v>935</v>
      </c>
      <c r="S308" s="1" t="s">
        <v>124</v>
      </c>
      <c r="T308" s="4">
        <v>45292</v>
      </c>
      <c r="U308" s="4">
        <v>45657</v>
      </c>
      <c r="V308" s="1" t="s">
        <v>125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629290.65</v>
      </c>
      <c r="AH308" s="5">
        <v>68358.13</v>
      </c>
      <c r="AI308" s="5">
        <v>0</v>
      </c>
      <c r="AJ308" s="5">
        <v>69064.19</v>
      </c>
      <c r="AK308" s="5">
        <v>0</v>
      </c>
      <c r="AL308" s="5">
        <v>0</v>
      </c>
      <c r="AM308" s="5">
        <v>706.06</v>
      </c>
      <c r="AN308" s="5">
        <v>68358.13</v>
      </c>
      <c r="AO308" s="1" t="s">
        <v>434</v>
      </c>
    </row>
    <row r="309" spans="1:41" x14ac:dyDescent="0.25">
      <c r="A309" s="1">
        <f t="shared" si="4"/>
        <v>293</v>
      </c>
      <c r="B309" s="1" t="s">
        <v>597</v>
      </c>
      <c r="C309" s="1" t="s">
        <v>123</v>
      </c>
      <c r="D309" s="1" t="s">
        <v>815</v>
      </c>
      <c r="E309" s="4">
        <v>45292</v>
      </c>
      <c r="F309" s="4">
        <v>45657</v>
      </c>
      <c r="G309" s="1" t="s">
        <v>125</v>
      </c>
      <c r="H309" s="5">
        <v>375565.94000000006</v>
      </c>
      <c r="I309" s="5">
        <v>23211.16</v>
      </c>
      <c r="J309" s="5">
        <v>39600</v>
      </c>
      <c r="K309" s="5">
        <v>22607.69</v>
      </c>
      <c r="L309" s="5">
        <v>15975</v>
      </c>
      <c r="M309" s="5">
        <v>101393.85</v>
      </c>
      <c r="N309" s="5">
        <v>255926.21</v>
      </c>
      <c r="O309" s="5">
        <v>0</v>
      </c>
      <c r="P309" s="5">
        <v>18245.88</v>
      </c>
      <c r="Q309" s="5">
        <v>274172.09000000003</v>
      </c>
      <c r="R309" s="1" t="s">
        <v>936</v>
      </c>
      <c r="S309" s="1" t="s">
        <v>124</v>
      </c>
      <c r="T309" s="4">
        <v>45292</v>
      </c>
      <c r="U309" s="4">
        <v>45657</v>
      </c>
      <c r="V309" s="1" t="s">
        <v>125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274172.09000000003</v>
      </c>
      <c r="AH309" s="5">
        <v>3625.81</v>
      </c>
      <c r="AI309" s="5">
        <v>0</v>
      </c>
      <c r="AJ309" s="5">
        <v>6004.47</v>
      </c>
      <c r="AK309" s="5">
        <v>0</v>
      </c>
      <c r="AL309" s="5">
        <v>0</v>
      </c>
      <c r="AM309" s="5">
        <v>2378.66</v>
      </c>
      <c r="AN309" s="5">
        <v>3625.81</v>
      </c>
      <c r="AO309" s="1" t="s">
        <v>434</v>
      </c>
    </row>
    <row r="310" spans="1:41" x14ac:dyDescent="0.25">
      <c r="A310" s="1">
        <f t="shared" si="4"/>
        <v>294</v>
      </c>
      <c r="B310" s="1" t="s">
        <v>598</v>
      </c>
      <c r="C310" s="1" t="s">
        <v>123</v>
      </c>
      <c r="D310" s="1" t="s">
        <v>815</v>
      </c>
      <c r="E310" s="4">
        <v>45292</v>
      </c>
      <c r="F310" s="4">
        <v>45657</v>
      </c>
      <c r="G310" s="1" t="s">
        <v>125</v>
      </c>
      <c r="H310" s="5">
        <v>1911038.7641666669</v>
      </c>
      <c r="I310" s="5">
        <v>90000</v>
      </c>
      <c r="J310" s="5">
        <v>36000</v>
      </c>
      <c r="K310" s="5">
        <v>48500</v>
      </c>
      <c r="L310" s="5">
        <v>0</v>
      </c>
      <c r="M310" s="5">
        <v>174500</v>
      </c>
      <c r="N310" s="5">
        <v>1571171.37</v>
      </c>
      <c r="O310" s="5">
        <v>44972.61</v>
      </c>
      <c r="P310" s="5">
        <v>120394.78</v>
      </c>
      <c r="Q310" s="5">
        <v>1736538.76</v>
      </c>
      <c r="R310" s="1" t="s">
        <v>937</v>
      </c>
      <c r="S310" s="1" t="s">
        <v>124</v>
      </c>
      <c r="T310" s="4">
        <v>45292</v>
      </c>
      <c r="U310" s="4">
        <v>45657</v>
      </c>
      <c r="V310" s="1" t="s">
        <v>125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1736538.76</v>
      </c>
      <c r="AH310" s="5">
        <v>336634.69</v>
      </c>
      <c r="AI310" s="5">
        <v>0</v>
      </c>
      <c r="AJ310" s="5">
        <v>336633.49</v>
      </c>
      <c r="AK310" s="5">
        <v>0</v>
      </c>
      <c r="AL310" s="5">
        <v>1.2</v>
      </c>
      <c r="AM310" s="5">
        <v>0</v>
      </c>
      <c r="AN310" s="5">
        <v>336634.69</v>
      </c>
      <c r="AO310" s="1" t="s">
        <v>434</v>
      </c>
    </row>
    <row r="311" spans="1:41" x14ac:dyDescent="0.25">
      <c r="A311" s="1">
        <f t="shared" si="4"/>
        <v>295</v>
      </c>
      <c r="B311" s="1" t="s">
        <v>599</v>
      </c>
      <c r="C311" s="1" t="s">
        <v>123</v>
      </c>
      <c r="D311" s="1" t="s">
        <v>815</v>
      </c>
      <c r="E311" s="4">
        <v>45292</v>
      </c>
      <c r="F311" s="4">
        <v>45657</v>
      </c>
      <c r="G311" s="1" t="s">
        <v>125</v>
      </c>
      <c r="H311" s="5">
        <v>442123.82999999996</v>
      </c>
      <c r="I311" s="5">
        <v>26672.58</v>
      </c>
      <c r="J311" s="5">
        <v>39600</v>
      </c>
      <c r="K311" s="5">
        <v>25932.7</v>
      </c>
      <c r="L311" s="5">
        <v>31725</v>
      </c>
      <c r="M311" s="5">
        <v>123930.28</v>
      </c>
      <c r="N311" s="5">
        <v>294138.3</v>
      </c>
      <c r="O311" s="5">
        <v>0</v>
      </c>
      <c r="P311" s="5">
        <v>24055.25</v>
      </c>
      <c r="Q311" s="5">
        <v>318193.55</v>
      </c>
      <c r="R311" s="1" t="s">
        <v>938</v>
      </c>
      <c r="S311" s="1" t="s">
        <v>124</v>
      </c>
      <c r="T311" s="4">
        <v>45292</v>
      </c>
      <c r="U311" s="4">
        <v>45657</v>
      </c>
      <c r="V311" s="1" t="s">
        <v>125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318193.55</v>
      </c>
      <c r="AH311" s="5">
        <v>10229.030000000001</v>
      </c>
      <c r="AI311" s="5">
        <v>0</v>
      </c>
      <c r="AJ311" s="5">
        <v>10477.89</v>
      </c>
      <c r="AK311" s="5">
        <v>0</v>
      </c>
      <c r="AL311" s="5">
        <v>0</v>
      </c>
      <c r="AM311" s="5">
        <v>248.86</v>
      </c>
      <c r="AN311" s="5">
        <v>10229.030000000001</v>
      </c>
      <c r="AO311" s="1" t="s">
        <v>434</v>
      </c>
    </row>
    <row r="312" spans="1:41" x14ac:dyDescent="0.25">
      <c r="A312" s="1">
        <f t="shared" si="4"/>
        <v>296</v>
      </c>
      <c r="B312" s="1" t="s">
        <v>600</v>
      </c>
      <c r="C312" s="1" t="s">
        <v>123</v>
      </c>
      <c r="D312" s="1" t="s">
        <v>815</v>
      </c>
      <c r="E312" s="4">
        <v>45292</v>
      </c>
      <c r="F312" s="4">
        <v>45657</v>
      </c>
      <c r="G312" s="1" t="s">
        <v>125</v>
      </c>
      <c r="H312" s="5">
        <v>1327409.1200000001</v>
      </c>
      <c r="I312" s="5">
        <v>90000</v>
      </c>
      <c r="J312" s="5">
        <v>36800</v>
      </c>
      <c r="K312" s="5">
        <v>47000</v>
      </c>
      <c r="L312" s="5">
        <v>0</v>
      </c>
      <c r="M312" s="5">
        <v>173800</v>
      </c>
      <c r="N312" s="5">
        <v>1093000</v>
      </c>
      <c r="O312" s="5">
        <v>5000</v>
      </c>
      <c r="P312" s="5">
        <v>55609.120000000003</v>
      </c>
      <c r="Q312" s="5">
        <v>1153609.1200000001</v>
      </c>
      <c r="R312" s="1" t="s">
        <v>939</v>
      </c>
      <c r="S312" s="1" t="s">
        <v>124</v>
      </c>
      <c r="T312" s="4">
        <v>45292</v>
      </c>
      <c r="U312" s="4">
        <v>45657</v>
      </c>
      <c r="V312" s="1" t="s">
        <v>125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1153609.1200000001</v>
      </c>
      <c r="AH312" s="5">
        <v>190902.28</v>
      </c>
      <c r="AI312" s="5">
        <v>0</v>
      </c>
      <c r="AJ312" s="5">
        <v>191281.82</v>
      </c>
      <c r="AK312" s="5">
        <v>0</v>
      </c>
      <c r="AL312" s="5">
        <v>0</v>
      </c>
      <c r="AM312" s="5">
        <v>379.54</v>
      </c>
      <c r="AN312" s="5">
        <v>190902.28</v>
      </c>
      <c r="AO312" s="1" t="s">
        <v>434</v>
      </c>
    </row>
    <row r="313" spans="1:41" x14ac:dyDescent="0.25">
      <c r="A313" s="1">
        <f t="shared" si="4"/>
        <v>297</v>
      </c>
      <c r="B313" s="1" t="s">
        <v>601</v>
      </c>
      <c r="C313" s="1" t="s">
        <v>123</v>
      </c>
      <c r="D313" s="1" t="s">
        <v>815</v>
      </c>
      <c r="E313" s="4">
        <v>45292</v>
      </c>
      <c r="F313" s="4">
        <v>45657</v>
      </c>
      <c r="G313" s="1" t="s">
        <v>125</v>
      </c>
      <c r="H313" s="5">
        <v>408833.95999999996</v>
      </c>
      <c r="I313" s="5">
        <v>27231.46</v>
      </c>
      <c r="J313" s="5">
        <v>39600</v>
      </c>
      <c r="K313" s="5">
        <v>25499.4</v>
      </c>
      <c r="L313" s="5">
        <v>15225</v>
      </c>
      <c r="M313" s="5">
        <v>107555.86</v>
      </c>
      <c r="N313" s="5">
        <v>301278.09999999998</v>
      </c>
      <c r="O313" s="5">
        <v>0</v>
      </c>
      <c r="P313" s="5">
        <v>0</v>
      </c>
      <c r="Q313" s="5">
        <v>301278.09999999998</v>
      </c>
      <c r="R313" s="1" t="s">
        <v>940</v>
      </c>
      <c r="S313" s="1" t="s">
        <v>124</v>
      </c>
      <c r="T313" s="4">
        <v>45292</v>
      </c>
      <c r="U313" s="4">
        <v>45657</v>
      </c>
      <c r="V313" s="1" t="s">
        <v>125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301278.09999999998</v>
      </c>
      <c r="AH313" s="5">
        <v>7691.72</v>
      </c>
      <c r="AI313" s="5">
        <v>0</v>
      </c>
      <c r="AJ313" s="5">
        <v>7690.52</v>
      </c>
      <c r="AK313" s="5">
        <v>0</v>
      </c>
      <c r="AL313" s="5">
        <v>1.19</v>
      </c>
      <c r="AM313" s="5">
        <v>0</v>
      </c>
      <c r="AN313" s="5">
        <v>7691.72</v>
      </c>
      <c r="AO313" s="1" t="s">
        <v>434</v>
      </c>
    </row>
    <row r="314" spans="1:41" x14ac:dyDescent="0.25">
      <c r="A314" s="1">
        <f t="shared" si="4"/>
        <v>298</v>
      </c>
      <c r="B314" s="1" t="s">
        <v>602</v>
      </c>
      <c r="C314" s="1" t="s">
        <v>123</v>
      </c>
      <c r="D314" s="1" t="s">
        <v>815</v>
      </c>
      <c r="E314" s="4">
        <v>45292</v>
      </c>
      <c r="F314" s="4">
        <v>45657</v>
      </c>
      <c r="G314" s="1" t="s">
        <v>125</v>
      </c>
      <c r="H314" s="5">
        <v>349610.06</v>
      </c>
      <c r="I314" s="5">
        <v>22525.64</v>
      </c>
      <c r="J314" s="5">
        <v>39600</v>
      </c>
      <c r="K314" s="5">
        <v>21706.55</v>
      </c>
      <c r="L314" s="5">
        <v>17175</v>
      </c>
      <c r="M314" s="5">
        <v>101007.19</v>
      </c>
      <c r="N314" s="5">
        <v>248601.11</v>
      </c>
      <c r="O314" s="5">
        <v>0</v>
      </c>
      <c r="P314" s="5">
        <v>1.76</v>
      </c>
      <c r="Q314" s="5">
        <v>248602.87</v>
      </c>
      <c r="R314" s="1" t="s">
        <v>941</v>
      </c>
      <c r="S314" s="1" t="s">
        <v>124</v>
      </c>
      <c r="T314" s="4">
        <v>45292</v>
      </c>
      <c r="U314" s="4">
        <v>45657</v>
      </c>
      <c r="V314" s="1" t="s">
        <v>125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248602.87</v>
      </c>
      <c r="AH314" s="5">
        <v>0</v>
      </c>
      <c r="AI314" s="5">
        <v>0</v>
      </c>
      <c r="AJ314" s="5">
        <v>287.17</v>
      </c>
      <c r="AK314" s="5">
        <v>0</v>
      </c>
      <c r="AL314" s="5">
        <v>0</v>
      </c>
      <c r="AM314" s="5">
        <v>287.17</v>
      </c>
      <c r="AN314" s="5">
        <v>0</v>
      </c>
      <c r="AO314" s="1" t="s">
        <v>434</v>
      </c>
    </row>
    <row r="315" spans="1:41" x14ac:dyDescent="0.25">
      <c r="A315" s="1">
        <f t="shared" si="4"/>
        <v>299</v>
      </c>
      <c r="B315" s="1" t="s">
        <v>603</v>
      </c>
      <c r="C315" s="1" t="s">
        <v>123</v>
      </c>
      <c r="D315" s="1" t="s">
        <v>815</v>
      </c>
      <c r="E315" s="4">
        <v>45292</v>
      </c>
      <c r="F315" s="4">
        <v>45657</v>
      </c>
      <c r="G315" s="1" t="s">
        <v>125</v>
      </c>
      <c r="H315" s="5">
        <v>2710297.4383333335</v>
      </c>
      <c r="I315" s="5">
        <v>90000</v>
      </c>
      <c r="J315" s="5">
        <v>36000</v>
      </c>
      <c r="K315" s="5">
        <v>48500</v>
      </c>
      <c r="L315" s="5">
        <v>0</v>
      </c>
      <c r="M315" s="5">
        <v>174500</v>
      </c>
      <c r="N315" s="5">
        <v>2309313.02</v>
      </c>
      <c r="O315" s="5">
        <v>106484.42</v>
      </c>
      <c r="P315" s="5">
        <v>120000</v>
      </c>
      <c r="Q315" s="5">
        <v>2535797.44</v>
      </c>
      <c r="R315" s="1" t="s">
        <v>942</v>
      </c>
      <c r="S315" s="1" t="s">
        <v>124</v>
      </c>
      <c r="T315" s="4">
        <v>45292</v>
      </c>
      <c r="U315" s="4">
        <v>45657</v>
      </c>
      <c r="V315" s="1" t="s">
        <v>125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2535797.44</v>
      </c>
      <c r="AH315" s="5">
        <v>563239.23</v>
      </c>
      <c r="AI315" s="5">
        <v>0</v>
      </c>
      <c r="AJ315" s="5">
        <v>563238.43999999994</v>
      </c>
      <c r="AK315" s="5">
        <v>0</v>
      </c>
      <c r="AL315" s="5">
        <v>0.79</v>
      </c>
      <c r="AM315" s="5">
        <v>0</v>
      </c>
      <c r="AN315" s="5">
        <v>563239.23</v>
      </c>
      <c r="AO315" s="1" t="s">
        <v>434</v>
      </c>
    </row>
    <row r="316" spans="1:41" x14ac:dyDescent="0.25">
      <c r="A316" s="1">
        <f t="shared" si="4"/>
        <v>300</v>
      </c>
      <c r="B316" s="1" t="s">
        <v>604</v>
      </c>
      <c r="C316" s="1" t="s">
        <v>123</v>
      </c>
      <c r="D316" s="1" t="s">
        <v>815</v>
      </c>
      <c r="E316" s="4">
        <v>45292</v>
      </c>
      <c r="F316" s="4">
        <v>45657</v>
      </c>
      <c r="G316" s="1" t="s">
        <v>125</v>
      </c>
      <c r="H316" s="5">
        <v>366090.70999999996</v>
      </c>
      <c r="I316" s="5">
        <v>22149.4</v>
      </c>
      <c r="J316" s="5">
        <v>39600</v>
      </c>
      <c r="K316" s="5">
        <v>22304.36</v>
      </c>
      <c r="L316" s="5">
        <v>17525</v>
      </c>
      <c r="M316" s="5">
        <v>101578.76</v>
      </c>
      <c r="N316" s="5">
        <v>243488.44</v>
      </c>
      <c r="O316" s="5">
        <v>0</v>
      </c>
      <c r="P316" s="5">
        <v>21023.51</v>
      </c>
      <c r="Q316" s="5">
        <v>264511.95</v>
      </c>
      <c r="R316" s="1" t="s">
        <v>943</v>
      </c>
      <c r="S316" s="1" t="s">
        <v>124</v>
      </c>
      <c r="T316" s="4">
        <v>45292</v>
      </c>
      <c r="U316" s="4">
        <v>45657</v>
      </c>
      <c r="V316" s="1" t="s">
        <v>125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264511.95</v>
      </c>
      <c r="AH316" s="5">
        <v>2176.79</v>
      </c>
      <c r="AI316" s="5">
        <v>0</v>
      </c>
      <c r="AJ316" s="5">
        <v>2730.29</v>
      </c>
      <c r="AK316" s="5">
        <v>0</v>
      </c>
      <c r="AL316" s="5">
        <v>0</v>
      </c>
      <c r="AM316" s="5">
        <v>553.5</v>
      </c>
      <c r="AN316" s="5">
        <v>2176.79</v>
      </c>
      <c r="AO316" s="1" t="s">
        <v>434</v>
      </c>
    </row>
    <row r="317" spans="1:41" x14ac:dyDescent="0.25">
      <c r="A317" s="1">
        <f t="shared" si="4"/>
        <v>301</v>
      </c>
      <c r="B317" s="1" t="s">
        <v>605</v>
      </c>
      <c r="C317" s="1" t="s">
        <v>123</v>
      </c>
      <c r="D317" s="1" t="s">
        <v>815</v>
      </c>
      <c r="E317" s="4">
        <v>45292</v>
      </c>
      <c r="F317" s="4">
        <v>45657</v>
      </c>
      <c r="G317" s="1" t="s">
        <v>125</v>
      </c>
      <c r="H317" s="5">
        <v>2397308.3333333335</v>
      </c>
      <c r="I317" s="5">
        <v>90000</v>
      </c>
      <c r="J317" s="5">
        <v>36000</v>
      </c>
      <c r="K317" s="5">
        <v>48500</v>
      </c>
      <c r="L317" s="5">
        <v>0</v>
      </c>
      <c r="M317" s="5">
        <v>174500</v>
      </c>
      <c r="N317" s="5">
        <v>2020400</v>
      </c>
      <c r="O317" s="5">
        <v>82408.33</v>
      </c>
      <c r="P317" s="5">
        <v>120000</v>
      </c>
      <c r="Q317" s="5">
        <v>2222808.33</v>
      </c>
      <c r="R317" s="1" t="s">
        <v>944</v>
      </c>
      <c r="S317" s="1" t="s">
        <v>124</v>
      </c>
      <c r="T317" s="4">
        <v>45292</v>
      </c>
      <c r="U317" s="4">
        <v>45657</v>
      </c>
      <c r="V317" s="1" t="s">
        <v>125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2222808.33</v>
      </c>
      <c r="AH317" s="5">
        <v>469342.5</v>
      </c>
      <c r="AI317" s="5">
        <v>0</v>
      </c>
      <c r="AJ317" s="5">
        <v>469341.7</v>
      </c>
      <c r="AK317" s="5">
        <v>0</v>
      </c>
      <c r="AL317" s="5">
        <v>0.8</v>
      </c>
      <c r="AM317" s="5">
        <v>0</v>
      </c>
      <c r="AN317" s="5">
        <v>469342.5</v>
      </c>
      <c r="AO317" s="1" t="s">
        <v>434</v>
      </c>
    </row>
    <row r="318" spans="1:41" x14ac:dyDescent="0.25">
      <c r="A318" s="1">
        <f t="shared" si="4"/>
        <v>302</v>
      </c>
      <c r="B318" s="1" t="s">
        <v>606</v>
      </c>
      <c r="C318" s="1" t="s">
        <v>123</v>
      </c>
      <c r="D318" s="1" t="s">
        <v>815</v>
      </c>
      <c r="E318" s="4">
        <v>45292</v>
      </c>
      <c r="F318" s="4">
        <v>45657</v>
      </c>
      <c r="G318" s="1" t="s">
        <v>125</v>
      </c>
      <c r="H318" s="5">
        <v>1715064.1391666667</v>
      </c>
      <c r="I318" s="5">
        <v>90000</v>
      </c>
      <c r="J318" s="5">
        <v>39600</v>
      </c>
      <c r="K318" s="5">
        <v>48500</v>
      </c>
      <c r="L318" s="5">
        <v>26600</v>
      </c>
      <c r="M318" s="5">
        <v>204700</v>
      </c>
      <c r="N318" s="5">
        <v>1451823</v>
      </c>
      <c r="O318" s="5">
        <v>34541.14</v>
      </c>
      <c r="P318" s="5">
        <v>24000</v>
      </c>
      <c r="Q318" s="5">
        <v>1510364.14</v>
      </c>
      <c r="R318" s="1" t="s">
        <v>945</v>
      </c>
      <c r="S318" s="1" t="s">
        <v>124</v>
      </c>
      <c r="T318" s="4">
        <v>45292</v>
      </c>
      <c r="U318" s="4">
        <v>45657</v>
      </c>
      <c r="V318" s="1" t="s">
        <v>125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1510364.14</v>
      </c>
      <c r="AH318" s="5">
        <v>280091.03000000003</v>
      </c>
      <c r="AI318" s="5">
        <v>0</v>
      </c>
      <c r="AJ318" s="5">
        <v>280089.83</v>
      </c>
      <c r="AK318" s="5">
        <v>0</v>
      </c>
      <c r="AL318" s="5">
        <v>1.2</v>
      </c>
      <c r="AM318" s="5">
        <v>0</v>
      </c>
      <c r="AN318" s="5">
        <v>280091.03000000003</v>
      </c>
      <c r="AO318" s="1" t="s">
        <v>434</v>
      </c>
    </row>
    <row r="319" spans="1:41" x14ac:dyDescent="0.25">
      <c r="A319" s="1">
        <f t="shared" si="4"/>
        <v>303</v>
      </c>
      <c r="B319" s="1" t="s">
        <v>607</v>
      </c>
      <c r="C319" s="1" t="s">
        <v>123</v>
      </c>
      <c r="D319" s="1" t="s">
        <v>815</v>
      </c>
      <c r="E319" s="4">
        <v>45292</v>
      </c>
      <c r="F319" s="4">
        <v>45657</v>
      </c>
      <c r="G319" s="1" t="s">
        <v>125</v>
      </c>
      <c r="H319" s="5">
        <v>830219.16999999993</v>
      </c>
      <c r="I319" s="5">
        <v>55084.17</v>
      </c>
      <c r="J319" s="5">
        <v>39600</v>
      </c>
      <c r="K319" s="5">
        <v>35025.25</v>
      </c>
      <c r="L319" s="5">
        <v>50525</v>
      </c>
      <c r="M319" s="5">
        <v>180234.42</v>
      </c>
      <c r="N319" s="5">
        <v>625984.75</v>
      </c>
      <c r="O319" s="5">
        <v>0</v>
      </c>
      <c r="P319" s="5">
        <v>24000</v>
      </c>
      <c r="Q319" s="5">
        <v>649984.75</v>
      </c>
      <c r="R319" s="1" t="s">
        <v>946</v>
      </c>
      <c r="S319" s="1" t="s">
        <v>124</v>
      </c>
      <c r="T319" s="4">
        <v>45292</v>
      </c>
      <c r="U319" s="4">
        <v>45657</v>
      </c>
      <c r="V319" s="1" t="s">
        <v>125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649984.75</v>
      </c>
      <c r="AH319" s="5">
        <v>72496.95</v>
      </c>
      <c r="AI319" s="5">
        <v>0</v>
      </c>
      <c r="AJ319" s="5">
        <v>72495.350000000006</v>
      </c>
      <c r="AK319" s="5">
        <v>0</v>
      </c>
      <c r="AL319" s="5">
        <v>1.6</v>
      </c>
      <c r="AM319" s="5">
        <v>0</v>
      </c>
      <c r="AN319" s="5">
        <v>72496.95</v>
      </c>
      <c r="AO319" s="1" t="s">
        <v>434</v>
      </c>
    </row>
    <row r="320" spans="1:41" x14ac:dyDescent="0.25">
      <c r="A320" s="1">
        <f t="shared" si="4"/>
        <v>304</v>
      </c>
      <c r="B320" s="1" t="s">
        <v>608</v>
      </c>
      <c r="C320" s="1" t="s">
        <v>123</v>
      </c>
      <c r="D320" s="1" t="s">
        <v>815</v>
      </c>
      <c r="E320" s="4">
        <v>45292</v>
      </c>
      <c r="F320" s="4">
        <v>45657</v>
      </c>
      <c r="G320" s="1" t="s">
        <v>125</v>
      </c>
      <c r="H320" s="5">
        <v>2223621.083333333</v>
      </c>
      <c r="I320" s="5">
        <v>90000</v>
      </c>
      <c r="J320" s="5">
        <v>36000</v>
      </c>
      <c r="K320" s="5">
        <v>48500</v>
      </c>
      <c r="L320" s="5">
        <v>0</v>
      </c>
      <c r="M320" s="5">
        <v>174500</v>
      </c>
      <c r="N320" s="5">
        <v>1856381</v>
      </c>
      <c r="O320" s="5">
        <v>68740.08</v>
      </c>
      <c r="P320" s="5">
        <v>124000</v>
      </c>
      <c r="Q320" s="5">
        <v>2049121.08</v>
      </c>
      <c r="R320" s="1" t="s">
        <v>947</v>
      </c>
      <c r="S320" s="1" t="s">
        <v>124</v>
      </c>
      <c r="T320" s="4">
        <v>45292</v>
      </c>
      <c r="U320" s="4">
        <v>45657</v>
      </c>
      <c r="V320" s="1" t="s">
        <v>125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2049121.08</v>
      </c>
      <c r="AH320" s="5">
        <v>417236.33</v>
      </c>
      <c r="AI320" s="5">
        <v>0</v>
      </c>
      <c r="AJ320" s="5">
        <v>417613.33</v>
      </c>
      <c r="AK320" s="5">
        <v>0</v>
      </c>
      <c r="AL320" s="5">
        <v>0</v>
      </c>
      <c r="AM320" s="5">
        <v>377.01</v>
      </c>
      <c r="AN320" s="5">
        <v>417236.33</v>
      </c>
      <c r="AO320" s="1" t="s">
        <v>434</v>
      </c>
    </row>
    <row r="321" spans="1:41" x14ac:dyDescent="0.25">
      <c r="A321" s="1">
        <f t="shared" si="4"/>
        <v>305</v>
      </c>
      <c r="B321" s="1" t="s">
        <v>609</v>
      </c>
      <c r="C321" s="1" t="s">
        <v>123</v>
      </c>
      <c r="D321" s="1" t="s">
        <v>815</v>
      </c>
      <c r="E321" s="4">
        <v>45292</v>
      </c>
      <c r="F321" s="4">
        <v>45657</v>
      </c>
      <c r="G321" s="1" t="s">
        <v>125</v>
      </c>
      <c r="H321" s="5">
        <v>820507.87999999989</v>
      </c>
      <c r="I321" s="5">
        <v>55079.39</v>
      </c>
      <c r="J321" s="5">
        <v>39600</v>
      </c>
      <c r="K321" s="5">
        <v>35010.199999999997</v>
      </c>
      <c r="L321" s="5">
        <v>18300</v>
      </c>
      <c r="M321" s="5">
        <v>147989.59</v>
      </c>
      <c r="N321" s="5">
        <v>625942.5</v>
      </c>
      <c r="O321" s="5">
        <v>0</v>
      </c>
      <c r="P321" s="5">
        <v>46575.79</v>
      </c>
      <c r="Q321" s="5">
        <v>672518.29</v>
      </c>
      <c r="R321" s="1" t="s">
        <v>948</v>
      </c>
      <c r="S321" s="1" t="s">
        <v>124</v>
      </c>
      <c r="T321" s="4">
        <v>45292</v>
      </c>
      <c r="U321" s="4">
        <v>45657</v>
      </c>
      <c r="V321" s="1" t="s">
        <v>125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672518.29</v>
      </c>
      <c r="AH321" s="5">
        <v>77003.66</v>
      </c>
      <c r="AI321" s="5">
        <v>0</v>
      </c>
      <c r="AJ321" s="5">
        <v>77513.3</v>
      </c>
      <c r="AK321" s="5">
        <v>0</v>
      </c>
      <c r="AL321" s="5">
        <v>0</v>
      </c>
      <c r="AM321" s="5">
        <v>509.64</v>
      </c>
      <c r="AN321" s="5">
        <v>77003.66</v>
      </c>
      <c r="AO321" s="1" t="s">
        <v>434</v>
      </c>
    </row>
    <row r="322" spans="1:41" x14ac:dyDescent="0.25">
      <c r="A322" s="1">
        <f t="shared" si="4"/>
        <v>306</v>
      </c>
      <c r="B322" s="1" t="s">
        <v>610</v>
      </c>
      <c r="C322" s="1" t="s">
        <v>123</v>
      </c>
      <c r="D322" s="1" t="s">
        <v>815</v>
      </c>
      <c r="E322" s="4">
        <v>45292</v>
      </c>
      <c r="F322" s="4">
        <v>45657</v>
      </c>
      <c r="G322" s="1" t="s">
        <v>125</v>
      </c>
      <c r="H322" s="5">
        <v>630837.34000000008</v>
      </c>
      <c r="I322" s="5">
        <v>44250</v>
      </c>
      <c r="J322" s="5">
        <v>39600</v>
      </c>
      <c r="K322" s="5">
        <v>31775</v>
      </c>
      <c r="L322" s="5">
        <v>15975</v>
      </c>
      <c r="M322" s="5">
        <v>131600</v>
      </c>
      <c r="N322" s="5">
        <v>499225</v>
      </c>
      <c r="O322" s="5">
        <v>0</v>
      </c>
      <c r="P322" s="5">
        <v>12.34</v>
      </c>
      <c r="Q322" s="5">
        <v>499237.34</v>
      </c>
      <c r="R322" s="1" t="s">
        <v>949</v>
      </c>
      <c r="S322" s="1" t="s">
        <v>124</v>
      </c>
      <c r="T322" s="4">
        <v>45292</v>
      </c>
      <c r="U322" s="4">
        <v>45657</v>
      </c>
      <c r="V322" s="1" t="s">
        <v>125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499237.34</v>
      </c>
      <c r="AH322" s="5">
        <v>42347.47</v>
      </c>
      <c r="AI322" s="5">
        <v>0</v>
      </c>
      <c r="AJ322" s="5">
        <v>42390.97</v>
      </c>
      <c r="AK322" s="5">
        <v>0</v>
      </c>
      <c r="AL322" s="5">
        <v>0</v>
      </c>
      <c r="AM322" s="5">
        <v>43.5</v>
      </c>
      <c r="AN322" s="5">
        <v>42347.47</v>
      </c>
      <c r="AO322" s="1" t="s">
        <v>434</v>
      </c>
    </row>
    <row r="323" spans="1:41" x14ac:dyDescent="0.25">
      <c r="A323" s="1">
        <f t="shared" si="4"/>
        <v>307</v>
      </c>
      <c r="B323" s="1" t="s">
        <v>611</v>
      </c>
      <c r="C323" s="1" t="s">
        <v>123</v>
      </c>
      <c r="D323" s="1" t="s">
        <v>815</v>
      </c>
      <c r="E323" s="4">
        <v>45292</v>
      </c>
      <c r="F323" s="4">
        <v>45657</v>
      </c>
      <c r="G323" s="1" t="s">
        <v>125</v>
      </c>
      <c r="H323" s="5">
        <v>924880.58</v>
      </c>
      <c r="I323" s="5">
        <v>60323.75</v>
      </c>
      <c r="J323" s="5">
        <v>39600</v>
      </c>
      <c r="K323" s="5">
        <v>36597.120000000003</v>
      </c>
      <c r="L323" s="5">
        <v>5675</v>
      </c>
      <c r="M323" s="5">
        <v>142195.87</v>
      </c>
      <c r="N323" s="5">
        <v>687287.88</v>
      </c>
      <c r="O323" s="5">
        <v>0</v>
      </c>
      <c r="P323" s="5">
        <v>95396.83</v>
      </c>
      <c r="Q323" s="5">
        <v>782684.71</v>
      </c>
      <c r="R323" s="1" t="s">
        <v>950</v>
      </c>
      <c r="S323" s="1" t="s">
        <v>124</v>
      </c>
      <c r="T323" s="4">
        <v>45292</v>
      </c>
      <c r="U323" s="4">
        <v>45657</v>
      </c>
      <c r="V323" s="1" t="s">
        <v>125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782684.71</v>
      </c>
      <c r="AH323" s="5">
        <v>99036.94</v>
      </c>
      <c r="AI323" s="5">
        <v>0</v>
      </c>
      <c r="AJ323" s="5">
        <v>102248.55</v>
      </c>
      <c r="AK323" s="5">
        <v>0</v>
      </c>
      <c r="AL323" s="5">
        <v>0</v>
      </c>
      <c r="AM323" s="5">
        <v>3211.61</v>
      </c>
      <c r="AN323" s="5">
        <v>99036.94</v>
      </c>
      <c r="AO323" s="1" t="s">
        <v>434</v>
      </c>
    </row>
    <row r="324" spans="1:41" x14ac:dyDescent="0.25">
      <c r="A324" s="1">
        <f t="shared" si="4"/>
        <v>308</v>
      </c>
      <c r="B324" s="1" t="s">
        <v>612</v>
      </c>
      <c r="C324" s="1" t="s">
        <v>123</v>
      </c>
      <c r="D324" s="1" t="s">
        <v>815</v>
      </c>
      <c r="E324" s="4">
        <v>45292</v>
      </c>
      <c r="F324" s="4">
        <v>45657</v>
      </c>
      <c r="G324" s="1" t="s">
        <v>125</v>
      </c>
      <c r="H324" s="5">
        <v>1410425.9933333334</v>
      </c>
      <c r="I324" s="5">
        <v>90000</v>
      </c>
      <c r="J324" s="5">
        <v>39600</v>
      </c>
      <c r="K324" s="5">
        <v>48263.75</v>
      </c>
      <c r="L324" s="5">
        <v>0</v>
      </c>
      <c r="M324" s="5">
        <v>177863.75</v>
      </c>
      <c r="N324" s="5">
        <v>1217114.0900000001</v>
      </c>
      <c r="O324" s="5">
        <v>15448.15</v>
      </c>
      <c r="P324" s="5">
        <v>0</v>
      </c>
      <c r="Q324" s="5">
        <v>1232562.24</v>
      </c>
      <c r="R324" s="1" t="s">
        <v>951</v>
      </c>
      <c r="S324" s="1" t="s">
        <v>124</v>
      </c>
      <c r="T324" s="4">
        <v>45292</v>
      </c>
      <c r="U324" s="4">
        <v>45657</v>
      </c>
      <c r="V324" s="1" t="s">
        <v>125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1232562.24</v>
      </c>
      <c r="AH324" s="5">
        <v>210640.56</v>
      </c>
      <c r="AI324" s="5">
        <v>0</v>
      </c>
      <c r="AJ324" s="5">
        <v>210639.46</v>
      </c>
      <c r="AK324" s="5">
        <v>0</v>
      </c>
      <c r="AL324" s="5">
        <v>1.1000000000000001</v>
      </c>
      <c r="AM324" s="5">
        <v>0</v>
      </c>
      <c r="AN324" s="5">
        <v>210640.56</v>
      </c>
      <c r="AO324" s="1" t="s">
        <v>434</v>
      </c>
    </row>
    <row r="325" spans="1:41" x14ac:dyDescent="0.25">
      <c r="A325" s="1">
        <f t="shared" si="4"/>
        <v>309</v>
      </c>
      <c r="B325" s="1" t="s">
        <v>613</v>
      </c>
      <c r="C325" s="1" t="s">
        <v>123</v>
      </c>
      <c r="D325" s="1" t="s">
        <v>815</v>
      </c>
      <c r="E325" s="4">
        <v>45292</v>
      </c>
      <c r="F325" s="4">
        <v>45657</v>
      </c>
      <c r="G325" s="1" t="s">
        <v>125</v>
      </c>
      <c r="H325" s="5">
        <v>997539.39000000013</v>
      </c>
      <c r="I325" s="5">
        <v>74199.240000000005</v>
      </c>
      <c r="J325" s="5">
        <v>39600</v>
      </c>
      <c r="K325" s="5">
        <v>40843.32</v>
      </c>
      <c r="L325" s="5">
        <v>6800</v>
      </c>
      <c r="M325" s="5">
        <v>161442.56</v>
      </c>
      <c r="N325" s="5">
        <v>835893.52</v>
      </c>
      <c r="O325" s="5">
        <v>0</v>
      </c>
      <c r="P325" s="5">
        <v>203.31</v>
      </c>
      <c r="Q325" s="5">
        <v>836096.83</v>
      </c>
      <c r="R325" s="1" t="s">
        <v>952</v>
      </c>
      <c r="S325" s="1" t="s">
        <v>124</v>
      </c>
      <c r="T325" s="4">
        <v>45292</v>
      </c>
      <c r="U325" s="4">
        <v>45657</v>
      </c>
      <c r="V325" s="1" t="s">
        <v>125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836096.83</v>
      </c>
      <c r="AH325" s="5">
        <v>111524.21</v>
      </c>
      <c r="AI325" s="5">
        <v>0</v>
      </c>
      <c r="AJ325" s="5">
        <v>112848.78</v>
      </c>
      <c r="AK325" s="5">
        <v>0</v>
      </c>
      <c r="AL325" s="5">
        <v>0</v>
      </c>
      <c r="AM325" s="5">
        <v>1324.57</v>
      </c>
      <c r="AN325" s="5">
        <v>111524.21</v>
      </c>
      <c r="AO325" s="1" t="s">
        <v>434</v>
      </c>
    </row>
    <row r="326" spans="1:41" x14ac:dyDescent="0.25">
      <c r="A326" s="1">
        <f t="shared" si="4"/>
        <v>310</v>
      </c>
      <c r="B326" s="1" t="s">
        <v>614</v>
      </c>
      <c r="C326" s="1" t="s">
        <v>123</v>
      </c>
      <c r="D326" s="1" t="s">
        <v>815</v>
      </c>
      <c r="E326" s="4">
        <v>45292</v>
      </c>
      <c r="F326" s="4">
        <v>45657</v>
      </c>
      <c r="G326" s="1" t="s">
        <v>125</v>
      </c>
      <c r="H326" s="5">
        <v>2173573.0250000008</v>
      </c>
      <c r="I326" s="5">
        <v>90000</v>
      </c>
      <c r="J326" s="5">
        <v>36000</v>
      </c>
      <c r="K326" s="5">
        <v>48500</v>
      </c>
      <c r="L326" s="5">
        <v>0</v>
      </c>
      <c r="M326" s="5">
        <v>174500</v>
      </c>
      <c r="N326" s="5">
        <v>1813875.1</v>
      </c>
      <c r="O326" s="5">
        <v>65197.93</v>
      </c>
      <c r="P326" s="5">
        <v>120000</v>
      </c>
      <c r="Q326" s="5">
        <v>1999073.03</v>
      </c>
      <c r="R326" s="1" t="s">
        <v>953</v>
      </c>
      <c r="S326" s="1" t="s">
        <v>124</v>
      </c>
      <c r="T326" s="4">
        <v>45292</v>
      </c>
      <c r="U326" s="4">
        <v>45657</v>
      </c>
      <c r="V326" s="1" t="s">
        <v>125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1999073.03</v>
      </c>
      <c r="AH326" s="5">
        <v>402268.26</v>
      </c>
      <c r="AI326" s="5">
        <v>0</v>
      </c>
      <c r="AJ326" s="5">
        <v>402267.13</v>
      </c>
      <c r="AK326" s="5">
        <v>0</v>
      </c>
      <c r="AL326" s="5">
        <v>1.1299999999999999</v>
      </c>
      <c r="AM326" s="5">
        <v>0</v>
      </c>
      <c r="AN326" s="5">
        <v>402268.26</v>
      </c>
      <c r="AO326" s="1" t="s">
        <v>434</v>
      </c>
    </row>
    <row r="327" spans="1:41" x14ac:dyDescent="0.25">
      <c r="A327" s="1">
        <f t="shared" si="4"/>
        <v>311</v>
      </c>
      <c r="B327" s="1" t="s">
        <v>615</v>
      </c>
      <c r="C327" s="1" t="s">
        <v>123</v>
      </c>
      <c r="D327" s="1" t="s">
        <v>815</v>
      </c>
      <c r="E327" s="4">
        <v>45292</v>
      </c>
      <c r="F327" s="4">
        <v>45657</v>
      </c>
      <c r="G327" s="1" t="s">
        <v>125</v>
      </c>
      <c r="H327" s="5">
        <v>864175</v>
      </c>
      <c r="I327" s="5">
        <v>62125</v>
      </c>
      <c r="J327" s="5">
        <v>39600</v>
      </c>
      <c r="K327" s="5">
        <v>37137.5</v>
      </c>
      <c r="L327" s="5">
        <v>16950</v>
      </c>
      <c r="M327" s="5">
        <v>155812.5</v>
      </c>
      <c r="N327" s="5">
        <v>708362.5</v>
      </c>
      <c r="O327" s="5">
        <v>0</v>
      </c>
      <c r="P327" s="5">
        <v>0</v>
      </c>
      <c r="Q327" s="5">
        <v>708362.5</v>
      </c>
      <c r="R327" s="1" t="s">
        <v>954</v>
      </c>
      <c r="S327" s="1" t="s">
        <v>124</v>
      </c>
      <c r="T327" s="4">
        <v>45292</v>
      </c>
      <c r="U327" s="4">
        <v>45657</v>
      </c>
      <c r="V327" s="1" t="s">
        <v>125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708362.5</v>
      </c>
      <c r="AH327" s="5">
        <v>84172.5</v>
      </c>
      <c r="AI327" s="5">
        <v>0</v>
      </c>
      <c r="AJ327" s="5">
        <v>84170.9</v>
      </c>
      <c r="AK327" s="5">
        <v>0</v>
      </c>
      <c r="AL327" s="5">
        <v>1.6</v>
      </c>
      <c r="AM327" s="5">
        <v>0</v>
      </c>
      <c r="AN327" s="5">
        <v>84172.5</v>
      </c>
      <c r="AO327" s="1" t="s">
        <v>434</v>
      </c>
    </row>
    <row r="328" spans="1:41" x14ac:dyDescent="0.25">
      <c r="A328" s="1">
        <f t="shared" si="4"/>
        <v>312</v>
      </c>
      <c r="B328" s="1" t="s">
        <v>616</v>
      </c>
      <c r="C328" s="1" t="s">
        <v>123</v>
      </c>
      <c r="D328" s="1" t="s">
        <v>815</v>
      </c>
      <c r="E328" s="4">
        <v>45292</v>
      </c>
      <c r="F328" s="4">
        <v>45657</v>
      </c>
      <c r="G328" s="1" t="s">
        <v>125</v>
      </c>
      <c r="H328" s="5">
        <v>942514.16999999993</v>
      </c>
      <c r="I328" s="5">
        <v>65024.17</v>
      </c>
      <c r="J328" s="5">
        <v>39600</v>
      </c>
      <c r="K328" s="5">
        <v>38007.25</v>
      </c>
      <c r="L328" s="5">
        <v>33600</v>
      </c>
      <c r="M328" s="5">
        <v>176231.42</v>
      </c>
      <c r="N328" s="5">
        <v>742282.75</v>
      </c>
      <c r="O328" s="5">
        <v>0</v>
      </c>
      <c r="P328" s="5">
        <v>24000</v>
      </c>
      <c r="Q328" s="5">
        <v>766282.75</v>
      </c>
      <c r="R328" s="1" t="s">
        <v>955</v>
      </c>
      <c r="S328" s="1" t="s">
        <v>124</v>
      </c>
      <c r="T328" s="4">
        <v>45292</v>
      </c>
      <c r="U328" s="4">
        <v>45657</v>
      </c>
      <c r="V328" s="1" t="s">
        <v>125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766282.75</v>
      </c>
      <c r="AH328" s="5">
        <v>95756.55</v>
      </c>
      <c r="AI328" s="5">
        <v>0</v>
      </c>
      <c r="AJ328" s="5">
        <v>96070.07</v>
      </c>
      <c r="AK328" s="5">
        <v>0</v>
      </c>
      <c r="AL328" s="5">
        <v>0</v>
      </c>
      <c r="AM328" s="5">
        <v>313.52</v>
      </c>
      <c r="AN328" s="5">
        <v>95756.55</v>
      </c>
      <c r="AO328" s="1" t="s">
        <v>434</v>
      </c>
    </row>
    <row r="329" spans="1:41" x14ac:dyDescent="0.25">
      <c r="A329" s="1">
        <f t="shared" si="4"/>
        <v>313</v>
      </c>
      <c r="B329" s="1" t="s">
        <v>617</v>
      </c>
      <c r="C329" s="1" t="s">
        <v>123</v>
      </c>
      <c r="D329" s="1" t="s">
        <v>815</v>
      </c>
      <c r="E329" s="4">
        <v>45292</v>
      </c>
      <c r="F329" s="4">
        <v>45657</v>
      </c>
      <c r="G329" s="1" t="s">
        <v>125</v>
      </c>
      <c r="H329" s="5">
        <v>1064718.54</v>
      </c>
      <c r="I329" s="5">
        <v>69429.710000000006</v>
      </c>
      <c r="J329" s="5">
        <v>39600</v>
      </c>
      <c r="K329" s="5">
        <v>39328.870000000003</v>
      </c>
      <c r="L329" s="5">
        <v>18625</v>
      </c>
      <c r="M329" s="5">
        <v>166983.57999999999</v>
      </c>
      <c r="N329" s="5">
        <v>834746.25</v>
      </c>
      <c r="O329" s="5">
        <v>0</v>
      </c>
      <c r="P329" s="5">
        <v>62988.71</v>
      </c>
      <c r="Q329" s="5">
        <v>897734.96</v>
      </c>
      <c r="R329" s="1" t="s">
        <v>956</v>
      </c>
      <c r="S329" s="1" t="s">
        <v>124</v>
      </c>
      <c r="T329" s="4">
        <v>45292</v>
      </c>
      <c r="U329" s="4">
        <v>45657</v>
      </c>
      <c r="V329" s="1" t="s">
        <v>125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897734.96</v>
      </c>
      <c r="AH329" s="5">
        <v>126933.74</v>
      </c>
      <c r="AI329" s="5">
        <v>0</v>
      </c>
      <c r="AJ329" s="5">
        <v>127832.61</v>
      </c>
      <c r="AK329" s="5">
        <v>0</v>
      </c>
      <c r="AL329" s="5">
        <v>0</v>
      </c>
      <c r="AM329" s="5">
        <v>898.87</v>
      </c>
      <c r="AN329" s="5">
        <v>126933.74</v>
      </c>
      <c r="AO329" s="1" t="s">
        <v>434</v>
      </c>
    </row>
    <row r="330" spans="1:41" x14ac:dyDescent="0.25">
      <c r="A330" s="1">
        <f t="shared" si="4"/>
        <v>314</v>
      </c>
      <c r="B330" s="1" t="s">
        <v>618</v>
      </c>
      <c r="C330" s="1" t="s">
        <v>123</v>
      </c>
      <c r="D330" s="1" t="s">
        <v>815</v>
      </c>
      <c r="E330" s="4">
        <v>45292</v>
      </c>
      <c r="F330" s="4">
        <v>45657</v>
      </c>
      <c r="G330" s="1" t="s">
        <v>125</v>
      </c>
      <c r="H330" s="5">
        <v>909428.52</v>
      </c>
      <c r="I330" s="5">
        <v>64105.33</v>
      </c>
      <c r="J330" s="5">
        <v>39600</v>
      </c>
      <c r="K330" s="5">
        <v>37731.599999999999</v>
      </c>
      <c r="L330" s="5">
        <v>14375</v>
      </c>
      <c r="M330" s="5">
        <v>155811.93</v>
      </c>
      <c r="N330" s="5">
        <v>731532.4</v>
      </c>
      <c r="O330" s="5">
        <v>0</v>
      </c>
      <c r="P330" s="5">
        <v>22084.19</v>
      </c>
      <c r="Q330" s="5">
        <v>753616.59</v>
      </c>
      <c r="R330" s="1" t="s">
        <v>957</v>
      </c>
      <c r="S330" s="1" t="s">
        <v>124</v>
      </c>
      <c r="T330" s="4">
        <v>45292</v>
      </c>
      <c r="U330" s="4">
        <v>45657</v>
      </c>
      <c r="V330" s="1" t="s">
        <v>125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753616.59</v>
      </c>
      <c r="AH330" s="5">
        <v>93223.32</v>
      </c>
      <c r="AI330" s="5">
        <v>0</v>
      </c>
      <c r="AJ330" s="5">
        <v>93990.73</v>
      </c>
      <c r="AK330" s="5">
        <v>0</v>
      </c>
      <c r="AL330" s="5">
        <v>0</v>
      </c>
      <c r="AM330" s="5">
        <v>767.41</v>
      </c>
      <c r="AN330" s="5">
        <v>93223.32</v>
      </c>
      <c r="AO330" s="1" t="s">
        <v>434</v>
      </c>
    </row>
    <row r="331" spans="1:41" x14ac:dyDescent="0.25">
      <c r="A331" s="1">
        <f t="shared" si="4"/>
        <v>315</v>
      </c>
      <c r="B331" s="1" t="s">
        <v>619</v>
      </c>
      <c r="C331" s="1" t="s">
        <v>123</v>
      </c>
      <c r="D331" s="1" t="s">
        <v>815</v>
      </c>
      <c r="E331" s="4">
        <v>45292</v>
      </c>
      <c r="F331" s="4">
        <v>45657</v>
      </c>
      <c r="G331" s="1" t="s">
        <v>125</v>
      </c>
      <c r="H331" s="5">
        <v>862631.84000000008</v>
      </c>
      <c r="I331" s="5">
        <v>58262.07</v>
      </c>
      <c r="J331" s="5">
        <v>39600</v>
      </c>
      <c r="K331" s="5">
        <v>36320</v>
      </c>
      <c r="L331" s="5">
        <v>14625</v>
      </c>
      <c r="M331" s="5">
        <v>148807.07</v>
      </c>
      <c r="N331" s="5">
        <v>662824.82999999996</v>
      </c>
      <c r="O331" s="5">
        <v>0</v>
      </c>
      <c r="P331" s="5">
        <v>50999.94</v>
      </c>
      <c r="Q331" s="5">
        <v>713824.77</v>
      </c>
      <c r="R331" s="1" t="s">
        <v>958</v>
      </c>
      <c r="S331" s="1" t="s">
        <v>124</v>
      </c>
      <c r="T331" s="4">
        <v>45292</v>
      </c>
      <c r="U331" s="4">
        <v>45657</v>
      </c>
      <c r="V331" s="1" t="s">
        <v>125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713824.77</v>
      </c>
      <c r="AH331" s="5">
        <v>85264.95</v>
      </c>
      <c r="AI331" s="5">
        <v>0</v>
      </c>
      <c r="AJ331" s="5">
        <v>86751.95</v>
      </c>
      <c r="AK331" s="5">
        <v>0</v>
      </c>
      <c r="AL331" s="5">
        <v>0</v>
      </c>
      <c r="AM331" s="5">
        <v>1487</v>
      </c>
      <c r="AN331" s="5">
        <v>85264.95</v>
      </c>
      <c r="AO331" s="1" t="s">
        <v>434</v>
      </c>
    </row>
    <row r="332" spans="1:41" x14ac:dyDescent="0.25">
      <c r="A332" s="1">
        <f t="shared" si="4"/>
        <v>316</v>
      </c>
      <c r="B332" s="1" t="s">
        <v>620</v>
      </c>
      <c r="C332" s="1" t="s">
        <v>123</v>
      </c>
      <c r="D332" s="1" t="s">
        <v>815</v>
      </c>
      <c r="E332" s="4">
        <v>45292</v>
      </c>
      <c r="F332" s="4">
        <v>45657</v>
      </c>
      <c r="G332" s="1" t="s">
        <v>125</v>
      </c>
      <c r="H332" s="5">
        <v>977460.6100000001</v>
      </c>
      <c r="I332" s="5">
        <v>69662.070000000007</v>
      </c>
      <c r="J332" s="5">
        <v>39600</v>
      </c>
      <c r="K332" s="5">
        <v>39560</v>
      </c>
      <c r="L332" s="5">
        <v>16025</v>
      </c>
      <c r="M332" s="5">
        <v>164847.07</v>
      </c>
      <c r="N332" s="5">
        <v>796384.83</v>
      </c>
      <c r="O332" s="5">
        <v>0</v>
      </c>
      <c r="P332" s="5">
        <v>16228.71</v>
      </c>
      <c r="Q332" s="5">
        <v>812613.54</v>
      </c>
      <c r="R332" s="1" t="s">
        <v>959</v>
      </c>
      <c r="S332" s="1" t="s">
        <v>124</v>
      </c>
      <c r="T332" s="4">
        <v>45292</v>
      </c>
      <c r="U332" s="4">
        <v>45657</v>
      </c>
      <c r="V332" s="1" t="s">
        <v>125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812613.54</v>
      </c>
      <c r="AH332" s="5">
        <v>105653.39</v>
      </c>
      <c r="AI332" s="5">
        <v>0</v>
      </c>
      <c r="AJ332" s="5">
        <v>106805.65</v>
      </c>
      <c r="AK332" s="5">
        <v>0</v>
      </c>
      <c r="AL332" s="5">
        <v>0</v>
      </c>
      <c r="AM332" s="5">
        <v>1152.27</v>
      </c>
      <c r="AN332" s="5">
        <v>105653.39</v>
      </c>
      <c r="AO332" s="1" t="s">
        <v>434</v>
      </c>
    </row>
    <row r="333" spans="1:41" x14ac:dyDescent="0.25">
      <c r="A333" s="1">
        <f t="shared" si="4"/>
        <v>317</v>
      </c>
      <c r="B333" s="1" t="s">
        <v>621</v>
      </c>
      <c r="C333" s="1" t="s">
        <v>123</v>
      </c>
      <c r="D333" s="1" t="s">
        <v>815</v>
      </c>
      <c r="E333" s="4">
        <v>45292</v>
      </c>
      <c r="F333" s="4">
        <v>45657</v>
      </c>
      <c r="G333" s="1" t="s">
        <v>125</v>
      </c>
      <c r="H333" s="5">
        <v>1422695.5066666668</v>
      </c>
      <c r="I333" s="5">
        <v>90000</v>
      </c>
      <c r="J333" s="5">
        <v>39600</v>
      </c>
      <c r="K333" s="5">
        <v>48500</v>
      </c>
      <c r="L333" s="5">
        <v>13000</v>
      </c>
      <c r="M333" s="5">
        <v>191100</v>
      </c>
      <c r="N333" s="5">
        <v>1194000</v>
      </c>
      <c r="O333" s="5">
        <v>13541.67</v>
      </c>
      <c r="P333" s="5">
        <v>24053.84</v>
      </c>
      <c r="Q333" s="5">
        <v>1231595.51</v>
      </c>
      <c r="R333" s="1" t="s">
        <v>960</v>
      </c>
      <c r="S333" s="1" t="s">
        <v>124</v>
      </c>
      <c r="T333" s="4">
        <v>45292</v>
      </c>
      <c r="U333" s="4">
        <v>45657</v>
      </c>
      <c r="V333" s="1" t="s">
        <v>125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1231595.51</v>
      </c>
      <c r="AH333" s="5">
        <v>210398.88</v>
      </c>
      <c r="AI333" s="5">
        <v>0</v>
      </c>
      <c r="AJ333" s="5">
        <v>210397.7</v>
      </c>
      <c r="AK333" s="5">
        <v>0</v>
      </c>
      <c r="AL333" s="5">
        <v>1.18</v>
      </c>
      <c r="AM333" s="5">
        <v>0</v>
      </c>
      <c r="AN333" s="5">
        <v>210398.88</v>
      </c>
      <c r="AO333" s="1" t="s">
        <v>434</v>
      </c>
    </row>
    <row r="334" spans="1:41" x14ac:dyDescent="0.25">
      <c r="A334" s="1">
        <f t="shared" si="4"/>
        <v>318</v>
      </c>
      <c r="B334" s="1" t="s">
        <v>622</v>
      </c>
      <c r="C334" s="1" t="s">
        <v>123</v>
      </c>
      <c r="D334" s="1" t="s">
        <v>815</v>
      </c>
      <c r="E334" s="4">
        <v>45292</v>
      </c>
      <c r="F334" s="4">
        <v>45657</v>
      </c>
      <c r="G334" s="1" t="s">
        <v>125</v>
      </c>
      <c r="H334" s="5">
        <v>1257357.93</v>
      </c>
      <c r="I334" s="5">
        <v>89874.17</v>
      </c>
      <c r="J334" s="5">
        <v>39600</v>
      </c>
      <c r="K334" s="5">
        <v>45462.25</v>
      </c>
      <c r="L334" s="5">
        <v>5000</v>
      </c>
      <c r="M334" s="5">
        <v>179936.42</v>
      </c>
      <c r="N334" s="5">
        <v>1033027.75</v>
      </c>
      <c r="O334" s="5">
        <v>0</v>
      </c>
      <c r="P334" s="5">
        <v>44393.760000000002</v>
      </c>
      <c r="Q334" s="5">
        <v>1077421.51</v>
      </c>
      <c r="R334" s="1" t="s">
        <v>961</v>
      </c>
      <c r="S334" s="1" t="s">
        <v>124</v>
      </c>
      <c r="T334" s="4">
        <v>45292</v>
      </c>
      <c r="U334" s="4">
        <v>45657</v>
      </c>
      <c r="V334" s="1" t="s">
        <v>125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1077421.51</v>
      </c>
      <c r="AH334" s="5">
        <v>171855.38</v>
      </c>
      <c r="AI334" s="5">
        <v>0</v>
      </c>
      <c r="AJ334" s="5">
        <v>171854.22</v>
      </c>
      <c r="AK334" s="5">
        <v>0</v>
      </c>
      <c r="AL334" s="5">
        <v>1.1599999999999999</v>
      </c>
      <c r="AM334" s="5">
        <v>0</v>
      </c>
      <c r="AN334" s="5">
        <v>171855.38</v>
      </c>
      <c r="AO334" s="1" t="s">
        <v>434</v>
      </c>
    </row>
    <row r="335" spans="1:41" x14ac:dyDescent="0.25">
      <c r="A335" s="1">
        <f t="shared" si="4"/>
        <v>319</v>
      </c>
      <c r="B335" s="1" t="s">
        <v>623</v>
      </c>
      <c r="C335" s="1" t="s">
        <v>123</v>
      </c>
      <c r="D335" s="1" t="s">
        <v>815</v>
      </c>
      <c r="E335" s="4">
        <v>45292</v>
      </c>
      <c r="F335" s="4">
        <v>45657</v>
      </c>
      <c r="G335" s="1" t="s">
        <v>125</v>
      </c>
      <c r="H335" s="5">
        <v>420411.17</v>
      </c>
      <c r="I335" s="5">
        <v>28165.13</v>
      </c>
      <c r="J335" s="5">
        <v>39600</v>
      </c>
      <c r="K335" s="5">
        <v>26117</v>
      </c>
      <c r="L335" s="5">
        <v>14625</v>
      </c>
      <c r="M335" s="5">
        <v>108507.13</v>
      </c>
      <c r="N335" s="5">
        <v>311864.5</v>
      </c>
      <c r="O335" s="5">
        <v>0</v>
      </c>
      <c r="P335" s="5">
        <v>39.54</v>
      </c>
      <c r="Q335" s="5">
        <v>311904.03999999998</v>
      </c>
      <c r="R335" s="1" t="s">
        <v>962</v>
      </c>
      <c r="S335" s="1" t="s">
        <v>124</v>
      </c>
      <c r="T335" s="4">
        <v>45292</v>
      </c>
      <c r="U335" s="4">
        <v>45657</v>
      </c>
      <c r="V335" s="1" t="s">
        <v>125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311904.03999999998</v>
      </c>
      <c r="AH335" s="5">
        <v>9285.61</v>
      </c>
      <c r="AI335" s="5">
        <v>0</v>
      </c>
      <c r="AJ335" s="5">
        <v>9284.42</v>
      </c>
      <c r="AK335" s="5">
        <v>0</v>
      </c>
      <c r="AL335" s="5">
        <v>1.19</v>
      </c>
      <c r="AM335" s="5">
        <v>0</v>
      </c>
      <c r="AN335" s="5">
        <v>9285.61</v>
      </c>
      <c r="AO335" s="1" t="s">
        <v>434</v>
      </c>
    </row>
    <row r="336" spans="1:41" x14ac:dyDescent="0.25">
      <c r="A336" s="1">
        <f t="shared" si="4"/>
        <v>320</v>
      </c>
      <c r="B336" s="1" t="s">
        <v>624</v>
      </c>
      <c r="C336" s="1" t="s">
        <v>123</v>
      </c>
      <c r="D336" s="1" t="s">
        <v>815</v>
      </c>
      <c r="E336" s="4">
        <v>45292</v>
      </c>
      <c r="F336" s="4">
        <v>45657</v>
      </c>
      <c r="G336" s="1" t="s">
        <v>125</v>
      </c>
      <c r="H336" s="5">
        <v>585767.46</v>
      </c>
      <c r="I336" s="5">
        <v>37571.47</v>
      </c>
      <c r="J336" s="5">
        <v>39600</v>
      </c>
      <c r="K336" s="5">
        <v>29630.75</v>
      </c>
      <c r="L336" s="5">
        <v>20475</v>
      </c>
      <c r="M336" s="5">
        <v>127277.22</v>
      </c>
      <c r="N336" s="5">
        <v>421226.88</v>
      </c>
      <c r="O336" s="5">
        <v>0</v>
      </c>
      <c r="P336" s="5">
        <v>37263.360000000001</v>
      </c>
      <c r="Q336" s="5">
        <v>458490.24</v>
      </c>
      <c r="R336" s="1" t="s">
        <v>963</v>
      </c>
      <c r="S336" s="1" t="s">
        <v>124</v>
      </c>
      <c r="T336" s="4">
        <v>45292</v>
      </c>
      <c r="U336" s="4">
        <v>45657</v>
      </c>
      <c r="V336" s="1" t="s">
        <v>125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458490.24</v>
      </c>
      <c r="AH336" s="5">
        <v>34198.050000000003</v>
      </c>
      <c r="AI336" s="5">
        <v>0</v>
      </c>
      <c r="AJ336" s="5">
        <v>34912.769999999997</v>
      </c>
      <c r="AK336" s="5">
        <v>0</v>
      </c>
      <c r="AL336" s="5">
        <v>0</v>
      </c>
      <c r="AM336" s="5">
        <v>714.72</v>
      </c>
      <c r="AN336" s="5">
        <v>34198.050000000003</v>
      </c>
      <c r="AO336" s="1" t="s">
        <v>434</v>
      </c>
    </row>
    <row r="337" spans="1:41" x14ac:dyDescent="0.25">
      <c r="A337" s="1">
        <f t="shared" si="4"/>
        <v>321</v>
      </c>
      <c r="B337" s="1" t="s">
        <v>625</v>
      </c>
      <c r="C337" s="1" t="s">
        <v>123</v>
      </c>
      <c r="D337" s="1" t="s">
        <v>815</v>
      </c>
      <c r="E337" s="4">
        <v>45292</v>
      </c>
      <c r="F337" s="4">
        <v>45657</v>
      </c>
      <c r="G337" s="1" t="s">
        <v>125</v>
      </c>
      <c r="H337" s="5">
        <v>395274.60000000003</v>
      </c>
      <c r="I337" s="5">
        <v>24975.83</v>
      </c>
      <c r="J337" s="5">
        <v>39600</v>
      </c>
      <c r="K337" s="5">
        <v>24192.75</v>
      </c>
      <c r="L337" s="5">
        <v>15150</v>
      </c>
      <c r="M337" s="5">
        <v>103918.58</v>
      </c>
      <c r="N337" s="5">
        <v>275517.25</v>
      </c>
      <c r="O337" s="5">
        <v>0</v>
      </c>
      <c r="P337" s="5">
        <v>15838.77</v>
      </c>
      <c r="Q337" s="5">
        <v>291356.02</v>
      </c>
      <c r="R337" s="1" t="s">
        <v>964</v>
      </c>
      <c r="S337" s="1" t="s">
        <v>124</v>
      </c>
      <c r="T337" s="4">
        <v>45292</v>
      </c>
      <c r="U337" s="4">
        <v>45657</v>
      </c>
      <c r="V337" s="1" t="s">
        <v>125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291356.02</v>
      </c>
      <c r="AH337" s="5">
        <v>6203.4</v>
      </c>
      <c r="AI337" s="5">
        <v>0</v>
      </c>
      <c r="AJ337" s="5">
        <v>7246.01</v>
      </c>
      <c r="AK337" s="5">
        <v>0</v>
      </c>
      <c r="AL337" s="5">
        <v>0</v>
      </c>
      <c r="AM337" s="5">
        <v>1042.6099999999999</v>
      </c>
      <c r="AN337" s="5">
        <v>6203.4</v>
      </c>
      <c r="AO337" s="1" t="s">
        <v>434</v>
      </c>
    </row>
    <row r="338" spans="1:41" x14ac:dyDescent="0.25">
      <c r="A338" s="1">
        <f t="shared" si="4"/>
        <v>322</v>
      </c>
      <c r="B338" s="1" t="s">
        <v>626</v>
      </c>
      <c r="C338" s="1" t="s">
        <v>123</v>
      </c>
      <c r="D338" s="1" t="s">
        <v>815</v>
      </c>
      <c r="E338" s="4">
        <v>45292</v>
      </c>
      <c r="F338" s="4">
        <v>45657</v>
      </c>
      <c r="G338" s="1" t="s">
        <v>125</v>
      </c>
      <c r="H338" s="5">
        <v>401600.24</v>
      </c>
      <c r="I338" s="5">
        <v>25820.68</v>
      </c>
      <c r="J338" s="5">
        <v>39600</v>
      </c>
      <c r="K338" s="5">
        <v>24844.84</v>
      </c>
      <c r="L338" s="5">
        <v>16900</v>
      </c>
      <c r="M338" s="5">
        <v>107165.52</v>
      </c>
      <c r="N338" s="5">
        <v>285003.36</v>
      </c>
      <c r="O338" s="5">
        <v>0</v>
      </c>
      <c r="P338" s="5">
        <v>9431.36</v>
      </c>
      <c r="Q338" s="5">
        <v>294434.71999999997</v>
      </c>
      <c r="R338" s="1" t="s">
        <v>965</v>
      </c>
      <c r="S338" s="1" t="s">
        <v>124</v>
      </c>
      <c r="T338" s="4">
        <v>45292</v>
      </c>
      <c r="U338" s="4">
        <v>45657</v>
      </c>
      <c r="V338" s="1" t="s">
        <v>125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294434.71999999997</v>
      </c>
      <c r="AH338" s="5">
        <v>6665.21</v>
      </c>
      <c r="AI338" s="5">
        <v>0</v>
      </c>
      <c r="AJ338" s="5">
        <v>6664.04</v>
      </c>
      <c r="AK338" s="5">
        <v>0</v>
      </c>
      <c r="AL338" s="5">
        <v>1.17</v>
      </c>
      <c r="AM338" s="5">
        <v>0</v>
      </c>
      <c r="AN338" s="5">
        <v>6665.21</v>
      </c>
      <c r="AO338" s="1" t="s">
        <v>434</v>
      </c>
    </row>
    <row r="339" spans="1:41" x14ac:dyDescent="0.25">
      <c r="A339" s="1">
        <f t="shared" si="4"/>
        <v>323</v>
      </c>
      <c r="B339" s="1" t="s">
        <v>627</v>
      </c>
      <c r="C339" s="1" t="s">
        <v>123</v>
      </c>
      <c r="D339" s="1" t="s">
        <v>815</v>
      </c>
      <c r="E339" s="4">
        <v>45292</v>
      </c>
      <c r="F339" s="4">
        <v>45657</v>
      </c>
      <c r="G339" s="1" t="s">
        <v>125</v>
      </c>
      <c r="H339" s="5">
        <v>385128.99</v>
      </c>
      <c r="I339" s="5">
        <v>25721.18</v>
      </c>
      <c r="J339" s="5">
        <v>39600</v>
      </c>
      <c r="K339" s="5">
        <v>24417.34</v>
      </c>
      <c r="L339" s="5">
        <v>11075</v>
      </c>
      <c r="M339" s="5">
        <v>100813.52</v>
      </c>
      <c r="N339" s="5">
        <v>284236.87</v>
      </c>
      <c r="O339" s="5">
        <v>0</v>
      </c>
      <c r="P339" s="5">
        <v>78.599999999999994</v>
      </c>
      <c r="Q339" s="5">
        <v>284315.46999999997</v>
      </c>
      <c r="R339" s="1" t="s">
        <v>966</v>
      </c>
      <c r="S339" s="1" t="s">
        <v>124</v>
      </c>
      <c r="T339" s="4">
        <v>45292</v>
      </c>
      <c r="U339" s="4">
        <v>45657</v>
      </c>
      <c r="V339" s="1" t="s">
        <v>125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284315.46999999997</v>
      </c>
      <c r="AH339" s="5">
        <v>5147.32</v>
      </c>
      <c r="AI339" s="5">
        <v>0</v>
      </c>
      <c r="AJ339" s="5">
        <v>5146.1400000000003</v>
      </c>
      <c r="AK339" s="5">
        <v>0</v>
      </c>
      <c r="AL339" s="5">
        <v>1.18</v>
      </c>
      <c r="AM339" s="5">
        <v>0</v>
      </c>
      <c r="AN339" s="5">
        <v>5147.32</v>
      </c>
      <c r="AO339" s="1" t="s">
        <v>434</v>
      </c>
    </row>
    <row r="340" spans="1:41" x14ac:dyDescent="0.25">
      <c r="A340" s="1">
        <f t="shared" si="4"/>
        <v>324</v>
      </c>
      <c r="B340" s="1" t="s">
        <v>628</v>
      </c>
      <c r="C340" s="1" t="s">
        <v>123</v>
      </c>
      <c r="D340" s="1" t="s">
        <v>815</v>
      </c>
      <c r="E340" s="4">
        <v>45292</v>
      </c>
      <c r="F340" s="4">
        <v>45657</v>
      </c>
      <c r="G340" s="1" t="s">
        <v>125</v>
      </c>
      <c r="H340" s="5">
        <v>2049595.7916666667</v>
      </c>
      <c r="I340" s="5">
        <v>90000</v>
      </c>
      <c r="J340" s="5">
        <v>24000</v>
      </c>
      <c r="K340" s="5">
        <v>48500</v>
      </c>
      <c r="L340" s="5">
        <v>0</v>
      </c>
      <c r="M340" s="5">
        <v>162500</v>
      </c>
      <c r="N340" s="5">
        <v>1710511.5</v>
      </c>
      <c r="O340" s="5">
        <v>56584.29</v>
      </c>
      <c r="P340" s="5">
        <v>120000</v>
      </c>
      <c r="Q340" s="5">
        <v>1887095.79</v>
      </c>
      <c r="R340" s="1" t="s">
        <v>967</v>
      </c>
      <c r="S340" s="1" t="s">
        <v>124</v>
      </c>
      <c r="T340" s="4">
        <v>45292</v>
      </c>
      <c r="U340" s="4">
        <v>45657</v>
      </c>
      <c r="V340" s="1" t="s">
        <v>125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1887095.79</v>
      </c>
      <c r="AH340" s="5">
        <v>374273.95</v>
      </c>
      <c r="AI340" s="5">
        <v>0</v>
      </c>
      <c r="AJ340" s="5">
        <v>374272.83</v>
      </c>
      <c r="AK340" s="5">
        <v>0</v>
      </c>
      <c r="AL340" s="5">
        <v>1.1200000000000001</v>
      </c>
      <c r="AM340" s="5">
        <v>0</v>
      </c>
      <c r="AN340" s="5">
        <v>374273.95</v>
      </c>
      <c r="AO340" s="1" t="s">
        <v>434</v>
      </c>
    </row>
    <row r="341" spans="1:41" x14ac:dyDescent="0.25">
      <c r="A341" s="1">
        <f t="shared" si="4"/>
        <v>325</v>
      </c>
      <c r="B341" s="1" t="s">
        <v>629</v>
      </c>
      <c r="C341" s="1" t="s">
        <v>123</v>
      </c>
      <c r="D341" s="1" t="s">
        <v>815</v>
      </c>
      <c r="E341" s="4">
        <v>45292</v>
      </c>
      <c r="F341" s="4">
        <v>45657</v>
      </c>
      <c r="G341" s="1" t="s">
        <v>125</v>
      </c>
      <c r="H341" s="5">
        <v>480464.05</v>
      </c>
      <c r="I341" s="5">
        <v>30075.98</v>
      </c>
      <c r="J341" s="5">
        <v>39600</v>
      </c>
      <c r="K341" s="5">
        <v>25048.14</v>
      </c>
      <c r="L341" s="5">
        <v>17200</v>
      </c>
      <c r="M341" s="5">
        <v>111924.12</v>
      </c>
      <c r="N341" s="5">
        <v>335863.57</v>
      </c>
      <c r="O341" s="5">
        <v>0</v>
      </c>
      <c r="P341" s="5">
        <v>32676.36</v>
      </c>
      <c r="Q341" s="5">
        <v>368539.93</v>
      </c>
      <c r="R341" s="1" t="s">
        <v>968</v>
      </c>
      <c r="S341" s="1" t="s">
        <v>124</v>
      </c>
      <c r="T341" s="4">
        <v>45292</v>
      </c>
      <c r="U341" s="4">
        <v>45657</v>
      </c>
      <c r="V341" s="1" t="s">
        <v>125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368539.93</v>
      </c>
      <c r="AH341" s="5">
        <v>17780.990000000002</v>
      </c>
      <c r="AI341" s="5">
        <v>0</v>
      </c>
      <c r="AJ341" s="5">
        <v>21670.44</v>
      </c>
      <c r="AK341" s="5">
        <v>0</v>
      </c>
      <c r="AL341" s="5">
        <v>0</v>
      </c>
      <c r="AM341" s="5">
        <v>3889.45</v>
      </c>
      <c r="AN341" s="5">
        <v>17780.990000000002</v>
      </c>
      <c r="AO341" s="1" t="s">
        <v>434</v>
      </c>
    </row>
    <row r="342" spans="1:41" x14ac:dyDescent="0.25">
      <c r="A342" s="1">
        <f t="shared" si="4"/>
        <v>326</v>
      </c>
      <c r="B342" s="1" t="s">
        <v>630</v>
      </c>
      <c r="C342" s="1" t="s">
        <v>123</v>
      </c>
      <c r="D342" s="1" t="s">
        <v>815</v>
      </c>
      <c r="E342" s="4">
        <v>45292</v>
      </c>
      <c r="F342" s="4">
        <v>45657</v>
      </c>
      <c r="G342" s="1" t="s">
        <v>125</v>
      </c>
      <c r="H342" s="5">
        <v>730195.83000000007</v>
      </c>
      <c r="I342" s="5">
        <v>51770.83</v>
      </c>
      <c r="J342" s="5">
        <v>39600</v>
      </c>
      <c r="K342" s="5">
        <v>34031.25</v>
      </c>
      <c r="L342" s="5">
        <v>17575</v>
      </c>
      <c r="M342" s="5">
        <v>142977.07999999999</v>
      </c>
      <c r="N342" s="5">
        <v>587218.75</v>
      </c>
      <c r="O342" s="5">
        <v>0</v>
      </c>
      <c r="P342" s="5">
        <v>0</v>
      </c>
      <c r="Q342" s="5">
        <v>587218.75</v>
      </c>
      <c r="R342" s="1" t="s">
        <v>969</v>
      </c>
      <c r="S342" s="1" t="s">
        <v>124</v>
      </c>
      <c r="T342" s="4">
        <v>45292</v>
      </c>
      <c r="U342" s="4">
        <v>45657</v>
      </c>
      <c r="V342" s="1" t="s">
        <v>125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587218.75</v>
      </c>
      <c r="AH342" s="5">
        <v>59943.75</v>
      </c>
      <c r="AI342" s="5">
        <v>0</v>
      </c>
      <c r="AJ342" s="5">
        <v>59942.15</v>
      </c>
      <c r="AK342" s="5">
        <v>0</v>
      </c>
      <c r="AL342" s="5">
        <v>1.6</v>
      </c>
      <c r="AM342" s="5">
        <v>0</v>
      </c>
      <c r="AN342" s="5">
        <v>59943.75</v>
      </c>
      <c r="AO342" s="1" t="s">
        <v>434</v>
      </c>
    </row>
    <row r="343" spans="1:41" x14ac:dyDescent="0.25">
      <c r="A343" s="1">
        <f t="shared" si="4"/>
        <v>327</v>
      </c>
      <c r="B343" s="1" t="s">
        <v>631</v>
      </c>
      <c r="C343" s="1" t="s">
        <v>123</v>
      </c>
      <c r="D343" s="1" t="s">
        <v>815</v>
      </c>
      <c r="E343" s="4">
        <v>45292</v>
      </c>
      <c r="F343" s="4">
        <v>45657</v>
      </c>
      <c r="G343" s="1" t="s">
        <v>125</v>
      </c>
      <c r="H343" s="5">
        <v>2556515.0833333335</v>
      </c>
      <c r="I343" s="5">
        <v>90000</v>
      </c>
      <c r="J343" s="5">
        <v>24000</v>
      </c>
      <c r="K343" s="5">
        <v>48500</v>
      </c>
      <c r="L343" s="5">
        <v>0</v>
      </c>
      <c r="M343" s="5">
        <v>162500</v>
      </c>
      <c r="N343" s="5">
        <v>2178437</v>
      </c>
      <c r="O343" s="5">
        <v>95578.08</v>
      </c>
      <c r="P343" s="5">
        <v>120000</v>
      </c>
      <c r="Q343" s="5">
        <v>2394015.08</v>
      </c>
      <c r="R343" s="1" t="s">
        <v>970</v>
      </c>
      <c r="S343" s="1" t="s">
        <v>124</v>
      </c>
      <c r="T343" s="4">
        <v>45292</v>
      </c>
      <c r="U343" s="4">
        <v>45657</v>
      </c>
      <c r="V343" s="1" t="s">
        <v>125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2394015.08</v>
      </c>
      <c r="AH343" s="5">
        <v>520704.53</v>
      </c>
      <c r="AI343" s="5">
        <v>0</v>
      </c>
      <c r="AJ343" s="5">
        <v>520703.73</v>
      </c>
      <c r="AK343" s="5">
        <v>0</v>
      </c>
      <c r="AL343" s="5">
        <v>0.8</v>
      </c>
      <c r="AM343" s="5">
        <v>0</v>
      </c>
      <c r="AN343" s="5">
        <v>520704.53</v>
      </c>
      <c r="AO343" s="1" t="s">
        <v>434</v>
      </c>
    </row>
    <row r="344" spans="1:41" x14ac:dyDescent="0.25">
      <c r="A344" s="1">
        <f t="shared" si="4"/>
        <v>328</v>
      </c>
      <c r="B344" s="1" t="s">
        <v>632</v>
      </c>
      <c r="C344" s="1" t="s">
        <v>123</v>
      </c>
      <c r="D344" s="1" t="s">
        <v>815</v>
      </c>
      <c r="E344" s="4">
        <v>45292</v>
      </c>
      <c r="F344" s="4">
        <v>45657</v>
      </c>
      <c r="G344" s="1" t="s">
        <v>125</v>
      </c>
      <c r="H344" s="5">
        <v>3525713.5</v>
      </c>
      <c r="I344" s="5">
        <v>90000</v>
      </c>
      <c r="J344" s="5">
        <v>36000</v>
      </c>
      <c r="K344" s="5">
        <v>48500</v>
      </c>
      <c r="L344" s="5">
        <v>10000</v>
      </c>
      <c r="M344" s="5">
        <v>184500</v>
      </c>
      <c r="N344" s="5">
        <v>3052774</v>
      </c>
      <c r="O344" s="5">
        <v>168439.5</v>
      </c>
      <c r="P344" s="5">
        <v>120000</v>
      </c>
      <c r="Q344" s="5">
        <v>3341213.5</v>
      </c>
      <c r="R344" s="1" t="s">
        <v>971</v>
      </c>
      <c r="S344" s="1" t="s">
        <v>124</v>
      </c>
      <c r="T344" s="4">
        <v>45292</v>
      </c>
      <c r="U344" s="4">
        <v>45657</v>
      </c>
      <c r="V344" s="1" t="s">
        <v>125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3341213.5</v>
      </c>
      <c r="AH344" s="5">
        <v>804864.05</v>
      </c>
      <c r="AI344" s="5">
        <v>0</v>
      </c>
      <c r="AJ344" s="5">
        <v>804863.32</v>
      </c>
      <c r="AK344" s="5">
        <v>0</v>
      </c>
      <c r="AL344" s="5">
        <v>0.73</v>
      </c>
      <c r="AM344" s="5">
        <v>0</v>
      </c>
      <c r="AN344" s="5">
        <v>804864.05</v>
      </c>
      <c r="AO344" s="1" t="s">
        <v>434</v>
      </c>
    </row>
    <row r="345" spans="1:41" x14ac:dyDescent="0.25">
      <c r="A345" s="1">
        <f t="shared" si="4"/>
        <v>329</v>
      </c>
      <c r="B345" s="1" t="s">
        <v>633</v>
      </c>
      <c r="C345" s="1" t="s">
        <v>123</v>
      </c>
      <c r="D345" s="1" t="s">
        <v>815</v>
      </c>
      <c r="E345" s="4">
        <v>45292</v>
      </c>
      <c r="F345" s="4">
        <v>45657</v>
      </c>
      <c r="G345" s="1" t="s">
        <v>125</v>
      </c>
      <c r="H345" s="5">
        <v>971893.79</v>
      </c>
      <c r="I345" s="5">
        <v>69429.710000000006</v>
      </c>
      <c r="J345" s="5">
        <v>39600</v>
      </c>
      <c r="K345" s="5">
        <v>39328.870000000003</v>
      </c>
      <c r="L345" s="5">
        <v>16725</v>
      </c>
      <c r="M345" s="5">
        <v>165083.57999999999</v>
      </c>
      <c r="N345" s="5">
        <v>793827.63</v>
      </c>
      <c r="O345" s="5">
        <v>0</v>
      </c>
      <c r="P345" s="5">
        <v>12982.58</v>
      </c>
      <c r="Q345" s="5">
        <v>806810.21</v>
      </c>
      <c r="R345" s="1" t="s">
        <v>972</v>
      </c>
      <c r="S345" s="1" t="s">
        <v>124</v>
      </c>
      <c r="T345" s="4">
        <v>45292</v>
      </c>
      <c r="U345" s="4">
        <v>45657</v>
      </c>
      <c r="V345" s="1" t="s">
        <v>125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806810.21</v>
      </c>
      <c r="AH345" s="5">
        <v>104202.55</v>
      </c>
      <c r="AI345" s="5">
        <v>0</v>
      </c>
      <c r="AJ345" s="5">
        <v>104703.45</v>
      </c>
      <c r="AK345" s="5">
        <v>0</v>
      </c>
      <c r="AL345" s="5">
        <v>0</v>
      </c>
      <c r="AM345" s="5">
        <v>500.9</v>
      </c>
      <c r="AN345" s="5">
        <v>104202.55</v>
      </c>
      <c r="AO345" s="1" t="s">
        <v>434</v>
      </c>
    </row>
    <row r="346" spans="1:41" x14ac:dyDescent="0.25">
      <c r="A346" s="1">
        <f t="shared" si="4"/>
        <v>330</v>
      </c>
      <c r="B346" s="1" t="s">
        <v>634</v>
      </c>
      <c r="C346" s="1" t="s">
        <v>123</v>
      </c>
      <c r="D346" s="1" t="s">
        <v>815</v>
      </c>
      <c r="E346" s="4">
        <v>45292</v>
      </c>
      <c r="F346" s="4">
        <v>45657</v>
      </c>
      <c r="G346" s="1" t="s">
        <v>125</v>
      </c>
      <c r="H346" s="5">
        <v>1077117.8899999999</v>
      </c>
      <c r="I346" s="5">
        <v>79809.070000000007</v>
      </c>
      <c r="J346" s="5">
        <v>39600</v>
      </c>
      <c r="K346" s="5">
        <v>42539.27</v>
      </c>
      <c r="L346" s="5">
        <v>0</v>
      </c>
      <c r="M346" s="5">
        <v>161948.34</v>
      </c>
      <c r="N346" s="5">
        <v>915169.55</v>
      </c>
      <c r="O346" s="5">
        <v>0</v>
      </c>
      <c r="P346" s="5">
        <v>0</v>
      </c>
      <c r="Q346" s="5">
        <v>915169.55</v>
      </c>
      <c r="R346" s="1" t="s">
        <v>973</v>
      </c>
      <c r="S346" s="1" t="s">
        <v>124</v>
      </c>
      <c r="T346" s="4">
        <v>45292</v>
      </c>
      <c r="U346" s="4">
        <v>45657</v>
      </c>
      <c r="V346" s="1" t="s">
        <v>125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915169.55</v>
      </c>
      <c r="AH346" s="5">
        <v>131292.39000000001</v>
      </c>
      <c r="AI346" s="5">
        <v>0</v>
      </c>
      <c r="AJ346" s="5">
        <v>131374.47</v>
      </c>
      <c r="AK346" s="5">
        <v>0</v>
      </c>
      <c r="AL346" s="5">
        <v>0</v>
      </c>
      <c r="AM346" s="5">
        <v>82.08</v>
      </c>
      <c r="AN346" s="5">
        <v>131292.39000000001</v>
      </c>
      <c r="AO346" s="1" t="s">
        <v>434</v>
      </c>
    </row>
    <row r="347" spans="1:41" x14ac:dyDescent="0.25">
      <c r="A347" s="1">
        <f t="shared" si="4"/>
        <v>331</v>
      </c>
      <c r="B347" s="1" t="s">
        <v>635</v>
      </c>
      <c r="C347" s="1" t="s">
        <v>123</v>
      </c>
      <c r="D347" s="1" t="s">
        <v>815</v>
      </c>
      <c r="E347" s="4">
        <v>45292</v>
      </c>
      <c r="F347" s="4">
        <v>45657</v>
      </c>
      <c r="G347" s="1" t="s">
        <v>125</v>
      </c>
      <c r="H347" s="5">
        <v>864753.15999999992</v>
      </c>
      <c r="I347" s="5">
        <v>56947.92</v>
      </c>
      <c r="J347" s="5">
        <v>39600</v>
      </c>
      <c r="K347" s="5">
        <v>35584.370000000003</v>
      </c>
      <c r="L347" s="5">
        <v>15400</v>
      </c>
      <c r="M347" s="5">
        <v>147532.29</v>
      </c>
      <c r="N347" s="5">
        <v>647790.63</v>
      </c>
      <c r="O347" s="5">
        <v>0</v>
      </c>
      <c r="P347" s="5">
        <v>69430.240000000005</v>
      </c>
      <c r="Q347" s="5">
        <v>717220.87</v>
      </c>
      <c r="R347" s="1" t="s">
        <v>974</v>
      </c>
      <c r="S347" s="1" t="s">
        <v>124</v>
      </c>
      <c r="T347" s="4">
        <v>45292</v>
      </c>
      <c r="U347" s="4">
        <v>45657</v>
      </c>
      <c r="V347" s="1" t="s">
        <v>125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717220.87</v>
      </c>
      <c r="AH347" s="5">
        <v>85944.17</v>
      </c>
      <c r="AI347" s="5">
        <v>0</v>
      </c>
      <c r="AJ347" s="5">
        <v>87050.11</v>
      </c>
      <c r="AK347" s="5">
        <v>0</v>
      </c>
      <c r="AL347" s="5">
        <v>0</v>
      </c>
      <c r="AM347" s="5">
        <v>1105.94</v>
      </c>
      <c r="AN347" s="5">
        <v>85944.17</v>
      </c>
      <c r="AO347" s="1" t="s">
        <v>434</v>
      </c>
    </row>
    <row r="348" spans="1:41" x14ac:dyDescent="0.25">
      <c r="A348" s="1">
        <f t="shared" si="4"/>
        <v>332</v>
      </c>
      <c r="B348" s="1" t="s">
        <v>636</v>
      </c>
      <c r="C348" s="1" t="s">
        <v>123</v>
      </c>
      <c r="D348" s="1" t="s">
        <v>815</v>
      </c>
      <c r="E348" s="4">
        <v>45292</v>
      </c>
      <c r="F348" s="4">
        <v>45657</v>
      </c>
      <c r="G348" s="1" t="s">
        <v>125</v>
      </c>
      <c r="H348" s="5">
        <v>1130267.68</v>
      </c>
      <c r="I348" s="5">
        <v>72404.33</v>
      </c>
      <c r="J348" s="5">
        <v>39600</v>
      </c>
      <c r="K348" s="5">
        <v>40071.870000000003</v>
      </c>
      <c r="L348" s="5">
        <v>5625</v>
      </c>
      <c r="M348" s="5">
        <v>157701.20000000001</v>
      </c>
      <c r="N348" s="5">
        <v>861653.7</v>
      </c>
      <c r="O348" s="5">
        <v>0</v>
      </c>
      <c r="P348" s="5">
        <v>110912.78</v>
      </c>
      <c r="Q348" s="5">
        <v>972566.48</v>
      </c>
      <c r="R348" s="1" t="s">
        <v>975</v>
      </c>
      <c r="S348" s="1" t="s">
        <v>124</v>
      </c>
      <c r="T348" s="4">
        <v>45292</v>
      </c>
      <c r="U348" s="4">
        <v>45657</v>
      </c>
      <c r="V348" s="1" t="s">
        <v>125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972566.48</v>
      </c>
      <c r="AH348" s="5">
        <v>145641.62</v>
      </c>
      <c r="AI348" s="5">
        <v>0</v>
      </c>
      <c r="AJ348" s="5">
        <v>146003.22</v>
      </c>
      <c r="AK348" s="5">
        <v>0</v>
      </c>
      <c r="AL348" s="5">
        <v>0</v>
      </c>
      <c r="AM348" s="5">
        <v>361.6</v>
      </c>
      <c r="AN348" s="5">
        <v>145641.62</v>
      </c>
      <c r="AO348" s="1" t="s">
        <v>434</v>
      </c>
    </row>
    <row r="349" spans="1:41" x14ac:dyDescent="0.25">
      <c r="A349" s="1">
        <f t="shared" si="4"/>
        <v>333</v>
      </c>
      <c r="B349" s="1" t="s">
        <v>637</v>
      </c>
      <c r="C349" s="1" t="s">
        <v>123</v>
      </c>
      <c r="D349" s="1" t="s">
        <v>815</v>
      </c>
      <c r="E349" s="4">
        <v>45292</v>
      </c>
      <c r="F349" s="4">
        <v>45657</v>
      </c>
      <c r="G349" s="1" t="s">
        <v>125</v>
      </c>
      <c r="H349" s="5">
        <v>2639545.5633333335</v>
      </c>
      <c r="I349" s="5">
        <v>90000</v>
      </c>
      <c r="J349" s="5">
        <v>24000</v>
      </c>
      <c r="K349" s="5">
        <v>48500</v>
      </c>
      <c r="L349" s="5">
        <v>0</v>
      </c>
      <c r="M349" s="5">
        <v>162500</v>
      </c>
      <c r="N349" s="5">
        <v>2255766.67</v>
      </c>
      <c r="O349" s="5">
        <v>101278.89</v>
      </c>
      <c r="P349" s="5">
        <v>120000</v>
      </c>
      <c r="Q349" s="5">
        <v>2477045.56</v>
      </c>
      <c r="R349" s="1" t="s">
        <v>976</v>
      </c>
      <c r="S349" s="1" t="s">
        <v>124</v>
      </c>
      <c r="T349" s="4">
        <v>45292</v>
      </c>
      <c r="U349" s="4">
        <v>45657</v>
      </c>
      <c r="V349" s="1" t="s">
        <v>125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2477045.56</v>
      </c>
      <c r="AH349" s="5">
        <v>545613.67000000004</v>
      </c>
      <c r="AI349" s="5">
        <v>0</v>
      </c>
      <c r="AJ349" s="5">
        <v>545612.87</v>
      </c>
      <c r="AK349" s="5">
        <v>0</v>
      </c>
      <c r="AL349" s="5">
        <v>0.8</v>
      </c>
      <c r="AM349" s="5">
        <v>0</v>
      </c>
      <c r="AN349" s="5">
        <v>545613.67000000004</v>
      </c>
      <c r="AO349" s="1" t="s">
        <v>434</v>
      </c>
    </row>
    <row r="350" spans="1:41" x14ac:dyDescent="0.25">
      <c r="A350" s="1">
        <f t="shared" si="4"/>
        <v>334</v>
      </c>
      <c r="B350" s="1" t="s">
        <v>638</v>
      </c>
      <c r="C350" s="1" t="s">
        <v>123</v>
      </c>
      <c r="D350" s="1" t="s">
        <v>815</v>
      </c>
      <c r="E350" s="4">
        <v>45292</v>
      </c>
      <c r="F350" s="4">
        <v>45657</v>
      </c>
      <c r="G350" s="1" t="s">
        <v>125</v>
      </c>
      <c r="H350" s="5">
        <v>333999.86</v>
      </c>
      <c r="I350" s="5">
        <v>20000</v>
      </c>
      <c r="J350" s="5">
        <v>39600</v>
      </c>
      <c r="K350" s="5">
        <v>20337.5</v>
      </c>
      <c r="L350" s="5">
        <v>17850</v>
      </c>
      <c r="M350" s="5">
        <v>97787.5</v>
      </c>
      <c r="N350" s="5">
        <v>219662.5</v>
      </c>
      <c r="O350" s="5">
        <v>0</v>
      </c>
      <c r="P350" s="5">
        <v>16549.86</v>
      </c>
      <c r="Q350" s="5">
        <v>236212.36</v>
      </c>
      <c r="R350" s="1" t="s">
        <v>977</v>
      </c>
      <c r="S350" s="1" t="s">
        <v>124</v>
      </c>
      <c r="T350" s="4">
        <v>45292</v>
      </c>
      <c r="U350" s="4">
        <v>45657</v>
      </c>
      <c r="V350" s="1" t="s">
        <v>125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236212.36</v>
      </c>
      <c r="AH350" s="5">
        <v>0</v>
      </c>
      <c r="AI350" s="5">
        <v>0</v>
      </c>
      <c r="AJ350" s="5">
        <v>1389.07</v>
      </c>
      <c r="AK350" s="5">
        <v>0</v>
      </c>
      <c r="AL350" s="5">
        <v>0</v>
      </c>
      <c r="AM350" s="5">
        <v>1389.07</v>
      </c>
      <c r="AN350" s="5">
        <v>0</v>
      </c>
      <c r="AO350" s="1" t="s">
        <v>434</v>
      </c>
    </row>
    <row r="351" spans="1:41" x14ac:dyDescent="0.25">
      <c r="A351" s="1">
        <f t="shared" si="4"/>
        <v>335</v>
      </c>
      <c r="B351" s="1" t="s">
        <v>639</v>
      </c>
      <c r="C351" s="1" t="s">
        <v>123</v>
      </c>
      <c r="D351" s="1" t="s">
        <v>815</v>
      </c>
      <c r="E351" s="4">
        <v>45292</v>
      </c>
      <c r="F351" s="4">
        <v>45657</v>
      </c>
      <c r="G351" s="1" t="s">
        <v>125</v>
      </c>
      <c r="H351" s="5">
        <v>418156.58000000007</v>
      </c>
      <c r="I351" s="5">
        <v>24709.77</v>
      </c>
      <c r="J351" s="5">
        <v>39600</v>
      </c>
      <c r="K351" s="5">
        <v>24290</v>
      </c>
      <c r="L351" s="5">
        <v>16800</v>
      </c>
      <c r="M351" s="5">
        <v>105399.77</v>
      </c>
      <c r="N351" s="5">
        <v>286020.34000000003</v>
      </c>
      <c r="O351" s="5">
        <v>0</v>
      </c>
      <c r="P351" s="5">
        <v>26736.47</v>
      </c>
      <c r="Q351" s="5">
        <v>312756.81</v>
      </c>
      <c r="R351" s="1" t="s">
        <v>978</v>
      </c>
      <c r="S351" s="1" t="s">
        <v>124</v>
      </c>
      <c r="T351" s="4">
        <v>45292</v>
      </c>
      <c r="U351" s="4">
        <v>45657</v>
      </c>
      <c r="V351" s="1" t="s">
        <v>125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312756.81</v>
      </c>
      <c r="AH351" s="5">
        <v>9413.52</v>
      </c>
      <c r="AI351" s="5">
        <v>0</v>
      </c>
      <c r="AJ351" s="5">
        <v>10550.64</v>
      </c>
      <c r="AK351" s="5">
        <v>0</v>
      </c>
      <c r="AL351" s="5">
        <v>0</v>
      </c>
      <c r="AM351" s="5">
        <v>1137.1199999999999</v>
      </c>
      <c r="AN351" s="5">
        <v>9413.52</v>
      </c>
      <c r="AO351" s="1" t="s">
        <v>434</v>
      </c>
    </row>
    <row r="352" spans="1:41" x14ac:dyDescent="0.25">
      <c r="A352" s="1">
        <f t="shared" si="4"/>
        <v>336</v>
      </c>
      <c r="B352" s="1" t="s">
        <v>640</v>
      </c>
      <c r="C352" s="1" t="s">
        <v>123</v>
      </c>
      <c r="D352" s="1" t="s">
        <v>815</v>
      </c>
      <c r="E352" s="4">
        <v>45292</v>
      </c>
      <c r="F352" s="4">
        <v>45657</v>
      </c>
      <c r="G352" s="1" t="s">
        <v>125</v>
      </c>
      <c r="H352" s="5">
        <v>323077.77</v>
      </c>
      <c r="I352" s="5">
        <v>20000</v>
      </c>
      <c r="J352" s="5">
        <v>39600</v>
      </c>
      <c r="K352" s="5">
        <v>19955</v>
      </c>
      <c r="L352" s="5">
        <v>14625</v>
      </c>
      <c r="M352" s="5">
        <v>94180</v>
      </c>
      <c r="N352" s="5">
        <v>220045</v>
      </c>
      <c r="O352" s="5">
        <v>0</v>
      </c>
      <c r="P352" s="5">
        <v>8852.77</v>
      </c>
      <c r="Q352" s="5">
        <v>228897.77</v>
      </c>
      <c r="R352" s="1" t="s">
        <v>979</v>
      </c>
      <c r="S352" s="1" t="s">
        <v>124</v>
      </c>
      <c r="T352" s="4">
        <v>45292</v>
      </c>
      <c r="U352" s="4">
        <v>45657</v>
      </c>
      <c r="V352" s="1" t="s">
        <v>125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228897.77</v>
      </c>
      <c r="AH352" s="5">
        <v>0</v>
      </c>
      <c r="AI352" s="5">
        <v>0</v>
      </c>
      <c r="AJ352" s="5">
        <v>649.79</v>
      </c>
      <c r="AK352" s="5">
        <v>0</v>
      </c>
      <c r="AL352" s="5">
        <v>0</v>
      </c>
      <c r="AM352" s="5">
        <v>649.79</v>
      </c>
      <c r="AN352" s="5">
        <v>0</v>
      </c>
      <c r="AO352" s="1" t="s">
        <v>434</v>
      </c>
    </row>
    <row r="353" spans="1:41" x14ac:dyDescent="0.25">
      <c r="A353" s="1">
        <f t="shared" si="4"/>
        <v>337</v>
      </c>
      <c r="B353" s="1" t="s">
        <v>641</v>
      </c>
      <c r="C353" s="1" t="s">
        <v>123</v>
      </c>
      <c r="D353" s="1" t="s">
        <v>815</v>
      </c>
      <c r="E353" s="4">
        <v>45292</v>
      </c>
      <c r="F353" s="4">
        <v>45657</v>
      </c>
      <c r="G353" s="1" t="s">
        <v>125</v>
      </c>
      <c r="H353" s="5">
        <v>337019.36</v>
      </c>
      <c r="I353" s="5">
        <v>20708.330000000002</v>
      </c>
      <c r="J353" s="5">
        <v>39600</v>
      </c>
      <c r="K353" s="5">
        <v>20752.5</v>
      </c>
      <c r="L353" s="5">
        <v>15100</v>
      </c>
      <c r="M353" s="5">
        <v>96160.83</v>
      </c>
      <c r="N353" s="5">
        <v>227747.5</v>
      </c>
      <c r="O353" s="5">
        <v>0</v>
      </c>
      <c r="P353" s="5">
        <v>13111.03</v>
      </c>
      <c r="Q353" s="5">
        <v>240858.53</v>
      </c>
      <c r="R353" s="1" t="s">
        <v>980</v>
      </c>
      <c r="S353" s="1" t="s">
        <v>124</v>
      </c>
      <c r="T353" s="4">
        <v>45292</v>
      </c>
      <c r="U353" s="4">
        <v>45657</v>
      </c>
      <c r="V353" s="1" t="s">
        <v>125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240858.53</v>
      </c>
      <c r="AH353" s="5">
        <v>0</v>
      </c>
      <c r="AI353" s="5">
        <v>0</v>
      </c>
      <c r="AJ353" s="5">
        <v>686.12</v>
      </c>
      <c r="AK353" s="5">
        <v>0</v>
      </c>
      <c r="AL353" s="5">
        <v>0</v>
      </c>
      <c r="AM353" s="5">
        <v>686.12</v>
      </c>
      <c r="AN353" s="5">
        <v>0</v>
      </c>
      <c r="AO353" s="1" t="s">
        <v>434</v>
      </c>
    </row>
    <row r="354" spans="1:41" x14ac:dyDescent="0.25">
      <c r="A354" s="1">
        <f t="shared" si="4"/>
        <v>338</v>
      </c>
      <c r="B354" s="1" t="s">
        <v>642</v>
      </c>
      <c r="C354" s="1" t="s">
        <v>123</v>
      </c>
      <c r="D354" s="1" t="s">
        <v>815</v>
      </c>
      <c r="E354" s="4">
        <v>45292</v>
      </c>
      <c r="F354" s="4">
        <v>45657</v>
      </c>
      <c r="G354" s="1" t="s">
        <v>125</v>
      </c>
      <c r="H354" s="5">
        <v>2560719.25</v>
      </c>
      <c r="I354" s="5">
        <v>90000</v>
      </c>
      <c r="J354" s="5">
        <v>24000</v>
      </c>
      <c r="K354" s="5">
        <v>48500</v>
      </c>
      <c r="L354" s="5">
        <v>0</v>
      </c>
      <c r="M354" s="5">
        <v>162500</v>
      </c>
      <c r="N354" s="5">
        <v>2181580</v>
      </c>
      <c r="O354" s="5">
        <v>95840</v>
      </c>
      <c r="P354" s="5">
        <v>120799.25</v>
      </c>
      <c r="Q354" s="5">
        <v>2398219.25</v>
      </c>
      <c r="R354" s="1" t="s">
        <v>981</v>
      </c>
      <c r="S354" s="1" t="s">
        <v>124</v>
      </c>
      <c r="T354" s="4">
        <v>45292</v>
      </c>
      <c r="U354" s="4">
        <v>45657</v>
      </c>
      <c r="V354" s="1" t="s">
        <v>125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2398219.25</v>
      </c>
      <c r="AH354" s="5">
        <v>521965.78</v>
      </c>
      <c r="AI354" s="5">
        <v>0</v>
      </c>
      <c r="AJ354" s="5">
        <v>522579.79</v>
      </c>
      <c r="AK354" s="5">
        <v>0</v>
      </c>
      <c r="AL354" s="5">
        <v>0</v>
      </c>
      <c r="AM354" s="5">
        <v>614.01</v>
      </c>
      <c r="AN354" s="5">
        <v>521965.78</v>
      </c>
      <c r="AO354" s="1" t="s">
        <v>434</v>
      </c>
    </row>
    <row r="355" spans="1:41" x14ac:dyDescent="0.25">
      <c r="A355" s="1">
        <f t="shared" si="4"/>
        <v>339</v>
      </c>
      <c r="B355" s="1" t="s">
        <v>643</v>
      </c>
      <c r="C355" s="1" t="s">
        <v>123</v>
      </c>
      <c r="D355" s="1" t="s">
        <v>815</v>
      </c>
      <c r="E355" s="4">
        <v>45292</v>
      </c>
      <c r="F355" s="4">
        <v>45657</v>
      </c>
      <c r="G355" s="1" t="s">
        <v>125</v>
      </c>
      <c r="H355" s="5">
        <v>2631085.7916666665</v>
      </c>
      <c r="I355" s="5">
        <v>90000</v>
      </c>
      <c r="J355" s="5">
        <v>24000</v>
      </c>
      <c r="K355" s="5">
        <v>48500</v>
      </c>
      <c r="L355" s="5">
        <v>0</v>
      </c>
      <c r="M355" s="5">
        <v>162500</v>
      </c>
      <c r="N355" s="5">
        <v>2247271.5</v>
      </c>
      <c r="O355" s="5">
        <v>101314.29</v>
      </c>
      <c r="P355" s="5">
        <v>120000</v>
      </c>
      <c r="Q355" s="5">
        <v>2468585.79</v>
      </c>
      <c r="R355" s="1" t="s">
        <v>982</v>
      </c>
      <c r="S355" s="1" t="s">
        <v>124</v>
      </c>
      <c r="T355" s="4">
        <v>45292</v>
      </c>
      <c r="U355" s="4">
        <v>45657</v>
      </c>
      <c r="V355" s="1" t="s">
        <v>125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2468585.79</v>
      </c>
      <c r="AH355" s="5">
        <v>543075.74</v>
      </c>
      <c r="AI355" s="5">
        <v>0</v>
      </c>
      <c r="AJ355" s="5">
        <v>543614.36</v>
      </c>
      <c r="AK355" s="5">
        <v>0</v>
      </c>
      <c r="AL355" s="5">
        <v>0</v>
      </c>
      <c r="AM355" s="5">
        <v>538.62</v>
      </c>
      <c r="AN355" s="5">
        <v>543075.74</v>
      </c>
      <c r="AO355" s="1" t="s">
        <v>434</v>
      </c>
    </row>
    <row r="356" spans="1:41" x14ac:dyDescent="0.25">
      <c r="A356" s="1">
        <f t="shared" si="4"/>
        <v>340</v>
      </c>
      <c r="B356" s="1" t="s">
        <v>644</v>
      </c>
      <c r="C356" s="1" t="s">
        <v>123</v>
      </c>
      <c r="D356" s="1" t="s">
        <v>815</v>
      </c>
      <c r="E356" s="4">
        <v>45292</v>
      </c>
      <c r="F356" s="4">
        <v>45657</v>
      </c>
      <c r="G356" s="1" t="s">
        <v>125</v>
      </c>
      <c r="H356" s="5">
        <v>2340340.791666667</v>
      </c>
      <c r="I356" s="5">
        <v>90000</v>
      </c>
      <c r="J356" s="5">
        <v>24000</v>
      </c>
      <c r="K356" s="5">
        <v>48500</v>
      </c>
      <c r="L356" s="5">
        <v>0</v>
      </c>
      <c r="M356" s="5">
        <v>162500</v>
      </c>
      <c r="N356" s="5">
        <v>1978891.5</v>
      </c>
      <c r="O356" s="5">
        <v>78949.289999999994</v>
      </c>
      <c r="P356" s="5">
        <v>120000</v>
      </c>
      <c r="Q356" s="5">
        <v>2177840.79</v>
      </c>
      <c r="R356" s="1" t="s">
        <v>983</v>
      </c>
      <c r="S356" s="1" t="s">
        <v>124</v>
      </c>
      <c r="T356" s="4">
        <v>45292</v>
      </c>
      <c r="U356" s="4">
        <v>45657</v>
      </c>
      <c r="V356" s="1" t="s">
        <v>125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2177840.79</v>
      </c>
      <c r="AH356" s="5">
        <v>455852.24</v>
      </c>
      <c r="AI356" s="5">
        <v>0</v>
      </c>
      <c r="AJ356" s="5">
        <v>455851.44</v>
      </c>
      <c r="AK356" s="5">
        <v>0</v>
      </c>
      <c r="AL356" s="5">
        <v>0.8</v>
      </c>
      <c r="AM356" s="5">
        <v>0</v>
      </c>
      <c r="AN356" s="5">
        <v>455852.24</v>
      </c>
      <c r="AO356" s="1" t="s">
        <v>434</v>
      </c>
    </row>
    <row r="357" spans="1:41" x14ac:dyDescent="0.25">
      <c r="A357" s="1">
        <f t="shared" si="4"/>
        <v>341</v>
      </c>
      <c r="B357" s="1" t="s">
        <v>645</v>
      </c>
      <c r="C357" s="1" t="s">
        <v>123</v>
      </c>
      <c r="D357" s="1" t="s">
        <v>815</v>
      </c>
      <c r="E357" s="4">
        <v>45292</v>
      </c>
      <c r="F357" s="4">
        <v>45657</v>
      </c>
      <c r="G357" s="1" t="s">
        <v>125</v>
      </c>
      <c r="H357" s="5">
        <v>1136964.25</v>
      </c>
      <c r="I357" s="5">
        <v>82833.33</v>
      </c>
      <c r="J357" s="5">
        <v>39600</v>
      </c>
      <c r="K357" s="5">
        <v>43350</v>
      </c>
      <c r="L357" s="5">
        <v>10100</v>
      </c>
      <c r="M357" s="5">
        <v>175883.33</v>
      </c>
      <c r="N357" s="5">
        <v>950650</v>
      </c>
      <c r="O357" s="5">
        <v>0</v>
      </c>
      <c r="P357" s="5">
        <v>10430.92</v>
      </c>
      <c r="Q357" s="5">
        <v>961080.92</v>
      </c>
      <c r="R357" s="1" t="s">
        <v>984</v>
      </c>
      <c r="S357" s="1" t="s">
        <v>124</v>
      </c>
      <c r="T357" s="4">
        <v>45292</v>
      </c>
      <c r="U357" s="4">
        <v>45657</v>
      </c>
      <c r="V357" s="1" t="s">
        <v>125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961080.92</v>
      </c>
      <c r="AH357" s="5">
        <v>142770.23000000001</v>
      </c>
      <c r="AI357" s="5">
        <v>0</v>
      </c>
      <c r="AJ357" s="5">
        <v>142769.03</v>
      </c>
      <c r="AK357" s="5">
        <v>0</v>
      </c>
      <c r="AL357" s="5">
        <v>1.2</v>
      </c>
      <c r="AM357" s="5">
        <v>0</v>
      </c>
      <c r="AN357" s="5">
        <v>142770.23000000001</v>
      </c>
      <c r="AO357" s="1" t="s">
        <v>434</v>
      </c>
    </row>
    <row r="358" spans="1:41" x14ac:dyDescent="0.25">
      <c r="A358" s="1">
        <f t="shared" si="4"/>
        <v>342</v>
      </c>
      <c r="B358" s="1" t="s">
        <v>646</v>
      </c>
      <c r="C358" s="1" t="s">
        <v>123</v>
      </c>
      <c r="D358" s="1" t="s">
        <v>815</v>
      </c>
      <c r="E358" s="4">
        <v>45292</v>
      </c>
      <c r="F358" s="4">
        <v>45657</v>
      </c>
      <c r="G358" s="1" t="s">
        <v>125</v>
      </c>
      <c r="H358" s="5">
        <v>978935.91999999993</v>
      </c>
      <c r="I358" s="5">
        <v>70718.100000000006</v>
      </c>
      <c r="J358" s="5">
        <v>39600</v>
      </c>
      <c r="K358" s="5">
        <v>39797.5</v>
      </c>
      <c r="L358" s="5">
        <v>15525</v>
      </c>
      <c r="M358" s="5">
        <v>165640.6</v>
      </c>
      <c r="N358" s="5">
        <v>808819.74</v>
      </c>
      <c r="O358" s="5">
        <v>0</v>
      </c>
      <c r="P358" s="5">
        <v>4475.58</v>
      </c>
      <c r="Q358" s="5">
        <v>813295.32</v>
      </c>
      <c r="R358" s="1" t="s">
        <v>985</v>
      </c>
      <c r="S358" s="1" t="s">
        <v>124</v>
      </c>
      <c r="T358" s="4">
        <v>45292</v>
      </c>
      <c r="U358" s="4">
        <v>45657</v>
      </c>
      <c r="V358" s="1" t="s">
        <v>125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813295.32</v>
      </c>
      <c r="AH358" s="5">
        <v>105823.83</v>
      </c>
      <c r="AI358" s="5">
        <v>0</v>
      </c>
      <c r="AJ358" s="5">
        <v>106123.13</v>
      </c>
      <c r="AK358" s="5">
        <v>0</v>
      </c>
      <c r="AL358" s="5">
        <v>0</v>
      </c>
      <c r="AM358" s="5">
        <v>299.3</v>
      </c>
      <c r="AN358" s="5">
        <v>105823.83</v>
      </c>
      <c r="AO358" s="1" t="s">
        <v>434</v>
      </c>
    </row>
    <row r="359" spans="1:41" x14ac:dyDescent="0.25">
      <c r="A359" s="1">
        <f t="shared" si="2"/>
        <v>343</v>
      </c>
      <c r="B359" s="1" t="s">
        <v>647</v>
      </c>
      <c r="C359" s="1" t="s">
        <v>123</v>
      </c>
      <c r="D359" s="1" t="s">
        <v>815</v>
      </c>
      <c r="E359" s="4">
        <v>45292</v>
      </c>
      <c r="F359" s="4">
        <v>45657</v>
      </c>
      <c r="G359" s="1" t="s">
        <v>125</v>
      </c>
      <c r="H359" s="5">
        <v>821461.62</v>
      </c>
      <c r="I359" s="5">
        <v>44498.75</v>
      </c>
      <c r="J359" s="5">
        <v>39600</v>
      </c>
      <c r="K359" s="5">
        <v>31849.62</v>
      </c>
      <c r="L359" s="5">
        <v>45575</v>
      </c>
      <c r="M359" s="5">
        <v>161523.37</v>
      </c>
      <c r="N359" s="5">
        <v>502135.38</v>
      </c>
      <c r="O359" s="5">
        <v>0</v>
      </c>
      <c r="P359" s="5">
        <v>157802.87</v>
      </c>
      <c r="Q359" s="5">
        <v>659938.25</v>
      </c>
      <c r="R359" s="1" t="s">
        <v>986</v>
      </c>
      <c r="S359" s="1" t="s">
        <v>124</v>
      </c>
      <c r="T359" s="4">
        <v>45292</v>
      </c>
      <c r="U359" s="4">
        <v>45657</v>
      </c>
      <c r="V359" s="1" t="s">
        <v>125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659938.25</v>
      </c>
      <c r="AH359" s="5">
        <v>74487.649999999994</v>
      </c>
      <c r="AI359" s="5">
        <v>0</v>
      </c>
      <c r="AJ359" s="5">
        <v>75793.009999999995</v>
      </c>
      <c r="AK359" s="5">
        <v>0</v>
      </c>
      <c r="AL359" s="5">
        <v>0</v>
      </c>
      <c r="AM359" s="5">
        <v>1305.3599999999999</v>
      </c>
      <c r="AN359" s="5">
        <v>74487.649999999994</v>
      </c>
      <c r="AO359" s="1" t="s">
        <v>434</v>
      </c>
    </row>
    <row r="360" spans="1:41" x14ac:dyDescent="0.25">
      <c r="A360" s="1">
        <f t="shared" si="2"/>
        <v>344</v>
      </c>
      <c r="B360" s="1" t="s">
        <v>648</v>
      </c>
      <c r="C360" s="1" t="s">
        <v>123</v>
      </c>
      <c r="D360" s="1" t="s">
        <v>815</v>
      </c>
      <c r="E360" s="4">
        <v>45292</v>
      </c>
      <c r="F360" s="4">
        <v>45657</v>
      </c>
      <c r="G360" s="1" t="s">
        <v>125</v>
      </c>
      <c r="H360" s="5">
        <v>1467710.0483333333</v>
      </c>
      <c r="I360" s="5">
        <v>90000</v>
      </c>
      <c r="J360" s="5">
        <v>24000</v>
      </c>
      <c r="K360" s="5">
        <v>48357.37</v>
      </c>
      <c r="L360" s="5">
        <v>0</v>
      </c>
      <c r="M360" s="5">
        <v>162357.37</v>
      </c>
      <c r="N360" s="5">
        <v>1173894.1299999999</v>
      </c>
      <c r="O360" s="5">
        <v>11458.55</v>
      </c>
      <c r="P360" s="5">
        <v>120000</v>
      </c>
      <c r="Q360" s="5">
        <v>1305352.68</v>
      </c>
      <c r="R360" s="1" t="s">
        <v>987</v>
      </c>
      <c r="S360" s="1" t="s">
        <v>124</v>
      </c>
      <c r="T360" s="4">
        <v>45292</v>
      </c>
      <c r="U360" s="4">
        <v>45657</v>
      </c>
      <c r="V360" s="1" t="s">
        <v>125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1305352.68</v>
      </c>
      <c r="AH360" s="5">
        <v>228838.17</v>
      </c>
      <c r="AI360" s="5">
        <v>0</v>
      </c>
      <c r="AJ360" s="5">
        <v>228837.07</v>
      </c>
      <c r="AK360" s="5">
        <v>0</v>
      </c>
      <c r="AL360" s="5">
        <v>1.1000000000000001</v>
      </c>
      <c r="AM360" s="5">
        <v>0</v>
      </c>
      <c r="AN360" s="5">
        <v>228838.17</v>
      </c>
      <c r="AO360" s="1" t="s">
        <v>434</v>
      </c>
    </row>
    <row r="361" spans="1:41" x14ac:dyDescent="0.25">
      <c r="A361" s="1">
        <f t="shared" si="2"/>
        <v>345</v>
      </c>
      <c r="B361" s="1" t="s">
        <v>649</v>
      </c>
      <c r="C361" s="1" t="s">
        <v>123</v>
      </c>
      <c r="D361" s="1" t="s">
        <v>815</v>
      </c>
      <c r="E361" s="4">
        <v>45292</v>
      </c>
      <c r="F361" s="4">
        <v>45657</v>
      </c>
      <c r="G361" s="1" t="s">
        <v>125</v>
      </c>
      <c r="H361" s="5">
        <v>323363.58</v>
      </c>
      <c r="I361" s="5">
        <v>20127.009999999998</v>
      </c>
      <c r="J361" s="5">
        <v>39600</v>
      </c>
      <c r="K361" s="5">
        <v>19832.5</v>
      </c>
      <c r="L361" s="5">
        <v>18375</v>
      </c>
      <c r="M361" s="5">
        <v>97934.51</v>
      </c>
      <c r="N361" s="5">
        <v>221691.64</v>
      </c>
      <c r="O361" s="5">
        <v>0</v>
      </c>
      <c r="P361" s="5">
        <v>3737.43</v>
      </c>
      <c r="Q361" s="5">
        <v>225429.07</v>
      </c>
      <c r="R361" s="1" t="s">
        <v>988</v>
      </c>
      <c r="S361" s="1" t="s">
        <v>124</v>
      </c>
      <c r="T361" s="4">
        <v>45292</v>
      </c>
      <c r="U361" s="4">
        <v>45657</v>
      </c>
      <c r="V361" s="1" t="s">
        <v>125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225429.07</v>
      </c>
      <c r="AH361" s="5">
        <v>0</v>
      </c>
      <c r="AI361" s="5">
        <v>0</v>
      </c>
      <c r="AJ361" s="5">
        <v>81.62</v>
      </c>
      <c r="AK361" s="5">
        <v>0</v>
      </c>
      <c r="AL361" s="5">
        <v>0</v>
      </c>
      <c r="AM361" s="5">
        <v>81.62</v>
      </c>
      <c r="AN361" s="5">
        <v>0</v>
      </c>
      <c r="AO361" s="1" t="s">
        <v>434</v>
      </c>
    </row>
    <row r="362" spans="1:41" x14ac:dyDescent="0.25">
      <c r="A362" s="1">
        <f t="shared" si="2"/>
        <v>346</v>
      </c>
      <c r="B362" s="1" t="s">
        <v>650</v>
      </c>
      <c r="C362" s="1" t="s">
        <v>123</v>
      </c>
      <c r="D362" s="1" t="s">
        <v>815</v>
      </c>
      <c r="E362" s="4">
        <v>45292</v>
      </c>
      <c r="F362" s="4">
        <v>45657</v>
      </c>
      <c r="G362" s="1" t="s">
        <v>125</v>
      </c>
      <c r="H362" s="5">
        <v>857369.74</v>
      </c>
      <c r="I362" s="5">
        <v>60850</v>
      </c>
      <c r="J362" s="5">
        <v>39600</v>
      </c>
      <c r="K362" s="5">
        <v>36740</v>
      </c>
      <c r="L362" s="5">
        <v>16700</v>
      </c>
      <c r="M362" s="5">
        <v>153890</v>
      </c>
      <c r="N362" s="5">
        <v>693460</v>
      </c>
      <c r="O362" s="5">
        <v>0</v>
      </c>
      <c r="P362" s="5">
        <v>10019.74</v>
      </c>
      <c r="Q362" s="5">
        <v>703479.74</v>
      </c>
      <c r="R362" s="1" t="s">
        <v>989</v>
      </c>
      <c r="S362" s="1" t="s">
        <v>124</v>
      </c>
      <c r="T362" s="4">
        <v>45292</v>
      </c>
      <c r="U362" s="4">
        <v>45657</v>
      </c>
      <c r="V362" s="1" t="s">
        <v>125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703479.74</v>
      </c>
      <c r="AH362" s="5">
        <v>83195.95</v>
      </c>
      <c r="AI362" s="5">
        <v>0</v>
      </c>
      <c r="AJ362" s="5">
        <v>83454.740000000005</v>
      </c>
      <c r="AK362" s="5">
        <v>0</v>
      </c>
      <c r="AL362" s="5">
        <v>0</v>
      </c>
      <c r="AM362" s="5">
        <v>258.79000000000002</v>
      </c>
      <c r="AN362" s="5">
        <v>83195.95</v>
      </c>
      <c r="AO362" s="1" t="s">
        <v>434</v>
      </c>
    </row>
    <row r="363" spans="1:41" x14ac:dyDescent="0.25">
      <c r="A363" s="1">
        <f t="shared" si="2"/>
        <v>347</v>
      </c>
      <c r="B363" s="1" t="s">
        <v>651</v>
      </c>
      <c r="C363" s="1" t="s">
        <v>123</v>
      </c>
      <c r="D363" s="1" t="s">
        <v>815</v>
      </c>
      <c r="E363" s="4">
        <v>45292</v>
      </c>
      <c r="F363" s="4">
        <v>45657</v>
      </c>
      <c r="G363" s="1" t="s">
        <v>125</v>
      </c>
      <c r="H363" s="5">
        <v>1253613.6966666668</v>
      </c>
      <c r="I363" s="5">
        <v>90000</v>
      </c>
      <c r="J363" s="5">
        <v>39600</v>
      </c>
      <c r="K363" s="5">
        <v>46460.57</v>
      </c>
      <c r="L363" s="5">
        <v>0</v>
      </c>
      <c r="M363" s="5">
        <v>176060.57</v>
      </c>
      <c r="N363" s="5">
        <v>1071962.43</v>
      </c>
      <c r="O363" s="5">
        <v>3201.92</v>
      </c>
      <c r="P363" s="5">
        <v>2388.7800000000002</v>
      </c>
      <c r="Q363" s="5">
        <v>1077553.1299999999</v>
      </c>
      <c r="R363" s="1" t="s">
        <v>990</v>
      </c>
      <c r="S363" s="1" t="s">
        <v>124</v>
      </c>
      <c r="T363" s="4">
        <v>45292</v>
      </c>
      <c r="U363" s="4">
        <v>45657</v>
      </c>
      <c r="V363" s="1" t="s">
        <v>125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1077553.1299999999</v>
      </c>
      <c r="AH363" s="5">
        <v>171888.28</v>
      </c>
      <c r="AI363" s="5">
        <v>0</v>
      </c>
      <c r="AJ363" s="5">
        <v>171887.17</v>
      </c>
      <c r="AK363" s="5">
        <v>0</v>
      </c>
      <c r="AL363" s="5">
        <v>1.1100000000000001</v>
      </c>
      <c r="AM363" s="5">
        <v>0</v>
      </c>
      <c r="AN363" s="5">
        <v>171888.28</v>
      </c>
      <c r="AO363" s="1" t="s">
        <v>434</v>
      </c>
    </row>
    <row r="364" spans="1:41" x14ac:dyDescent="0.25">
      <c r="A364" s="1">
        <f t="shared" si="2"/>
        <v>348</v>
      </c>
      <c r="B364" s="1" t="s">
        <v>652</v>
      </c>
      <c r="C364" s="1" t="s">
        <v>123</v>
      </c>
      <c r="D364" s="1" t="s">
        <v>815</v>
      </c>
      <c r="E364" s="4">
        <v>45292</v>
      </c>
      <c r="F364" s="4">
        <v>45657</v>
      </c>
      <c r="G364" s="1" t="s">
        <v>125</v>
      </c>
      <c r="H364" s="5">
        <v>1160254.17</v>
      </c>
      <c r="I364" s="5">
        <v>86204.17</v>
      </c>
      <c r="J364" s="5">
        <v>39600</v>
      </c>
      <c r="K364" s="5">
        <v>44361.25</v>
      </c>
      <c r="L364" s="5">
        <v>0</v>
      </c>
      <c r="M364" s="5">
        <v>170165.42</v>
      </c>
      <c r="N364" s="5">
        <v>990088.75</v>
      </c>
      <c r="O364" s="5">
        <v>0</v>
      </c>
      <c r="P364" s="5">
        <v>0</v>
      </c>
      <c r="Q364" s="5">
        <v>990088.75</v>
      </c>
      <c r="R364" s="1" t="s">
        <v>991</v>
      </c>
      <c r="S364" s="1" t="s">
        <v>124</v>
      </c>
      <c r="T364" s="4">
        <v>45292</v>
      </c>
      <c r="U364" s="4">
        <v>45657</v>
      </c>
      <c r="V364" s="1" t="s">
        <v>125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990088.75</v>
      </c>
      <c r="AH364" s="5">
        <v>150022.19</v>
      </c>
      <c r="AI364" s="5">
        <v>0</v>
      </c>
      <c r="AJ364" s="5">
        <v>150020.99</v>
      </c>
      <c r="AK364" s="5">
        <v>0</v>
      </c>
      <c r="AL364" s="5">
        <v>1.2</v>
      </c>
      <c r="AM364" s="5">
        <v>0</v>
      </c>
      <c r="AN364" s="5">
        <v>150022.19</v>
      </c>
      <c r="AO364" s="1" t="s">
        <v>434</v>
      </c>
    </row>
    <row r="365" spans="1:41" x14ac:dyDescent="0.25">
      <c r="A365" s="1">
        <f t="shared" si="2"/>
        <v>349</v>
      </c>
      <c r="B365" s="1" t="s">
        <v>653</v>
      </c>
      <c r="C365" s="1" t="s">
        <v>123</v>
      </c>
      <c r="D365" s="1" t="s">
        <v>815</v>
      </c>
      <c r="E365" s="4">
        <v>45292</v>
      </c>
      <c r="F365" s="4">
        <v>45657</v>
      </c>
      <c r="G365" s="1" t="s">
        <v>125</v>
      </c>
      <c r="H365" s="5">
        <v>1341094.25</v>
      </c>
      <c r="I365" s="5">
        <v>90000</v>
      </c>
      <c r="J365" s="5">
        <v>39600</v>
      </c>
      <c r="K365" s="5">
        <v>47050</v>
      </c>
      <c r="L365" s="5">
        <v>0</v>
      </c>
      <c r="M365" s="5">
        <v>176650</v>
      </c>
      <c r="N365" s="5">
        <v>1152950</v>
      </c>
      <c r="O365" s="5">
        <v>10000</v>
      </c>
      <c r="P365" s="5">
        <v>1494.25</v>
      </c>
      <c r="Q365" s="5">
        <v>1164444.25</v>
      </c>
      <c r="R365" s="1" t="s">
        <v>992</v>
      </c>
      <c r="S365" s="1" t="s">
        <v>124</v>
      </c>
      <c r="T365" s="4">
        <v>45292</v>
      </c>
      <c r="U365" s="4">
        <v>45657</v>
      </c>
      <c r="V365" s="1" t="s">
        <v>125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1164444.25</v>
      </c>
      <c r="AH365" s="5">
        <v>193611.06</v>
      </c>
      <c r="AI365" s="5">
        <v>0</v>
      </c>
      <c r="AJ365" s="5">
        <v>198375.77</v>
      </c>
      <c r="AK365" s="5">
        <v>0</v>
      </c>
      <c r="AL365" s="5">
        <v>0</v>
      </c>
      <c r="AM365" s="5">
        <v>4764.71</v>
      </c>
      <c r="AN365" s="5">
        <v>193611.06</v>
      </c>
      <c r="AO365" s="1" t="s">
        <v>434</v>
      </c>
    </row>
    <row r="366" spans="1:41" x14ac:dyDescent="0.25">
      <c r="A366" s="1">
        <f t="shared" si="2"/>
        <v>350</v>
      </c>
      <c r="B366" s="1" t="s">
        <v>654</v>
      </c>
      <c r="C366" s="1" t="s">
        <v>123</v>
      </c>
      <c r="D366" s="1" t="s">
        <v>815</v>
      </c>
      <c r="E366" s="4">
        <v>45292</v>
      </c>
      <c r="F366" s="4">
        <v>45657</v>
      </c>
      <c r="G366" s="1" t="s">
        <v>125</v>
      </c>
      <c r="H366" s="5">
        <v>1275074.1299999999</v>
      </c>
      <c r="I366" s="5">
        <v>90000</v>
      </c>
      <c r="J366" s="5">
        <v>39600</v>
      </c>
      <c r="K366" s="5">
        <v>45860</v>
      </c>
      <c r="L366" s="5">
        <v>0</v>
      </c>
      <c r="M366" s="5">
        <v>175460</v>
      </c>
      <c r="N366" s="5">
        <v>1049440</v>
      </c>
      <c r="O366" s="5">
        <v>1275</v>
      </c>
      <c r="P366" s="5">
        <v>48899.13</v>
      </c>
      <c r="Q366" s="5">
        <v>1099614.1299999999</v>
      </c>
      <c r="R366" s="1" t="s">
        <v>993</v>
      </c>
      <c r="S366" s="1" t="s">
        <v>124</v>
      </c>
      <c r="T366" s="4">
        <v>45292</v>
      </c>
      <c r="U366" s="4">
        <v>45657</v>
      </c>
      <c r="V366" s="1" t="s">
        <v>125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1099614.1299999999</v>
      </c>
      <c r="AH366" s="5">
        <v>177403.53</v>
      </c>
      <c r="AI366" s="5">
        <v>0</v>
      </c>
      <c r="AJ366" s="5">
        <v>177402.35</v>
      </c>
      <c r="AK366" s="5">
        <v>0</v>
      </c>
      <c r="AL366" s="5">
        <v>1.18</v>
      </c>
      <c r="AM366" s="5">
        <v>0</v>
      </c>
      <c r="AN366" s="5">
        <v>177403.53</v>
      </c>
      <c r="AO366" s="1" t="s">
        <v>434</v>
      </c>
    </row>
    <row r="367" spans="1:41" x14ac:dyDescent="0.25">
      <c r="A367" s="1">
        <f t="shared" si="2"/>
        <v>351</v>
      </c>
      <c r="B367" s="1" t="s">
        <v>655</v>
      </c>
      <c r="C367" s="1" t="s">
        <v>123</v>
      </c>
      <c r="D367" s="1" t="s">
        <v>815</v>
      </c>
      <c r="E367" s="4">
        <v>45292</v>
      </c>
      <c r="F367" s="4">
        <v>45657</v>
      </c>
      <c r="G367" s="1" t="s">
        <v>125</v>
      </c>
      <c r="H367" s="5">
        <v>1298022.9416666667</v>
      </c>
      <c r="I367" s="5">
        <v>90000</v>
      </c>
      <c r="J367" s="5">
        <v>39600</v>
      </c>
      <c r="K367" s="5">
        <v>47303.96</v>
      </c>
      <c r="L367" s="5">
        <v>0</v>
      </c>
      <c r="M367" s="5">
        <v>176903.96</v>
      </c>
      <c r="N367" s="5">
        <v>1105803.54</v>
      </c>
      <c r="O367" s="5">
        <v>6092.29</v>
      </c>
      <c r="P367" s="5">
        <v>9223.15</v>
      </c>
      <c r="Q367" s="5">
        <v>1121118.98</v>
      </c>
      <c r="R367" s="1" t="s">
        <v>994</v>
      </c>
      <c r="S367" s="1" t="s">
        <v>124</v>
      </c>
      <c r="T367" s="4">
        <v>45292</v>
      </c>
      <c r="U367" s="4">
        <v>45657</v>
      </c>
      <c r="V367" s="1" t="s">
        <v>125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1121118.98</v>
      </c>
      <c r="AH367" s="5">
        <v>182779.75</v>
      </c>
      <c r="AI367" s="5">
        <v>0</v>
      </c>
      <c r="AJ367" s="5">
        <v>182778.58</v>
      </c>
      <c r="AK367" s="5">
        <v>0</v>
      </c>
      <c r="AL367" s="5">
        <v>1.17</v>
      </c>
      <c r="AM367" s="5">
        <v>0</v>
      </c>
      <c r="AN367" s="5">
        <v>182779.75</v>
      </c>
      <c r="AO367" s="1" t="s">
        <v>434</v>
      </c>
    </row>
    <row r="368" spans="1:41" x14ac:dyDescent="0.25">
      <c r="A368" s="1">
        <f t="shared" si="2"/>
        <v>352</v>
      </c>
      <c r="B368" s="1" t="s">
        <v>656</v>
      </c>
      <c r="C368" s="1" t="s">
        <v>123</v>
      </c>
      <c r="D368" s="1" t="s">
        <v>815</v>
      </c>
      <c r="E368" s="4">
        <v>45292</v>
      </c>
      <c r="F368" s="4">
        <v>45657</v>
      </c>
      <c r="G368" s="1" t="s">
        <v>125</v>
      </c>
      <c r="H368" s="5">
        <v>1613518.9216666669</v>
      </c>
      <c r="I368" s="5">
        <v>90000</v>
      </c>
      <c r="J368" s="5">
        <v>24000</v>
      </c>
      <c r="K368" s="5">
        <v>48500</v>
      </c>
      <c r="L368" s="5">
        <v>0</v>
      </c>
      <c r="M368" s="5">
        <v>162500</v>
      </c>
      <c r="N368" s="5">
        <v>1307941.5</v>
      </c>
      <c r="O368" s="5">
        <v>23036.79</v>
      </c>
      <c r="P368" s="5">
        <v>120040.63</v>
      </c>
      <c r="Q368" s="5">
        <v>1451018.92</v>
      </c>
      <c r="R368" s="1" t="s">
        <v>995</v>
      </c>
      <c r="S368" s="1" t="s">
        <v>124</v>
      </c>
      <c r="T368" s="4">
        <v>45292</v>
      </c>
      <c r="U368" s="4">
        <v>45657</v>
      </c>
      <c r="V368" s="1" t="s">
        <v>125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1451018.92</v>
      </c>
      <c r="AH368" s="5">
        <v>265254.73</v>
      </c>
      <c r="AI368" s="5">
        <v>0</v>
      </c>
      <c r="AJ368" s="5">
        <v>265253.61</v>
      </c>
      <c r="AK368" s="5">
        <v>0</v>
      </c>
      <c r="AL368" s="5">
        <v>1.1200000000000001</v>
      </c>
      <c r="AM368" s="5">
        <v>0</v>
      </c>
      <c r="AN368" s="5">
        <v>265254.73</v>
      </c>
      <c r="AO368" s="1" t="s">
        <v>434</v>
      </c>
    </row>
    <row r="369" spans="1:41" x14ac:dyDescent="0.25">
      <c r="A369" s="1">
        <f t="shared" si="2"/>
        <v>353</v>
      </c>
      <c r="B369" s="1" t="s">
        <v>657</v>
      </c>
      <c r="C369" s="1" t="s">
        <v>123</v>
      </c>
      <c r="D369" s="1" t="s">
        <v>815</v>
      </c>
      <c r="E369" s="4">
        <v>45292</v>
      </c>
      <c r="F369" s="4">
        <v>45657</v>
      </c>
      <c r="G369" s="1" t="s">
        <v>125</v>
      </c>
      <c r="H369" s="5">
        <v>909795.83000000007</v>
      </c>
      <c r="I369" s="5">
        <v>65920.83</v>
      </c>
      <c r="J369" s="5">
        <v>39600</v>
      </c>
      <c r="K369" s="5">
        <v>38260</v>
      </c>
      <c r="L369" s="5">
        <v>13225</v>
      </c>
      <c r="M369" s="5">
        <v>157005.82999999999</v>
      </c>
      <c r="N369" s="5">
        <v>752790</v>
      </c>
      <c r="O369" s="5">
        <v>0</v>
      </c>
      <c r="P369" s="5">
        <v>0</v>
      </c>
      <c r="Q369" s="5">
        <v>752790</v>
      </c>
      <c r="R369" s="1" t="s">
        <v>996</v>
      </c>
      <c r="S369" s="1" t="s">
        <v>124</v>
      </c>
      <c r="T369" s="4">
        <v>45292</v>
      </c>
      <c r="U369" s="4">
        <v>45657</v>
      </c>
      <c r="V369" s="1" t="s">
        <v>125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752790</v>
      </c>
      <c r="AH369" s="5">
        <v>93058</v>
      </c>
      <c r="AI369" s="5">
        <v>0</v>
      </c>
      <c r="AJ369" s="5">
        <v>93056.4</v>
      </c>
      <c r="AK369" s="5">
        <v>0</v>
      </c>
      <c r="AL369" s="5">
        <v>1.6</v>
      </c>
      <c r="AM369" s="5">
        <v>0</v>
      </c>
      <c r="AN369" s="5">
        <v>93058</v>
      </c>
      <c r="AO369" s="1" t="s">
        <v>434</v>
      </c>
    </row>
    <row r="370" spans="1:41" x14ac:dyDescent="0.25">
      <c r="A370" s="1">
        <f t="shared" si="2"/>
        <v>354</v>
      </c>
      <c r="B370" s="1" t="s">
        <v>658</v>
      </c>
      <c r="C370" s="1" t="s">
        <v>123</v>
      </c>
      <c r="D370" s="1" t="s">
        <v>815</v>
      </c>
      <c r="E370" s="4">
        <v>45292</v>
      </c>
      <c r="F370" s="4">
        <v>45657</v>
      </c>
      <c r="G370" s="1" t="s">
        <v>125</v>
      </c>
      <c r="H370" s="5">
        <v>1462629.2916666665</v>
      </c>
      <c r="I370" s="5">
        <v>90000</v>
      </c>
      <c r="J370" s="5">
        <v>39600</v>
      </c>
      <c r="K370" s="5">
        <v>48408.12</v>
      </c>
      <c r="L370" s="5">
        <v>0</v>
      </c>
      <c r="M370" s="5">
        <v>178008.12</v>
      </c>
      <c r="N370" s="5">
        <v>1265157.3799999999</v>
      </c>
      <c r="O370" s="5">
        <v>19463.79</v>
      </c>
      <c r="P370" s="5">
        <v>0</v>
      </c>
      <c r="Q370" s="5">
        <v>1284621.17</v>
      </c>
      <c r="R370" s="1" t="s">
        <v>997</v>
      </c>
      <c r="S370" s="1" t="s">
        <v>124</v>
      </c>
      <c r="T370" s="4">
        <v>45292</v>
      </c>
      <c r="U370" s="4">
        <v>45657</v>
      </c>
      <c r="V370" s="1" t="s">
        <v>125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1284621.17</v>
      </c>
      <c r="AH370" s="5">
        <v>223655.29</v>
      </c>
      <c r="AI370" s="5">
        <v>0</v>
      </c>
      <c r="AJ370" s="5">
        <v>223654.16</v>
      </c>
      <c r="AK370" s="5">
        <v>0</v>
      </c>
      <c r="AL370" s="5">
        <v>1.1299999999999999</v>
      </c>
      <c r="AM370" s="5">
        <v>0</v>
      </c>
      <c r="AN370" s="5">
        <v>223655.29</v>
      </c>
      <c r="AO370" s="1" t="s">
        <v>434</v>
      </c>
    </row>
    <row r="371" spans="1:41" x14ac:dyDescent="0.25">
      <c r="A371" s="1">
        <f t="shared" si="2"/>
        <v>355</v>
      </c>
      <c r="B371" s="1" t="s">
        <v>659</v>
      </c>
      <c r="C371" s="1" t="s">
        <v>123</v>
      </c>
      <c r="D371" s="1" t="s">
        <v>815</v>
      </c>
      <c r="E371" s="4">
        <v>45292</v>
      </c>
      <c r="F371" s="4">
        <v>45657</v>
      </c>
      <c r="G371" s="1" t="s">
        <v>125</v>
      </c>
      <c r="H371" s="5">
        <v>549678.21</v>
      </c>
      <c r="I371" s="5">
        <v>26384</v>
      </c>
      <c r="J371" s="5">
        <v>39600</v>
      </c>
      <c r="K371" s="5">
        <v>26032.7</v>
      </c>
      <c r="L371" s="5">
        <v>34700</v>
      </c>
      <c r="M371" s="5">
        <v>126716.7</v>
      </c>
      <c r="N371" s="5">
        <v>290575.3</v>
      </c>
      <c r="O371" s="5">
        <v>0</v>
      </c>
      <c r="P371" s="5">
        <v>132386.21</v>
      </c>
      <c r="Q371" s="5">
        <v>422961.51</v>
      </c>
      <c r="R371" s="1" t="s">
        <v>998</v>
      </c>
      <c r="S371" s="1" t="s">
        <v>124</v>
      </c>
      <c r="T371" s="4">
        <v>45292</v>
      </c>
      <c r="U371" s="4">
        <v>45657</v>
      </c>
      <c r="V371" s="1" t="s">
        <v>125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422961.51</v>
      </c>
      <c r="AH371" s="5">
        <v>27092.3</v>
      </c>
      <c r="AI371" s="5">
        <v>0</v>
      </c>
      <c r="AJ371" s="5">
        <v>28509.65</v>
      </c>
      <c r="AK371" s="5">
        <v>0</v>
      </c>
      <c r="AL371" s="5">
        <v>0</v>
      </c>
      <c r="AM371" s="5">
        <v>1417.35</v>
      </c>
      <c r="AN371" s="5">
        <v>27092.3</v>
      </c>
      <c r="AO371" s="1" t="s">
        <v>434</v>
      </c>
    </row>
    <row r="372" spans="1:41" x14ac:dyDescent="0.25">
      <c r="A372" s="1">
        <f t="shared" si="2"/>
        <v>356</v>
      </c>
      <c r="B372" s="1" t="s">
        <v>660</v>
      </c>
      <c r="C372" s="1" t="s">
        <v>123</v>
      </c>
      <c r="D372" s="1" t="s">
        <v>815</v>
      </c>
      <c r="E372" s="4">
        <v>45292</v>
      </c>
      <c r="F372" s="4">
        <v>45657</v>
      </c>
      <c r="G372" s="1" t="s">
        <v>125</v>
      </c>
      <c r="H372" s="5">
        <v>448628.3</v>
      </c>
      <c r="I372" s="5">
        <v>22458.33</v>
      </c>
      <c r="J372" s="5">
        <v>39600</v>
      </c>
      <c r="K372" s="5">
        <v>23555</v>
      </c>
      <c r="L372" s="5">
        <v>36350</v>
      </c>
      <c r="M372" s="5">
        <v>121963.33</v>
      </c>
      <c r="N372" s="5">
        <v>245945</v>
      </c>
      <c r="O372" s="5">
        <v>0</v>
      </c>
      <c r="P372" s="5">
        <v>80719.97</v>
      </c>
      <c r="Q372" s="5">
        <v>326664.96999999997</v>
      </c>
      <c r="R372" s="1" t="s">
        <v>999</v>
      </c>
      <c r="S372" s="1" t="s">
        <v>124</v>
      </c>
      <c r="T372" s="4">
        <v>45292</v>
      </c>
      <c r="U372" s="4">
        <v>45657</v>
      </c>
      <c r="V372" s="1" t="s">
        <v>125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326664.96999999997</v>
      </c>
      <c r="AH372" s="5">
        <v>11499.75</v>
      </c>
      <c r="AI372" s="5">
        <v>0</v>
      </c>
      <c r="AJ372" s="5">
        <v>11795.44</v>
      </c>
      <c r="AK372" s="5">
        <v>0</v>
      </c>
      <c r="AL372" s="5">
        <v>0</v>
      </c>
      <c r="AM372" s="5">
        <v>295.69</v>
      </c>
      <c r="AN372" s="5">
        <v>11499.75</v>
      </c>
      <c r="AO372" s="1" t="s">
        <v>434</v>
      </c>
    </row>
    <row r="373" spans="1:41" x14ac:dyDescent="0.25">
      <c r="A373" s="1">
        <f t="shared" si="2"/>
        <v>357</v>
      </c>
      <c r="B373" s="1" t="s">
        <v>661</v>
      </c>
      <c r="C373" s="1" t="s">
        <v>123</v>
      </c>
      <c r="D373" s="1" t="s">
        <v>815</v>
      </c>
      <c r="E373" s="4">
        <v>45292</v>
      </c>
      <c r="F373" s="4">
        <v>45657</v>
      </c>
      <c r="G373" s="1" t="s">
        <v>125</v>
      </c>
      <c r="H373" s="5">
        <v>809698.46</v>
      </c>
      <c r="I373" s="5">
        <v>48500</v>
      </c>
      <c r="J373" s="5">
        <v>39600</v>
      </c>
      <c r="K373" s="5">
        <v>33050</v>
      </c>
      <c r="L373" s="5">
        <v>29500</v>
      </c>
      <c r="M373" s="5">
        <v>150650</v>
      </c>
      <c r="N373" s="5">
        <v>548950</v>
      </c>
      <c r="O373" s="5">
        <v>0</v>
      </c>
      <c r="P373" s="5">
        <v>110098.46</v>
      </c>
      <c r="Q373" s="5">
        <v>659048.46</v>
      </c>
      <c r="R373" s="1" t="s">
        <v>1000</v>
      </c>
      <c r="S373" s="1" t="s">
        <v>124</v>
      </c>
      <c r="T373" s="4">
        <v>45292</v>
      </c>
      <c r="U373" s="4">
        <v>45657</v>
      </c>
      <c r="V373" s="1" t="s">
        <v>125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659048.46</v>
      </c>
      <c r="AH373" s="5">
        <v>74309.69</v>
      </c>
      <c r="AI373" s="5">
        <v>0</v>
      </c>
      <c r="AJ373" s="5">
        <v>74855.33</v>
      </c>
      <c r="AK373" s="5">
        <v>0</v>
      </c>
      <c r="AL373" s="5">
        <v>0</v>
      </c>
      <c r="AM373" s="5">
        <v>545.64</v>
      </c>
      <c r="AN373" s="5">
        <v>74309.69</v>
      </c>
      <c r="AO373" s="1" t="s">
        <v>434</v>
      </c>
    </row>
    <row r="374" spans="1:41" x14ac:dyDescent="0.25">
      <c r="A374" s="1">
        <f t="shared" si="2"/>
        <v>358</v>
      </c>
      <c r="B374" s="1" t="s">
        <v>662</v>
      </c>
      <c r="C374" s="1" t="s">
        <v>123</v>
      </c>
      <c r="D374" s="1" t="s">
        <v>815</v>
      </c>
      <c r="E374" s="4">
        <v>45292</v>
      </c>
      <c r="F374" s="4">
        <v>45657</v>
      </c>
      <c r="G374" s="1" t="s">
        <v>125</v>
      </c>
      <c r="H374" s="5">
        <v>452900.69999999995</v>
      </c>
      <c r="I374" s="5">
        <v>26217.26</v>
      </c>
      <c r="J374" s="5">
        <v>39600</v>
      </c>
      <c r="K374" s="5">
        <v>24862.7</v>
      </c>
      <c r="L374" s="5">
        <v>17450</v>
      </c>
      <c r="M374" s="5">
        <v>108129.96</v>
      </c>
      <c r="N374" s="5">
        <v>289744.38</v>
      </c>
      <c r="O374" s="5">
        <v>0</v>
      </c>
      <c r="P374" s="5">
        <v>55026.36</v>
      </c>
      <c r="Q374" s="5">
        <v>344770.74</v>
      </c>
      <c r="R374" s="1" t="s">
        <v>1001</v>
      </c>
      <c r="S374" s="1" t="s">
        <v>124</v>
      </c>
      <c r="T374" s="4">
        <v>45292</v>
      </c>
      <c r="U374" s="4">
        <v>45657</v>
      </c>
      <c r="V374" s="1" t="s">
        <v>125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344770.74</v>
      </c>
      <c r="AH374" s="5">
        <v>14215.61</v>
      </c>
      <c r="AI374" s="5">
        <v>0</v>
      </c>
      <c r="AJ374" s="5">
        <v>16334.24</v>
      </c>
      <c r="AK374" s="5">
        <v>0</v>
      </c>
      <c r="AL374" s="5">
        <v>0</v>
      </c>
      <c r="AM374" s="5">
        <v>2118.63</v>
      </c>
      <c r="AN374" s="5">
        <v>14215.61</v>
      </c>
      <c r="AO374" s="1" t="s">
        <v>434</v>
      </c>
    </row>
    <row r="375" spans="1:41" x14ac:dyDescent="0.25">
      <c r="A375" s="1">
        <f t="shared" si="2"/>
        <v>359</v>
      </c>
      <c r="B375" s="1" t="s">
        <v>663</v>
      </c>
      <c r="C375" s="1" t="s">
        <v>123</v>
      </c>
      <c r="D375" s="1" t="s">
        <v>815</v>
      </c>
      <c r="E375" s="4">
        <v>45292</v>
      </c>
      <c r="F375" s="4">
        <v>45657</v>
      </c>
      <c r="G375" s="1" t="s">
        <v>125</v>
      </c>
      <c r="H375" s="5">
        <v>192097.42</v>
      </c>
      <c r="I375" s="5">
        <v>11250</v>
      </c>
      <c r="J375" s="5">
        <v>19800</v>
      </c>
      <c r="K375" s="5">
        <v>11337.5</v>
      </c>
      <c r="L375" s="5">
        <v>8375</v>
      </c>
      <c r="M375" s="5">
        <v>50762.5</v>
      </c>
      <c r="N375" s="5">
        <v>123662.5</v>
      </c>
      <c r="O375" s="5">
        <v>0</v>
      </c>
      <c r="P375" s="5">
        <v>17672.419999999998</v>
      </c>
      <c r="Q375" s="5">
        <v>141334.92000000001</v>
      </c>
      <c r="R375" s="1" t="s">
        <v>1002</v>
      </c>
      <c r="S375" s="1" t="s">
        <v>124</v>
      </c>
      <c r="T375" s="4">
        <v>45292</v>
      </c>
      <c r="U375" s="4">
        <v>45657</v>
      </c>
      <c r="V375" s="1" t="s">
        <v>125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141334.92000000001</v>
      </c>
      <c r="AH375" s="5">
        <v>0</v>
      </c>
      <c r="AI375" s="5">
        <v>0</v>
      </c>
      <c r="AJ375" s="5">
        <v>2502.0300000000002</v>
      </c>
      <c r="AK375" s="5">
        <v>0</v>
      </c>
      <c r="AL375" s="5">
        <v>0</v>
      </c>
      <c r="AM375" s="5">
        <v>2502.0300000000002</v>
      </c>
      <c r="AN375" s="5">
        <v>0</v>
      </c>
      <c r="AO375" s="1" t="s">
        <v>434</v>
      </c>
    </row>
    <row r="376" spans="1:41" x14ac:dyDescent="0.25">
      <c r="A376" s="1">
        <f t="shared" si="2"/>
        <v>360</v>
      </c>
      <c r="B376" s="1" t="s">
        <v>664</v>
      </c>
      <c r="C376" s="1" t="s">
        <v>123</v>
      </c>
      <c r="D376" s="1" t="s">
        <v>815</v>
      </c>
      <c r="E376" s="4">
        <v>45292</v>
      </c>
      <c r="F376" s="4">
        <v>45657</v>
      </c>
      <c r="G376" s="1" t="s">
        <v>125</v>
      </c>
      <c r="H376" s="5">
        <v>1237630.82</v>
      </c>
      <c r="I376" s="5">
        <v>80000</v>
      </c>
      <c r="J376" s="5">
        <v>33300</v>
      </c>
      <c r="K376" s="5">
        <v>42500</v>
      </c>
      <c r="L376" s="5">
        <v>23600</v>
      </c>
      <c r="M376" s="5">
        <v>179400</v>
      </c>
      <c r="N376" s="5">
        <v>917500</v>
      </c>
      <c r="O376" s="5">
        <v>0</v>
      </c>
      <c r="P376" s="5">
        <v>140730.82</v>
      </c>
      <c r="Q376" s="5">
        <v>1058230.82</v>
      </c>
      <c r="R376" s="1" t="s">
        <v>1003</v>
      </c>
      <c r="S376" s="1" t="s">
        <v>124</v>
      </c>
      <c r="T376" s="4">
        <v>45292</v>
      </c>
      <c r="U376" s="4">
        <v>45657</v>
      </c>
      <c r="V376" s="1" t="s">
        <v>125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1058230.82</v>
      </c>
      <c r="AH376" s="5">
        <v>167057.71</v>
      </c>
      <c r="AI376" s="5">
        <v>0</v>
      </c>
      <c r="AJ376" s="5">
        <v>167056.53</v>
      </c>
      <c r="AK376" s="5">
        <v>0</v>
      </c>
      <c r="AL376" s="5">
        <v>1.18</v>
      </c>
      <c r="AM376" s="5">
        <v>0</v>
      </c>
      <c r="AN376" s="5">
        <v>167057.71</v>
      </c>
      <c r="AO376" s="1" t="s">
        <v>434</v>
      </c>
    </row>
    <row r="377" spans="1:41" x14ac:dyDescent="0.25">
      <c r="A377" s="1">
        <f t="shared" si="2"/>
        <v>361</v>
      </c>
      <c r="B377" s="1" t="s">
        <v>665</v>
      </c>
      <c r="C377" s="1" t="s">
        <v>123</v>
      </c>
      <c r="D377" s="1" t="s">
        <v>815</v>
      </c>
      <c r="E377" s="4">
        <v>45292</v>
      </c>
      <c r="F377" s="4">
        <v>45657</v>
      </c>
      <c r="G377" s="1" t="s">
        <v>125</v>
      </c>
      <c r="H377" s="5">
        <v>1324406.8999999999</v>
      </c>
      <c r="I377" s="5">
        <v>85000</v>
      </c>
      <c r="J377" s="5">
        <v>33300</v>
      </c>
      <c r="K377" s="5">
        <v>44000</v>
      </c>
      <c r="L377" s="5">
        <v>0</v>
      </c>
      <c r="M377" s="5">
        <v>162300</v>
      </c>
      <c r="N377" s="5">
        <v>1034620.69</v>
      </c>
      <c r="O377" s="5">
        <v>0</v>
      </c>
      <c r="P377" s="5">
        <v>127486.21</v>
      </c>
      <c r="Q377" s="5">
        <v>1162106.8999999999</v>
      </c>
      <c r="R377" s="1" t="s">
        <v>1004</v>
      </c>
      <c r="S377" s="1" t="s">
        <v>124</v>
      </c>
      <c r="T377" s="4">
        <v>45292</v>
      </c>
      <c r="U377" s="4">
        <v>45657</v>
      </c>
      <c r="V377" s="1" t="s">
        <v>125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1162106.8999999999</v>
      </c>
      <c r="AH377" s="5">
        <v>193026.73</v>
      </c>
      <c r="AI377" s="5">
        <v>0</v>
      </c>
      <c r="AJ377" s="5">
        <v>195609.17</v>
      </c>
      <c r="AK377" s="5">
        <v>0</v>
      </c>
      <c r="AL377" s="5">
        <v>0</v>
      </c>
      <c r="AM377" s="5">
        <v>2582.4499999999998</v>
      </c>
      <c r="AN377" s="5">
        <v>193026.73</v>
      </c>
      <c r="AO377" s="1" t="s">
        <v>434</v>
      </c>
    </row>
    <row r="378" spans="1:41" x14ac:dyDescent="0.25">
      <c r="A378" s="1">
        <f t="shared" si="2"/>
        <v>362</v>
      </c>
      <c r="B378" s="1" t="s">
        <v>666</v>
      </c>
      <c r="C378" s="1" t="s">
        <v>123</v>
      </c>
      <c r="D378" s="1" t="s">
        <v>815</v>
      </c>
      <c r="E378" s="4">
        <v>45292</v>
      </c>
      <c r="F378" s="4">
        <v>45657</v>
      </c>
      <c r="G378" s="1" t="s">
        <v>125</v>
      </c>
      <c r="H378" s="5">
        <v>885925</v>
      </c>
      <c r="I378" s="5">
        <v>65000</v>
      </c>
      <c r="J378" s="5">
        <v>28050</v>
      </c>
      <c r="K378" s="5">
        <v>38000</v>
      </c>
      <c r="L378" s="5">
        <v>12875</v>
      </c>
      <c r="M378" s="5">
        <v>143925</v>
      </c>
      <c r="N378" s="5">
        <v>742000</v>
      </c>
      <c r="O378" s="5">
        <v>0</v>
      </c>
      <c r="P378" s="5">
        <v>0</v>
      </c>
      <c r="Q378" s="5">
        <v>742000</v>
      </c>
      <c r="R378" s="1" t="s">
        <v>1005</v>
      </c>
      <c r="S378" s="1" t="s">
        <v>124</v>
      </c>
      <c r="T378" s="4">
        <v>45292</v>
      </c>
      <c r="U378" s="4">
        <v>45657</v>
      </c>
      <c r="V378" s="1" t="s">
        <v>125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742000</v>
      </c>
      <c r="AH378" s="5">
        <v>90900</v>
      </c>
      <c r="AI378" s="5">
        <v>0</v>
      </c>
      <c r="AJ378" s="5">
        <v>90898.4</v>
      </c>
      <c r="AK378" s="5">
        <v>0</v>
      </c>
      <c r="AL378" s="5">
        <v>1.6</v>
      </c>
      <c r="AM378" s="5">
        <v>0</v>
      </c>
      <c r="AN378" s="5">
        <v>90900</v>
      </c>
      <c r="AO378" s="1" t="s">
        <v>434</v>
      </c>
    </row>
    <row r="379" spans="1:41" x14ac:dyDescent="0.25">
      <c r="A379" s="1">
        <f t="shared" si="2"/>
        <v>363</v>
      </c>
      <c r="B379" s="1" t="s">
        <v>667</v>
      </c>
      <c r="C379" s="1" t="s">
        <v>123</v>
      </c>
      <c r="D379" s="1" t="s">
        <v>815</v>
      </c>
      <c r="E379" s="4">
        <v>45292</v>
      </c>
      <c r="F379" s="4">
        <v>45657</v>
      </c>
      <c r="G379" s="1" t="s">
        <v>125</v>
      </c>
      <c r="H379" s="5">
        <v>1183602.42</v>
      </c>
      <c r="I379" s="5">
        <v>85672.92</v>
      </c>
      <c r="J379" s="5">
        <v>33300</v>
      </c>
      <c r="K379" s="5">
        <v>44201.87</v>
      </c>
      <c r="L379" s="5">
        <v>11000</v>
      </c>
      <c r="M379" s="5">
        <v>174174.79</v>
      </c>
      <c r="N379" s="5">
        <v>983873.13</v>
      </c>
      <c r="O379" s="5">
        <v>0</v>
      </c>
      <c r="P379" s="5">
        <v>25554.5</v>
      </c>
      <c r="Q379" s="5">
        <v>1009427.63</v>
      </c>
      <c r="R379" s="1" t="s">
        <v>1006</v>
      </c>
      <c r="S379" s="1" t="s">
        <v>124</v>
      </c>
      <c r="T379" s="4">
        <v>45292</v>
      </c>
      <c r="U379" s="4">
        <v>45657</v>
      </c>
      <c r="V379" s="1" t="s">
        <v>125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1009427.63</v>
      </c>
      <c r="AH379" s="5">
        <v>154856.91</v>
      </c>
      <c r="AI379" s="5">
        <v>0</v>
      </c>
      <c r="AJ379" s="5">
        <v>154855.78</v>
      </c>
      <c r="AK379" s="5">
        <v>0</v>
      </c>
      <c r="AL379" s="5">
        <v>1.1299999999999999</v>
      </c>
      <c r="AM379" s="5">
        <v>0</v>
      </c>
      <c r="AN379" s="5">
        <v>154856.91</v>
      </c>
      <c r="AO379" s="1" t="s">
        <v>434</v>
      </c>
    </row>
    <row r="380" spans="1:41" x14ac:dyDescent="0.25">
      <c r="A380" s="1">
        <f t="shared" si="2"/>
        <v>364</v>
      </c>
      <c r="B380" s="1" t="s">
        <v>668</v>
      </c>
      <c r="C380" s="1" t="s">
        <v>123</v>
      </c>
      <c r="D380" s="1" t="s">
        <v>815</v>
      </c>
      <c r="E380" s="4">
        <v>45292</v>
      </c>
      <c r="F380" s="4">
        <v>45657</v>
      </c>
      <c r="G380" s="1" t="s">
        <v>125</v>
      </c>
      <c r="H380" s="5">
        <v>1058365.3900000001</v>
      </c>
      <c r="I380" s="5">
        <v>69568.75</v>
      </c>
      <c r="J380" s="5">
        <v>28050</v>
      </c>
      <c r="K380" s="5">
        <v>39370.620000000003</v>
      </c>
      <c r="L380" s="5">
        <v>5850</v>
      </c>
      <c r="M380" s="5">
        <v>142839.37</v>
      </c>
      <c r="N380" s="5">
        <v>795454.38</v>
      </c>
      <c r="O380" s="5">
        <v>0</v>
      </c>
      <c r="P380" s="5">
        <v>120071.64</v>
      </c>
      <c r="Q380" s="5">
        <v>915526.02</v>
      </c>
      <c r="R380" s="1" t="s">
        <v>1007</v>
      </c>
      <c r="S380" s="1" t="s">
        <v>124</v>
      </c>
      <c r="T380" s="4">
        <v>45292</v>
      </c>
      <c r="U380" s="4">
        <v>45657</v>
      </c>
      <c r="V380" s="1" t="s">
        <v>125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915526.02</v>
      </c>
      <c r="AH380" s="5">
        <v>131381.51</v>
      </c>
      <c r="AI380" s="5">
        <v>0</v>
      </c>
      <c r="AJ380" s="5">
        <v>131573.35</v>
      </c>
      <c r="AK380" s="5">
        <v>0</v>
      </c>
      <c r="AL380" s="5">
        <v>0</v>
      </c>
      <c r="AM380" s="5">
        <v>191.85</v>
      </c>
      <c r="AN380" s="5">
        <v>131381.51</v>
      </c>
      <c r="AO380" s="1" t="s">
        <v>434</v>
      </c>
    </row>
    <row r="381" spans="1:41" x14ac:dyDescent="0.25">
      <c r="A381" s="1">
        <f t="shared" si="2"/>
        <v>365</v>
      </c>
      <c r="B381" s="1" t="s">
        <v>669</v>
      </c>
      <c r="C381" s="1" t="s">
        <v>123</v>
      </c>
      <c r="D381" s="1" t="s">
        <v>815</v>
      </c>
      <c r="E381" s="4">
        <v>45292</v>
      </c>
      <c r="F381" s="4">
        <v>45657</v>
      </c>
      <c r="G381" s="1" t="s">
        <v>125</v>
      </c>
      <c r="H381" s="5">
        <v>4194125</v>
      </c>
      <c r="I381" s="5">
        <v>90000</v>
      </c>
      <c r="J381" s="5">
        <v>36000</v>
      </c>
      <c r="K381" s="5">
        <v>48500</v>
      </c>
      <c r="L381" s="5">
        <v>0</v>
      </c>
      <c r="M381" s="5">
        <v>174500</v>
      </c>
      <c r="N381" s="5">
        <v>3679000</v>
      </c>
      <c r="O381" s="5">
        <v>220625</v>
      </c>
      <c r="P381" s="5">
        <v>120000</v>
      </c>
      <c r="Q381" s="5">
        <v>4019625</v>
      </c>
      <c r="R381" s="1" t="s">
        <v>1008</v>
      </c>
      <c r="S381" s="1" t="s">
        <v>124</v>
      </c>
      <c r="T381" s="4">
        <v>45292</v>
      </c>
      <c r="U381" s="4">
        <v>45657</v>
      </c>
      <c r="V381" s="1" t="s">
        <v>125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4019625</v>
      </c>
      <c r="AH381" s="5">
        <v>1008387.5</v>
      </c>
      <c r="AI381" s="5">
        <v>0</v>
      </c>
      <c r="AJ381" s="5">
        <v>1008386.7</v>
      </c>
      <c r="AK381" s="5">
        <v>0</v>
      </c>
      <c r="AL381" s="5">
        <v>0.8</v>
      </c>
      <c r="AM381" s="5">
        <v>0</v>
      </c>
      <c r="AN381" s="5">
        <v>1008387.5</v>
      </c>
      <c r="AO381" s="1" t="s">
        <v>434</v>
      </c>
    </row>
    <row r="382" spans="1:41" x14ac:dyDescent="0.25">
      <c r="A382" s="1">
        <f t="shared" si="2"/>
        <v>366</v>
      </c>
      <c r="B382" s="1" t="s">
        <v>670</v>
      </c>
      <c r="C382" s="1" t="s">
        <v>123</v>
      </c>
      <c r="D382" s="1" t="s">
        <v>815</v>
      </c>
      <c r="E382" s="4">
        <v>45292</v>
      </c>
      <c r="F382" s="4">
        <v>45657</v>
      </c>
      <c r="G382" s="1" t="s">
        <v>125</v>
      </c>
      <c r="H382" s="5">
        <v>694775</v>
      </c>
      <c r="I382" s="5">
        <v>50000</v>
      </c>
      <c r="J382" s="5">
        <v>28050</v>
      </c>
      <c r="K382" s="5">
        <v>33500</v>
      </c>
      <c r="L382" s="5">
        <v>16725</v>
      </c>
      <c r="M382" s="5">
        <v>128275</v>
      </c>
      <c r="N382" s="5">
        <v>566500</v>
      </c>
      <c r="O382" s="5">
        <v>0</v>
      </c>
      <c r="P382" s="5">
        <v>0</v>
      </c>
      <c r="Q382" s="5">
        <v>566500</v>
      </c>
      <c r="R382" s="1" t="s">
        <v>1009</v>
      </c>
      <c r="S382" s="1" t="s">
        <v>124</v>
      </c>
      <c r="T382" s="4">
        <v>45292</v>
      </c>
      <c r="U382" s="4">
        <v>45657</v>
      </c>
      <c r="V382" s="1" t="s">
        <v>125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566500</v>
      </c>
      <c r="AH382" s="5">
        <v>55800</v>
      </c>
      <c r="AI382" s="5">
        <v>0</v>
      </c>
      <c r="AJ382" s="5">
        <v>55798.400000000001</v>
      </c>
      <c r="AK382" s="5">
        <v>0</v>
      </c>
      <c r="AL382" s="5">
        <v>1.6</v>
      </c>
      <c r="AM382" s="5">
        <v>0</v>
      </c>
      <c r="AN382" s="5">
        <v>55800</v>
      </c>
      <c r="AO382" s="1" t="s">
        <v>434</v>
      </c>
    </row>
    <row r="383" spans="1:41" x14ac:dyDescent="0.25">
      <c r="A383" s="1">
        <f t="shared" si="2"/>
        <v>367</v>
      </c>
      <c r="B383" s="1" t="s">
        <v>671</v>
      </c>
      <c r="C383" s="1" t="s">
        <v>123</v>
      </c>
      <c r="D383" s="1" t="s">
        <v>815</v>
      </c>
      <c r="E383" s="4">
        <v>45292</v>
      </c>
      <c r="F383" s="4">
        <v>45657</v>
      </c>
      <c r="G383" s="1" t="s">
        <v>125</v>
      </c>
      <c r="H383" s="5">
        <v>2163062.5</v>
      </c>
      <c r="I383" s="5">
        <v>90000</v>
      </c>
      <c r="J383" s="5">
        <v>24000</v>
      </c>
      <c r="K383" s="5">
        <v>48500</v>
      </c>
      <c r="L383" s="5">
        <v>0</v>
      </c>
      <c r="M383" s="5">
        <v>162500</v>
      </c>
      <c r="N383" s="5">
        <v>1815250</v>
      </c>
      <c r="O383" s="5">
        <v>65312.5</v>
      </c>
      <c r="P383" s="5">
        <v>120000</v>
      </c>
      <c r="Q383" s="5">
        <v>2000562.5</v>
      </c>
      <c r="R383" s="1" t="s">
        <v>1010</v>
      </c>
      <c r="S383" s="1" t="s">
        <v>124</v>
      </c>
      <c r="T383" s="4">
        <v>45292</v>
      </c>
      <c r="U383" s="4">
        <v>45657</v>
      </c>
      <c r="V383" s="1" t="s">
        <v>125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2000562.5</v>
      </c>
      <c r="AH383" s="5">
        <v>402668.75</v>
      </c>
      <c r="AI383" s="5">
        <v>0</v>
      </c>
      <c r="AJ383" s="5">
        <v>402639.43</v>
      </c>
      <c r="AK383" s="5">
        <v>0</v>
      </c>
      <c r="AL383" s="5">
        <v>29.32</v>
      </c>
      <c r="AM383" s="5">
        <v>0</v>
      </c>
      <c r="AN383" s="5">
        <v>402668.75</v>
      </c>
      <c r="AO383" s="1" t="s">
        <v>434</v>
      </c>
    </row>
    <row r="384" spans="1:41" x14ac:dyDescent="0.25">
      <c r="A384" s="1">
        <f t="shared" si="2"/>
        <v>368</v>
      </c>
      <c r="B384" s="1" t="s">
        <v>672</v>
      </c>
      <c r="C384" s="1" t="s">
        <v>123</v>
      </c>
      <c r="D384" s="1" t="s">
        <v>815</v>
      </c>
      <c r="E384" s="4">
        <v>45292</v>
      </c>
      <c r="F384" s="4">
        <v>45657</v>
      </c>
      <c r="G384" s="1" t="s">
        <v>125</v>
      </c>
      <c r="H384" s="5">
        <v>434400</v>
      </c>
      <c r="I384" s="5">
        <v>30000</v>
      </c>
      <c r="J384" s="5">
        <v>28050</v>
      </c>
      <c r="K384" s="5">
        <v>27500</v>
      </c>
      <c r="L384" s="5">
        <v>16350</v>
      </c>
      <c r="M384" s="5">
        <v>101900</v>
      </c>
      <c r="N384" s="5">
        <v>332500</v>
      </c>
      <c r="O384" s="5">
        <v>0</v>
      </c>
      <c r="P384" s="5">
        <v>0</v>
      </c>
      <c r="Q384" s="5">
        <v>332500</v>
      </c>
      <c r="R384" s="1" t="s">
        <v>1011</v>
      </c>
      <c r="S384" s="1" t="s">
        <v>124</v>
      </c>
      <c r="T384" s="4">
        <v>45292</v>
      </c>
      <c r="U384" s="4">
        <v>45657</v>
      </c>
      <c r="V384" s="1" t="s">
        <v>125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332500</v>
      </c>
      <c r="AH384" s="5">
        <v>12375</v>
      </c>
      <c r="AI384" s="5">
        <v>0</v>
      </c>
      <c r="AJ384" s="5">
        <v>12373.78</v>
      </c>
      <c r="AK384" s="5">
        <v>0</v>
      </c>
      <c r="AL384" s="5">
        <v>1.22</v>
      </c>
      <c r="AM384" s="5">
        <v>0</v>
      </c>
      <c r="AN384" s="5">
        <v>12375</v>
      </c>
      <c r="AO384" s="1" t="s">
        <v>434</v>
      </c>
    </row>
    <row r="385" spans="1:41" x14ac:dyDescent="0.25">
      <c r="A385" s="1">
        <f t="shared" si="2"/>
        <v>369</v>
      </c>
      <c r="B385" s="1" t="s">
        <v>673</v>
      </c>
      <c r="C385" s="1" t="s">
        <v>123</v>
      </c>
      <c r="D385" s="1" t="s">
        <v>815</v>
      </c>
      <c r="E385" s="4">
        <v>45292</v>
      </c>
      <c r="F385" s="4">
        <v>45657</v>
      </c>
      <c r="G385" s="1" t="s">
        <v>125</v>
      </c>
      <c r="H385" s="5">
        <v>434637.07</v>
      </c>
      <c r="I385" s="5">
        <v>30000</v>
      </c>
      <c r="J385" s="5">
        <v>28050</v>
      </c>
      <c r="K385" s="5">
        <v>27500</v>
      </c>
      <c r="L385" s="5">
        <v>16575</v>
      </c>
      <c r="M385" s="5">
        <v>102125</v>
      </c>
      <c r="N385" s="5">
        <v>332500</v>
      </c>
      <c r="O385" s="5">
        <v>0</v>
      </c>
      <c r="P385" s="5">
        <v>12.07</v>
      </c>
      <c r="Q385" s="5">
        <v>332512.07</v>
      </c>
      <c r="R385" s="1" t="s">
        <v>1012</v>
      </c>
      <c r="S385" s="1" t="s">
        <v>124</v>
      </c>
      <c r="T385" s="4">
        <v>45292</v>
      </c>
      <c r="U385" s="4">
        <v>45657</v>
      </c>
      <c r="V385" s="1" t="s">
        <v>125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332512.07</v>
      </c>
      <c r="AH385" s="5">
        <v>12376.81</v>
      </c>
      <c r="AI385" s="5">
        <v>0</v>
      </c>
      <c r="AJ385" s="5">
        <v>12375.59</v>
      </c>
      <c r="AK385" s="5">
        <v>0</v>
      </c>
      <c r="AL385" s="5">
        <v>1.22</v>
      </c>
      <c r="AM385" s="5">
        <v>0</v>
      </c>
      <c r="AN385" s="5">
        <v>12376.81</v>
      </c>
      <c r="AO385" s="1" t="s">
        <v>434</v>
      </c>
    </row>
    <row r="386" spans="1:41" x14ac:dyDescent="0.25">
      <c r="A386" s="1">
        <f t="shared" si="2"/>
        <v>370</v>
      </c>
      <c r="B386" s="1" t="s">
        <v>674</v>
      </c>
      <c r="C386" s="1" t="s">
        <v>123</v>
      </c>
      <c r="D386" s="1" t="s">
        <v>815</v>
      </c>
      <c r="E386" s="4">
        <v>45292</v>
      </c>
      <c r="F386" s="4">
        <v>45657</v>
      </c>
      <c r="G386" s="1" t="s">
        <v>125</v>
      </c>
      <c r="H386" s="5">
        <v>459424.49</v>
      </c>
      <c r="I386" s="5">
        <v>30000</v>
      </c>
      <c r="J386" s="5">
        <v>28050</v>
      </c>
      <c r="K386" s="5">
        <v>27500</v>
      </c>
      <c r="L386" s="5">
        <v>13050</v>
      </c>
      <c r="M386" s="5">
        <v>98600</v>
      </c>
      <c r="N386" s="5">
        <v>332500</v>
      </c>
      <c r="O386" s="5">
        <v>0</v>
      </c>
      <c r="P386" s="5">
        <v>28324.49</v>
      </c>
      <c r="Q386" s="5">
        <v>360824.49</v>
      </c>
      <c r="R386" s="1" t="s">
        <v>1013</v>
      </c>
      <c r="S386" s="1" t="s">
        <v>124</v>
      </c>
      <c r="T386" s="4">
        <v>45292</v>
      </c>
      <c r="U386" s="4">
        <v>45657</v>
      </c>
      <c r="V386" s="1" t="s">
        <v>125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360824.49</v>
      </c>
      <c r="AH386" s="5">
        <v>16623.669999999998</v>
      </c>
      <c r="AI386" s="5">
        <v>0</v>
      </c>
      <c r="AJ386" s="5">
        <v>16527.72</v>
      </c>
      <c r="AK386" s="5">
        <v>0</v>
      </c>
      <c r="AL386" s="5">
        <v>95.95</v>
      </c>
      <c r="AM386" s="5">
        <v>0</v>
      </c>
      <c r="AN386" s="5">
        <v>16623.669999999998</v>
      </c>
      <c r="AO386" s="1" t="s">
        <v>434</v>
      </c>
    </row>
    <row r="387" spans="1:41" x14ac:dyDescent="0.25">
      <c r="A387" s="1">
        <f t="shared" si="2"/>
        <v>371</v>
      </c>
      <c r="B387" s="1" t="s">
        <v>675</v>
      </c>
      <c r="C387" s="1" t="s">
        <v>123</v>
      </c>
      <c r="D387" s="1" t="s">
        <v>815</v>
      </c>
      <c r="E387" s="4">
        <v>45292</v>
      </c>
      <c r="F387" s="4">
        <v>45657</v>
      </c>
      <c r="G387" s="1" t="s">
        <v>125</v>
      </c>
      <c r="H387" s="5">
        <v>449859.36</v>
      </c>
      <c r="I387" s="5">
        <v>30850</v>
      </c>
      <c r="J387" s="5">
        <v>28050</v>
      </c>
      <c r="K387" s="5">
        <v>27755</v>
      </c>
      <c r="L387" s="5">
        <v>17700</v>
      </c>
      <c r="M387" s="5">
        <v>104355</v>
      </c>
      <c r="N387" s="5">
        <v>342445</v>
      </c>
      <c r="O387" s="5">
        <v>0</v>
      </c>
      <c r="P387" s="5">
        <v>3059.36</v>
      </c>
      <c r="Q387" s="5">
        <v>345504.36</v>
      </c>
      <c r="R387" s="1" t="s">
        <v>1014</v>
      </c>
      <c r="S387" s="1" t="s">
        <v>124</v>
      </c>
      <c r="T387" s="4">
        <v>45292</v>
      </c>
      <c r="U387" s="4">
        <v>45657</v>
      </c>
      <c r="V387" s="1" t="s">
        <v>125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345504.36</v>
      </c>
      <c r="AH387" s="5">
        <v>14325.65</v>
      </c>
      <c r="AI387" s="5">
        <v>0</v>
      </c>
      <c r="AJ387" s="5">
        <v>14371.97</v>
      </c>
      <c r="AK387" s="5">
        <v>0</v>
      </c>
      <c r="AL387" s="5">
        <v>0</v>
      </c>
      <c r="AM387" s="5">
        <v>46.32</v>
      </c>
      <c r="AN387" s="5">
        <v>14325.65</v>
      </c>
      <c r="AO387" s="1" t="s">
        <v>434</v>
      </c>
    </row>
    <row r="388" spans="1:41" x14ac:dyDescent="0.25">
      <c r="A388" s="1">
        <f t="shared" si="2"/>
        <v>372</v>
      </c>
      <c r="B388" s="1" t="s">
        <v>676</v>
      </c>
      <c r="C388" s="1" t="s">
        <v>123</v>
      </c>
      <c r="D388" s="1" t="s">
        <v>815</v>
      </c>
      <c r="E388" s="4">
        <v>45292</v>
      </c>
      <c r="F388" s="4">
        <v>45657</v>
      </c>
      <c r="G388" s="1" t="s">
        <v>125</v>
      </c>
      <c r="H388" s="5">
        <v>463416.73</v>
      </c>
      <c r="I388" s="5">
        <v>29885.06</v>
      </c>
      <c r="J388" s="5">
        <v>28050</v>
      </c>
      <c r="K388" s="5">
        <v>27500</v>
      </c>
      <c r="L388" s="5">
        <v>15150</v>
      </c>
      <c r="M388" s="5">
        <v>100585.06</v>
      </c>
      <c r="N388" s="5">
        <v>331120.69</v>
      </c>
      <c r="O388" s="5">
        <v>0</v>
      </c>
      <c r="P388" s="5">
        <v>31710.98</v>
      </c>
      <c r="Q388" s="5">
        <v>362831.67</v>
      </c>
      <c r="R388" s="1" t="s">
        <v>1015</v>
      </c>
      <c r="S388" s="1" t="s">
        <v>124</v>
      </c>
      <c r="T388" s="4">
        <v>45292</v>
      </c>
      <c r="U388" s="4">
        <v>45657</v>
      </c>
      <c r="V388" s="1" t="s">
        <v>125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362831.67</v>
      </c>
      <c r="AH388" s="5">
        <v>16924.75</v>
      </c>
      <c r="AI388" s="5">
        <v>0</v>
      </c>
      <c r="AJ388" s="5">
        <v>16885.45</v>
      </c>
      <c r="AK388" s="5">
        <v>0</v>
      </c>
      <c r="AL388" s="5">
        <v>39.299999999999997</v>
      </c>
      <c r="AM388" s="5">
        <v>0</v>
      </c>
      <c r="AN388" s="5">
        <v>16924.75</v>
      </c>
      <c r="AO388" s="1" t="s">
        <v>434</v>
      </c>
    </row>
    <row r="389" spans="1:41" x14ac:dyDescent="0.25">
      <c r="A389" s="1">
        <f t="shared" si="2"/>
        <v>373</v>
      </c>
      <c r="B389" s="1" t="s">
        <v>677</v>
      </c>
      <c r="C389" s="1" t="s">
        <v>123</v>
      </c>
      <c r="D389" s="1" t="s">
        <v>815</v>
      </c>
      <c r="E389" s="4">
        <v>45292</v>
      </c>
      <c r="F389" s="4">
        <v>45657</v>
      </c>
      <c r="G389" s="1" t="s">
        <v>125</v>
      </c>
      <c r="H389" s="5">
        <v>445468.98</v>
      </c>
      <c r="I389" s="5">
        <v>30000</v>
      </c>
      <c r="J389" s="5">
        <v>28050</v>
      </c>
      <c r="K389" s="5">
        <v>27500</v>
      </c>
      <c r="L389" s="5">
        <v>15975</v>
      </c>
      <c r="M389" s="5">
        <v>101525</v>
      </c>
      <c r="N389" s="5">
        <v>332500</v>
      </c>
      <c r="O389" s="5">
        <v>0</v>
      </c>
      <c r="P389" s="5">
        <v>11443.98</v>
      </c>
      <c r="Q389" s="5">
        <v>343943.98</v>
      </c>
      <c r="R389" s="1" t="s">
        <v>1016</v>
      </c>
      <c r="S389" s="1" t="s">
        <v>124</v>
      </c>
      <c r="T389" s="4">
        <v>45292</v>
      </c>
      <c r="U389" s="4">
        <v>45657</v>
      </c>
      <c r="V389" s="1" t="s">
        <v>125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343943.98</v>
      </c>
      <c r="AH389" s="5">
        <v>14091.6</v>
      </c>
      <c r="AI389" s="5">
        <v>0</v>
      </c>
      <c r="AJ389" s="5">
        <v>14090.4</v>
      </c>
      <c r="AK389" s="5">
        <v>0</v>
      </c>
      <c r="AL389" s="5">
        <v>1.2</v>
      </c>
      <c r="AM389" s="5">
        <v>0</v>
      </c>
      <c r="AN389" s="5">
        <v>14091.6</v>
      </c>
      <c r="AO389" s="1" t="s">
        <v>434</v>
      </c>
    </row>
    <row r="390" spans="1:41" x14ac:dyDescent="0.25">
      <c r="A390" s="1">
        <f t="shared" si="2"/>
        <v>374</v>
      </c>
      <c r="B390" s="1" t="s">
        <v>678</v>
      </c>
      <c r="C390" s="1" t="s">
        <v>123</v>
      </c>
      <c r="D390" s="1" t="s">
        <v>815</v>
      </c>
      <c r="E390" s="4">
        <v>45292</v>
      </c>
      <c r="F390" s="4">
        <v>45657</v>
      </c>
      <c r="G390" s="1" t="s">
        <v>125</v>
      </c>
      <c r="H390" s="5">
        <v>731882.39</v>
      </c>
      <c r="I390" s="5">
        <v>50000</v>
      </c>
      <c r="J390" s="5">
        <v>28050</v>
      </c>
      <c r="K390" s="5">
        <v>33500</v>
      </c>
      <c r="L390" s="5">
        <v>17850</v>
      </c>
      <c r="M390" s="5">
        <v>129400</v>
      </c>
      <c r="N390" s="5">
        <v>566500</v>
      </c>
      <c r="O390" s="5">
        <v>0</v>
      </c>
      <c r="P390" s="5">
        <v>35982.39</v>
      </c>
      <c r="Q390" s="5">
        <v>602482.39</v>
      </c>
      <c r="R390" s="1" t="s">
        <v>1017</v>
      </c>
      <c r="S390" s="1" t="s">
        <v>124</v>
      </c>
      <c r="T390" s="4">
        <v>45292</v>
      </c>
      <c r="U390" s="4">
        <v>45657</v>
      </c>
      <c r="V390" s="1" t="s">
        <v>125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602482.39</v>
      </c>
      <c r="AH390" s="5">
        <v>62996.480000000003</v>
      </c>
      <c r="AI390" s="5">
        <v>0</v>
      </c>
      <c r="AJ390" s="5">
        <v>62994.87</v>
      </c>
      <c r="AK390" s="5">
        <v>0</v>
      </c>
      <c r="AL390" s="5">
        <v>1.61</v>
      </c>
      <c r="AM390" s="5">
        <v>0</v>
      </c>
      <c r="AN390" s="5">
        <v>62996.480000000003</v>
      </c>
      <c r="AO390" s="1" t="s">
        <v>434</v>
      </c>
    </row>
    <row r="391" spans="1:41" x14ac:dyDescent="0.25">
      <c r="A391" s="1">
        <f t="shared" si="2"/>
        <v>375</v>
      </c>
      <c r="B391" s="1" t="s">
        <v>679</v>
      </c>
      <c r="C391" s="1" t="s">
        <v>123</v>
      </c>
      <c r="D391" s="1" t="s">
        <v>815</v>
      </c>
      <c r="E391" s="4">
        <v>45292</v>
      </c>
      <c r="F391" s="4">
        <v>45657</v>
      </c>
      <c r="G391" s="1" t="s">
        <v>125</v>
      </c>
      <c r="H391" s="5">
        <v>1019101.04</v>
      </c>
      <c r="I391" s="5">
        <v>60000</v>
      </c>
      <c r="J391" s="5">
        <v>28050</v>
      </c>
      <c r="K391" s="5">
        <v>36500</v>
      </c>
      <c r="L391" s="5">
        <v>36625</v>
      </c>
      <c r="M391" s="5">
        <v>161175</v>
      </c>
      <c r="N391" s="5">
        <v>683500</v>
      </c>
      <c r="O391" s="5">
        <v>0</v>
      </c>
      <c r="P391" s="5">
        <v>174426.04</v>
      </c>
      <c r="Q391" s="5">
        <v>857926.04</v>
      </c>
      <c r="R391" s="1" t="s">
        <v>1018</v>
      </c>
      <c r="S391" s="1" t="s">
        <v>124</v>
      </c>
      <c r="T391" s="4">
        <v>45292</v>
      </c>
      <c r="U391" s="4">
        <v>45657</v>
      </c>
      <c r="V391" s="1" t="s">
        <v>125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857926.04</v>
      </c>
      <c r="AH391" s="5">
        <v>116981.51</v>
      </c>
      <c r="AI391" s="5">
        <v>0</v>
      </c>
      <c r="AJ391" s="5">
        <v>118421.86</v>
      </c>
      <c r="AK391" s="5">
        <v>0</v>
      </c>
      <c r="AL391" s="5">
        <v>0</v>
      </c>
      <c r="AM391" s="5">
        <v>1440.35</v>
      </c>
      <c r="AN391" s="5">
        <v>116981.51</v>
      </c>
      <c r="AO391" s="1" t="s">
        <v>434</v>
      </c>
    </row>
    <row r="392" spans="1:41" x14ac:dyDescent="0.25">
      <c r="A392" s="1">
        <f t="shared" si="2"/>
        <v>376</v>
      </c>
      <c r="B392" s="1" t="s">
        <v>680</v>
      </c>
      <c r="C392" s="1" t="s">
        <v>123</v>
      </c>
      <c r="D392" s="1" t="s">
        <v>815</v>
      </c>
      <c r="E392" s="4">
        <v>45292</v>
      </c>
      <c r="F392" s="4">
        <v>45657</v>
      </c>
      <c r="G392" s="1" t="s">
        <v>125</v>
      </c>
      <c r="H392" s="5">
        <v>899303.81</v>
      </c>
      <c r="I392" s="5">
        <v>65000</v>
      </c>
      <c r="J392" s="5">
        <v>28050</v>
      </c>
      <c r="K392" s="5">
        <v>38000</v>
      </c>
      <c r="L392" s="5">
        <v>22775</v>
      </c>
      <c r="M392" s="5">
        <v>153825</v>
      </c>
      <c r="N392" s="5">
        <v>742000</v>
      </c>
      <c r="O392" s="5">
        <v>0</v>
      </c>
      <c r="P392" s="5">
        <v>3478.81</v>
      </c>
      <c r="Q392" s="5">
        <v>745478.81</v>
      </c>
      <c r="R392" s="1" t="s">
        <v>1019</v>
      </c>
      <c r="S392" s="1" t="s">
        <v>124</v>
      </c>
      <c r="T392" s="4">
        <v>45292</v>
      </c>
      <c r="U392" s="4">
        <v>45657</v>
      </c>
      <c r="V392" s="1" t="s">
        <v>125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745478.81</v>
      </c>
      <c r="AH392" s="5">
        <v>91595.76</v>
      </c>
      <c r="AI392" s="5">
        <v>0</v>
      </c>
      <c r="AJ392" s="5">
        <v>91883.06</v>
      </c>
      <c r="AK392" s="5">
        <v>0</v>
      </c>
      <c r="AL392" s="5">
        <v>0</v>
      </c>
      <c r="AM392" s="5">
        <v>287.3</v>
      </c>
      <c r="AN392" s="5">
        <v>91595.76</v>
      </c>
      <c r="AO392" s="1" t="s">
        <v>434</v>
      </c>
    </row>
    <row r="393" spans="1:41" x14ac:dyDescent="0.25">
      <c r="A393" s="1">
        <f t="shared" si="2"/>
        <v>377</v>
      </c>
      <c r="B393" s="1" t="s">
        <v>681</v>
      </c>
      <c r="C393" s="1" t="s">
        <v>123</v>
      </c>
      <c r="D393" s="1" t="s">
        <v>815</v>
      </c>
      <c r="E393" s="4">
        <v>45292</v>
      </c>
      <c r="F393" s="4">
        <v>45657</v>
      </c>
      <c r="G393" s="1" t="s">
        <v>125</v>
      </c>
      <c r="H393" s="5">
        <v>1752001.05</v>
      </c>
      <c r="I393" s="5">
        <v>90000</v>
      </c>
      <c r="J393" s="5">
        <v>18000</v>
      </c>
      <c r="K393" s="5">
        <v>48500</v>
      </c>
      <c r="L393" s="5">
        <v>0</v>
      </c>
      <c r="M393" s="5">
        <v>156500</v>
      </c>
      <c r="N393" s="5">
        <v>1511500</v>
      </c>
      <c r="O393" s="5">
        <v>40000</v>
      </c>
      <c r="P393" s="5">
        <v>44001.05</v>
      </c>
      <c r="Q393" s="5">
        <v>1595501.05</v>
      </c>
      <c r="R393" s="1" t="s">
        <v>1020</v>
      </c>
      <c r="S393" s="1" t="s">
        <v>124</v>
      </c>
      <c r="T393" s="4">
        <v>45292</v>
      </c>
      <c r="U393" s="4">
        <v>45657</v>
      </c>
      <c r="V393" s="1" t="s">
        <v>125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1595501.05</v>
      </c>
      <c r="AH393" s="5">
        <v>301375.26</v>
      </c>
      <c r="AI393" s="5">
        <v>0</v>
      </c>
      <c r="AJ393" s="5">
        <v>301655.51</v>
      </c>
      <c r="AK393" s="5">
        <v>0</v>
      </c>
      <c r="AL393" s="5">
        <v>0</v>
      </c>
      <c r="AM393" s="5">
        <v>280.25</v>
      </c>
      <c r="AN393" s="5">
        <v>301375.26</v>
      </c>
      <c r="AO393" s="1" t="s">
        <v>434</v>
      </c>
    </row>
    <row r="394" spans="1:41" x14ac:dyDescent="0.25">
      <c r="A394" s="1">
        <f t="shared" si="2"/>
        <v>378</v>
      </c>
      <c r="B394" s="1" t="s">
        <v>682</v>
      </c>
      <c r="C394" s="1" t="s">
        <v>123</v>
      </c>
      <c r="D394" s="1" t="s">
        <v>815</v>
      </c>
      <c r="E394" s="4">
        <v>45292</v>
      </c>
      <c r="F394" s="4">
        <v>45657</v>
      </c>
      <c r="G394" s="1" t="s">
        <v>125</v>
      </c>
      <c r="H394" s="5">
        <v>1203300</v>
      </c>
      <c r="I394" s="5">
        <v>90000</v>
      </c>
      <c r="J394" s="5">
        <v>33300</v>
      </c>
      <c r="K394" s="5">
        <v>45500</v>
      </c>
      <c r="L394" s="5">
        <v>0</v>
      </c>
      <c r="M394" s="5">
        <v>168800</v>
      </c>
      <c r="N394" s="5">
        <v>1034500</v>
      </c>
      <c r="O394" s="5">
        <v>0</v>
      </c>
      <c r="P394" s="5">
        <v>0</v>
      </c>
      <c r="Q394" s="5">
        <v>1034500</v>
      </c>
      <c r="R394" s="1" t="s">
        <v>1021</v>
      </c>
      <c r="S394" s="1" t="s">
        <v>124</v>
      </c>
      <c r="T394" s="4">
        <v>45292</v>
      </c>
      <c r="U394" s="4">
        <v>45657</v>
      </c>
      <c r="V394" s="1" t="s">
        <v>125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1034500</v>
      </c>
      <c r="AH394" s="5">
        <v>161125</v>
      </c>
      <c r="AI394" s="5">
        <v>0</v>
      </c>
      <c r="AJ394" s="5">
        <v>161123.79999999999</v>
      </c>
      <c r="AK394" s="5">
        <v>0</v>
      </c>
      <c r="AL394" s="5">
        <v>1.2</v>
      </c>
      <c r="AM394" s="5">
        <v>0</v>
      </c>
      <c r="AN394" s="5">
        <v>161125</v>
      </c>
      <c r="AO394" s="1" t="s">
        <v>434</v>
      </c>
    </row>
    <row r="395" spans="1:41" x14ac:dyDescent="0.25">
      <c r="A395" s="1">
        <f t="shared" si="2"/>
        <v>379</v>
      </c>
      <c r="B395" s="1" t="s">
        <v>683</v>
      </c>
      <c r="C395" s="1" t="s">
        <v>123</v>
      </c>
      <c r="D395" s="1" t="s">
        <v>815</v>
      </c>
      <c r="E395" s="4">
        <v>45292</v>
      </c>
      <c r="F395" s="4">
        <v>45657</v>
      </c>
      <c r="G395" s="1" t="s">
        <v>125</v>
      </c>
      <c r="H395" s="5">
        <v>1100900</v>
      </c>
      <c r="I395" s="5">
        <v>80000</v>
      </c>
      <c r="J395" s="5">
        <v>28050</v>
      </c>
      <c r="K395" s="5">
        <v>42500</v>
      </c>
      <c r="L395" s="5">
        <v>32850</v>
      </c>
      <c r="M395" s="5">
        <v>183400</v>
      </c>
      <c r="N395" s="5">
        <v>917500</v>
      </c>
      <c r="O395" s="5">
        <v>0</v>
      </c>
      <c r="P395" s="5">
        <v>0</v>
      </c>
      <c r="Q395" s="5">
        <v>917500</v>
      </c>
      <c r="R395" s="1" t="s">
        <v>1022</v>
      </c>
      <c r="S395" s="1" t="s">
        <v>124</v>
      </c>
      <c r="T395" s="4">
        <v>45292</v>
      </c>
      <c r="U395" s="4">
        <v>45657</v>
      </c>
      <c r="V395" s="1" t="s">
        <v>125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917500</v>
      </c>
      <c r="AH395" s="5">
        <v>131875</v>
      </c>
      <c r="AI395" s="5">
        <v>0</v>
      </c>
      <c r="AJ395" s="5">
        <v>131873.79999999999</v>
      </c>
      <c r="AK395" s="5">
        <v>0</v>
      </c>
      <c r="AL395" s="5">
        <v>1.2</v>
      </c>
      <c r="AM395" s="5">
        <v>0</v>
      </c>
      <c r="AN395" s="5">
        <v>131875</v>
      </c>
      <c r="AO395" s="1" t="s">
        <v>434</v>
      </c>
    </row>
    <row r="396" spans="1:41" x14ac:dyDescent="0.25">
      <c r="A396" s="1">
        <f t="shared" si="2"/>
        <v>380</v>
      </c>
      <c r="B396" s="1" t="s">
        <v>684</v>
      </c>
      <c r="C396" s="1" t="s">
        <v>123</v>
      </c>
      <c r="D396" s="1" t="s">
        <v>815</v>
      </c>
      <c r="E396" s="4">
        <v>45292</v>
      </c>
      <c r="F396" s="4">
        <v>45657</v>
      </c>
      <c r="G396" s="1" t="s">
        <v>125</v>
      </c>
      <c r="H396" s="5">
        <v>954450</v>
      </c>
      <c r="I396" s="5">
        <v>70850</v>
      </c>
      <c r="J396" s="5">
        <v>33300</v>
      </c>
      <c r="K396" s="5">
        <v>39755</v>
      </c>
      <c r="L396" s="5">
        <v>100</v>
      </c>
      <c r="M396" s="5">
        <v>144005</v>
      </c>
      <c r="N396" s="5">
        <v>810445</v>
      </c>
      <c r="O396" s="5">
        <v>0</v>
      </c>
      <c r="P396" s="5">
        <v>0</v>
      </c>
      <c r="Q396" s="5">
        <v>810445</v>
      </c>
      <c r="R396" s="1" t="s">
        <v>1023</v>
      </c>
      <c r="S396" s="1" t="s">
        <v>124</v>
      </c>
      <c r="T396" s="4">
        <v>45292</v>
      </c>
      <c r="U396" s="4">
        <v>45657</v>
      </c>
      <c r="V396" s="1" t="s">
        <v>125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810445</v>
      </c>
      <c r="AH396" s="5">
        <v>105111.25</v>
      </c>
      <c r="AI396" s="5">
        <v>0</v>
      </c>
      <c r="AJ396" s="5">
        <v>105315.85</v>
      </c>
      <c r="AK396" s="5">
        <v>0</v>
      </c>
      <c r="AL396" s="5">
        <v>0</v>
      </c>
      <c r="AM396" s="5">
        <v>204.6</v>
      </c>
      <c r="AN396" s="5">
        <v>105111.25</v>
      </c>
      <c r="AO396" s="1" t="s">
        <v>434</v>
      </c>
    </row>
    <row r="397" spans="1:41" x14ac:dyDescent="0.25">
      <c r="A397" s="1">
        <f t="shared" si="2"/>
        <v>381</v>
      </c>
      <c r="B397" s="1" t="s">
        <v>685</v>
      </c>
      <c r="C397" s="1" t="s">
        <v>123</v>
      </c>
      <c r="D397" s="1" t="s">
        <v>815</v>
      </c>
      <c r="E397" s="4">
        <v>45292</v>
      </c>
      <c r="F397" s="4">
        <v>45657</v>
      </c>
      <c r="G397" s="1" t="s">
        <v>125</v>
      </c>
      <c r="H397" s="5">
        <v>492412.5</v>
      </c>
      <c r="I397" s="5">
        <v>34037.5</v>
      </c>
      <c r="J397" s="5">
        <v>28050</v>
      </c>
      <c r="K397" s="5">
        <v>28711.25</v>
      </c>
      <c r="L397" s="5">
        <v>21875</v>
      </c>
      <c r="M397" s="5">
        <v>112673.75</v>
      </c>
      <c r="N397" s="5">
        <v>379738.75</v>
      </c>
      <c r="O397" s="5">
        <v>0</v>
      </c>
      <c r="P397" s="5">
        <v>0</v>
      </c>
      <c r="Q397" s="5">
        <v>379738.75</v>
      </c>
      <c r="R397" s="1" t="s">
        <v>1024</v>
      </c>
      <c r="S397" s="1" t="s">
        <v>124</v>
      </c>
      <c r="T397" s="4">
        <v>45292</v>
      </c>
      <c r="U397" s="4">
        <v>45657</v>
      </c>
      <c r="V397" s="1" t="s">
        <v>125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379738.75</v>
      </c>
      <c r="AH397" s="5">
        <v>19460.810000000001</v>
      </c>
      <c r="AI397" s="5">
        <v>0</v>
      </c>
      <c r="AJ397" s="5">
        <v>19538.14</v>
      </c>
      <c r="AK397" s="5">
        <v>0</v>
      </c>
      <c r="AL397" s="5">
        <v>0</v>
      </c>
      <c r="AM397" s="5">
        <v>77.33</v>
      </c>
      <c r="AN397" s="5">
        <v>19460.810000000001</v>
      </c>
      <c r="AO397" s="1" t="s">
        <v>434</v>
      </c>
    </row>
    <row r="398" spans="1:41" x14ac:dyDescent="0.25">
      <c r="A398" s="1">
        <f t="shared" si="2"/>
        <v>382</v>
      </c>
      <c r="B398" s="1" t="s">
        <v>686</v>
      </c>
      <c r="C398" s="1" t="s">
        <v>123</v>
      </c>
      <c r="D398" s="1" t="s">
        <v>815</v>
      </c>
      <c r="E398" s="4">
        <v>45292</v>
      </c>
      <c r="F398" s="4">
        <v>45657</v>
      </c>
      <c r="G398" s="1" t="s">
        <v>125</v>
      </c>
      <c r="H398" s="5">
        <v>1419250.2</v>
      </c>
      <c r="I398" s="5">
        <v>90000</v>
      </c>
      <c r="J398" s="5">
        <v>33300</v>
      </c>
      <c r="K398" s="5">
        <v>45500</v>
      </c>
      <c r="L398" s="5">
        <v>22000</v>
      </c>
      <c r="M398" s="5">
        <v>190800</v>
      </c>
      <c r="N398" s="5">
        <v>1034500</v>
      </c>
      <c r="O398" s="5">
        <v>0</v>
      </c>
      <c r="P398" s="5">
        <v>193950.2</v>
      </c>
      <c r="Q398" s="5">
        <v>1228450.2</v>
      </c>
      <c r="R398" s="1" t="s">
        <v>1025</v>
      </c>
      <c r="S398" s="1" t="s">
        <v>124</v>
      </c>
      <c r="T398" s="4">
        <v>45292</v>
      </c>
      <c r="U398" s="4">
        <v>45657</v>
      </c>
      <c r="V398" s="1" t="s">
        <v>125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1228450.2</v>
      </c>
      <c r="AH398" s="5">
        <v>209612.55</v>
      </c>
      <c r="AI398" s="5">
        <v>0</v>
      </c>
      <c r="AJ398" s="5">
        <v>209611.37</v>
      </c>
      <c r="AK398" s="5">
        <v>0</v>
      </c>
      <c r="AL398" s="5">
        <v>1.18</v>
      </c>
      <c r="AM398" s="5">
        <v>0</v>
      </c>
      <c r="AN398" s="5">
        <v>209612.55</v>
      </c>
      <c r="AO398" s="1" t="s">
        <v>434</v>
      </c>
    </row>
    <row r="399" spans="1:41" x14ac:dyDescent="0.25">
      <c r="A399" s="1">
        <f t="shared" si="2"/>
        <v>383</v>
      </c>
      <c r="B399" s="1" t="s">
        <v>687</v>
      </c>
      <c r="C399" s="1" t="s">
        <v>123</v>
      </c>
      <c r="D399" s="1" t="s">
        <v>815</v>
      </c>
      <c r="E399" s="4">
        <v>45292</v>
      </c>
      <c r="F399" s="4">
        <v>45657</v>
      </c>
      <c r="G399" s="1" t="s">
        <v>125</v>
      </c>
      <c r="H399" s="5">
        <v>2848083.3333333335</v>
      </c>
      <c r="I399" s="5">
        <v>90000</v>
      </c>
      <c r="J399" s="5">
        <v>24000</v>
      </c>
      <c r="K399" s="5">
        <v>48500</v>
      </c>
      <c r="L399" s="5">
        <v>0</v>
      </c>
      <c r="M399" s="5">
        <v>162500</v>
      </c>
      <c r="N399" s="5">
        <v>2436500</v>
      </c>
      <c r="O399" s="5">
        <v>117083.33</v>
      </c>
      <c r="P399" s="5">
        <v>132000</v>
      </c>
      <c r="Q399" s="5">
        <v>2685583.33</v>
      </c>
      <c r="R399" s="1" t="s">
        <v>1026</v>
      </c>
      <c r="S399" s="1" t="s">
        <v>124</v>
      </c>
      <c r="T399" s="4">
        <v>45292</v>
      </c>
      <c r="U399" s="4">
        <v>45657</v>
      </c>
      <c r="V399" s="1" t="s">
        <v>125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2685583.33</v>
      </c>
      <c r="AH399" s="5">
        <v>608175</v>
      </c>
      <c r="AI399" s="5">
        <v>0</v>
      </c>
      <c r="AJ399" s="5">
        <v>608174.19999999995</v>
      </c>
      <c r="AK399" s="5">
        <v>0</v>
      </c>
      <c r="AL399" s="5">
        <v>0.8</v>
      </c>
      <c r="AM399" s="5">
        <v>0</v>
      </c>
      <c r="AN399" s="5">
        <v>608175</v>
      </c>
      <c r="AO399" s="1" t="s">
        <v>434</v>
      </c>
    </row>
    <row r="400" spans="1:41" x14ac:dyDescent="0.25">
      <c r="A400" s="1">
        <f t="shared" si="2"/>
        <v>384</v>
      </c>
      <c r="B400" s="1" t="s">
        <v>688</v>
      </c>
      <c r="C400" s="1" t="s">
        <v>123</v>
      </c>
      <c r="D400" s="1" t="s">
        <v>815</v>
      </c>
      <c r="E400" s="4">
        <v>45292</v>
      </c>
      <c r="F400" s="4">
        <v>45657</v>
      </c>
      <c r="G400" s="1" t="s">
        <v>125</v>
      </c>
      <c r="H400" s="5">
        <v>881062.02</v>
      </c>
      <c r="I400" s="5">
        <v>64252.87</v>
      </c>
      <c r="J400" s="5">
        <v>28050</v>
      </c>
      <c r="K400" s="5">
        <v>38000</v>
      </c>
      <c r="L400" s="5">
        <v>17475</v>
      </c>
      <c r="M400" s="5">
        <v>147777.87</v>
      </c>
      <c r="N400" s="5">
        <v>733034.48</v>
      </c>
      <c r="O400" s="5">
        <v>0</v>
      </c>
      <c r="P400" s="5">
        <v>249.67</v>
      </c>
      <c r="Q400" s="5">
        <v>733284.15</v>
      </c>
      <c r="R400" s="1" t="s">
        <v>1027</v>
      </c>
      <c r="S400" s="1" t="s">
        <v>124</v>
      </c>
      <c r="T400" s="4">
        <v>45292</v>
      </c>
      <c r="U400" s="4">
        <v>45657</v>
      </c>
      <c r="V400" s="1" t="s">
        <v>125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733284.15</v>
      </c>
      <c r="AH400" s="5">
        <v>89156.83</v>
      </c>
      <c r="AI400" s="5">
        <v>0</v>
      </c>
      <c r="AJ400" s="5">
        <v>89155.24</v>
      </c>
      <c r="AK400" s="5">
        <v>0</v>
      </c>
      <c r="AL400" s="5">
        <v>1.59</v>
      </c>
      <c r="AM400" s="5">
        <v>0</v>
      </c>
      <c r="AN400" s="5">
        <v>89156.83</v>
      </c>
      <c r="AO400" s="1" t="s">
        <v>434</v>
      </c>
    </row>
    <row r="401" spans="1:41" x14ac:dyDescent="0.25">
      <c r="A401" s="1">
        <f t="shared" si="2"/>
        <v>385</v>
      </c>
      <c r="B401" s="1" t="s">
        <v>689</v>
      </c>
      <c r="C401" s="1" t="s">
        <v>123</v>
      </c>
      <c r="D401" s="1" t="s">
        <v>815</v>
      </c>
      <c r="E401" s="4">
        <v>45292</v>
      </c>
      <c r="F401" s="4">
        <v>45657</v>
      </c>
      <c r="G401" s="1" t="s">
        <v>125</v>
      </c>
      <c r="H401" s="5">
        <v>488026.24</v>
      </c>
      <c r="I401" s="5">
        <v>34037.5</v>
      </c>
      <c r="J401" s="5">
        <v>28050</v>
      </c>
      <c r="K401" s="5">
        <v>28711.25</v>
      </c>
      <c r="L401" s="5">
        <v>16200</v>
      </c>
      <c r="M401" s="5">
        <v>106998.75</v>
      </c>
      <c r="N401" s="5">
        <v>379738.75</v>
      </c>
      <c r="O401" s="5">
        <v>0</v>
      </c>
      <c r="P401" s="5">
        <v>1288.74</v>
      </c>
      <c r="Q401" s="5">
        <v>381027.49</v>
      </c>
      <c r="R401" s="1" t="s">
        <v>1028</v>
      </c>
      <c r="S401" s="1" t="s">
        <v>124</v>
      </c>
      <c r="T401" s="4">
        <v>45292</v>
      </c>
      <c r="U401" s="4">
        <v>45657</v>
      </c>
      <c r="V401" s="1" t="s">
        <v>125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381027.49</v>
      </c>
      <c r="AH401" s="5">
        <v>19654.12</v>
      </c>
      <c r="AI401" s="5">
        <v>0</v>
      </c>
      <c r="AJ401" s="5">
        <v>19772.400000000001</v>
      </c>
      <c r="AK401" s="5">
        <v>0</v>
      </c>
      <c r="AL401" s="5">
        <v>0</v>
      </c>
      <c r="AM401" s="5">
        <v>118.28</v>
      </c>
      <c r="AN401" s="5">
        <v>19654.12</v>
      </c>
      <c r="AO401" s="1" t="s">
        <v>434</v>
      </c>
    </row>
    <row r="402" spans="1:41" x14ac:dyDescent="0.25">
      <c r="A402" s="1">
        <f t="shared" si="2"/>
        <v>386</v>
      </c>
      <c r="B402" s="1" t="s">
        <v>690</v>
      </c>
      <c r="C402" s="1" t="s">
        <v>123</v>
      </c>
      <c r="D402" s="1" t="s">
        <v>815</v>
      </c>
      <c r="E402" s="4">
        <v>45292</v>
      </c>
      <c r="F402" s="4">
        <v>45657</v>
      </c>
      <c r="G402" s="1" t="s">
        <v>125</v>
      </c>
      <c r="H402" s="5">
        <v>488912.5</v>
      </c>
      <c r="I402" s="5">
        <v>34037.5</v>
      </c>
      <c r="J402" s="5">
        <v>28050</v>
      </c>
      <c r="K402" s="5">
        <v>28711.25</v>
      </c>
      <c r="L402" s="5">
        <v>18375</v>
      </c>
      <c r="M402" s="5">
        <v>109173.75</v>
      </c>
      <c r="N402" s="5">
        <v>379738.75</v>
      </c>
      <c r="O402" s="5">
        <v>0</v>
      </c>
      <c r="P402" s="5">
        <v>0</v>
      </c>
      <c r="Q402" s="5">
        <v>379738.75</v>
      </c>
      <c r="R402" s="1" t="s">
        <v>1029</v>
      </c>
      <c r="S402" s="1" t="s">
        <v>124</v>
      </c>
      <c r="T402" s="4">
        <v>45292</v>
      </c>
      <c r="U402" s="4">
        <v>45657</v>
      </c>
      <c r="V402" s="1" t="s">
        <v>125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379738.75</v>
      </c>
      <c r="AH402" s="5">
        <v>19460.810000000001</v>
      </c>
      <c r="AI402" s="5">
        <v>0</v>
      </c>
      <c r="AJ402" s="5">
        <v>19538.14</v>
      </c>
      <c r="AK402" s="5">
        <v>0</v>
      </c>
      <c r="AL402" s="5">
        <v>0</v>
      </c>
      <c r="AM402" s="5">
        <v>77.33</v>
      </c>
      <c r="AN402" s="5">
        <v>19460.810000000001</v>
      </c>
      <c r="AO402" s="1" t="s">
        <v>434</v>
      </c>
    </row>
    <row r="403" spans="1:41" x14ac:dyDescent="0.25">
      <c r="A403" s="1">
        <f t="shared" si="2"/>
        <v>387</v>
      </c>
      <c r="B403" s="1" t="s">
        <v>691</v>
      </c>
      <c r="C403" s="1" t="s">
        <v>123</v>
      </c>
      <c r="D403" s="1" t="s">
        <v>815</v>
      </c>
      <c r="E403" s="4">
        <v>45292</v>
      </c>
      <c r="F403" s="4">
        <v>45657</v>
      </c>
      <c r="G403" s="1" t="s">
        <v>125</v>
      </c>
      <c r="H403" s="5">
        <v>906706.34000000008</v>
      </c>
      <c r="I403" s="5">
        <v>66245.210000000006</v>
      </c>
      <c r="J403" s="5">
        <v>28050</v>
      </c>
      <c r="K403" s="5">
        <v>39500</v>
      </c>
      <c r="L403" s="5">
        <v>17250</v>
      </c>
      <c r="M403" s="5">
        <v>151045.21</v>
      </c>
      <c r="N403" s="5">
        <v>755442.54</v>
      </c>
      <c r="O403" s="5">
        <v>0</v>
      </c>
      <c r="P403" s="5">
        <v>218.59</v>
      </c>
      <c r="Q403" s="5">
        <v>755661.13</v>
      </c>
      <c r="R403" s="1" t="s">
        <v>1030</v>
      </c>
      <c r="S403" s="1" t="s">
        <v>124</v>
      </c>
      <c r="T403" s="4">
        <v>45292</v>
      </c>
      <c r="U403" s="4">
        <v>45657</v>
      </c>
      <c r="V403" s="1" t="s">
        <v>125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755661.13</v>
      </c>
      <c r="AH403" s="5">
        <v>93632.23</v>
      </c>
      <c r="AI403" s="5">
        <v>0</v>
      </c>
      <c r="AJ403" s="5">
        <v>93979.28</v>
      </c>
      <c r="AK403" s="5">
        <v>0</v>
      </c>
      <c r="AL403" s="5">
        <v>0</v>
      </c>
      <c r="AM403" s="5">
        <v>347.05</v>
      </c>
      <c r="AN403" s="5">
        <v>93632.23</v>
      </c>
      <c r="AO403" s="1" t="s">
        <v>434</v>
      </c>
    </row>
    <row r="404" spans="1:41" x14ac:dyDescent="0.25">
      <c r="A404" s="1">
        <f t="shared" si="2"/>
        <v>388</v>
      </c>
      <c r="B404" s="1" t="s">
        <v>692</v>
      </c>
      <c r="C404" s="1" t="s">
        <v>123</v>
      </c>
      <c r="D404" s="1" t="s">
        <v>815</v>
      </c>
      <c r="E404" s="4">
        <v>45292</v>
      </c>
      <c r="F404" s="4">
        <v>45657</v>
      </c>
      <c r="G404" s="1" t="s">
        <v>125</v>
      </c>
      <c r="H404" s="5">
        <v>439914.15</v>
      </c>
      <c r="I404" s="5">
        <v>30000</v>
      </c>
      <c r="J404" s="5">
        <v>28050</v>
      </c>
      <c r="K404" s="5">
        <v>27500</v>
      </c>
      <c r="L404" s="5">
        <v>14450</v>
      </c>
      <c r="M404" s="5">
        <v>100000</v>
      </c>
      <c r="N404" s="5">
        <v>332500</v>
      </c>
      <c r="O404" s="5">
        <v>0</v>
      </c>
      <c r="P404" s="5">
        <v>7414.15</v>
      </c>
      <c r="Q404" s="5">
        <v>339914.15</v>
      </c>
      <c r="R404" s="1" t="s">
        <v>1031</v>
      </c>
      <c r="S404" s="1" t="s">
        <v>124</v>
      </c>
      <c r="T404" s="4">
        <v>45292</v>
      </c>
      <c r="U404" s="4">
        <v>45657</v>
      </c>
      <c r="V404" s="1" t="s">
        <v>125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339914.15</v>
      </c>
      <c r="AH404" s="5">
        <v>13487.12</v>
      </c>
      <c r="AI404" s="5">
        <v>0</v>
      </c>
      <c r="AJ404" s="5">
        <v>13485.9</v>
      </c>
      <c r="AK404" s="5">
        <v>0</v>
      </c>
      <c r="AL404" s="5">
        <v>1.22</v>
      </c>
      <c r="AM404" s="5">
        <v>0</v>
      </c>
      <c r="AN404" s="5">
        <v>13487.12</v>
      </c>
      <c r="AO404" s="1" t="s">
        <v>434</v>
      </c>
    </row>
    <row r="405" spans="1:41" x14ac:dyDescent="0.25">
      <c r="A405" s="1">
        <f t="shared" si="2"/>
        <v>389</v>
      </c>
      <c r="B405" s="1" t="s">
        <v>693</v>
      </c>
      <c r="C405" s="1" t="s">
        <v>123</v>
      </c>
      <c r="D405" s="1" t="s">
        <v>815</v>
      </c>
      <c r="E405" s="4">
        <v>45292</v>
      </c>
      <c r="F405" s="4">
        <v>45657</v>
      </c>
      <c r="G405" s="1" t="s">
        <v>125</v>
      </c>
      <c r="H405" s="5">
        <v>503022.35</v>
      </c>
      <c r="I405" s="5">
        <v>30000</v>
      </c>
      <c r="J405" s="5">
        <v>28050</v>
      </c>
      <c r="K405" s="5">
        <v>27500</v>
      </c>
      <c r="L405" s="5">
        <v>16800</v>
      </c>
      <c r="M405" s="5">
        <v>102350</v>
      </c>
      <c r="N405" s="5">
        <v>332500</v>
      </c>
      <c r="O405" s="5">
        <v>0</v>
      </c>
      <c r="P405" s="5">
        <v>68172.350000000006</v>
      </c>
      <c r="Q405" s="5">
        <v>400672.35</v>
      </c>
      <c r="R405" s="1" t="s">
        <v>1032</v>
      </c>
      <c r="S405" s="1" t="s">
        <v>124</v>
      </c>
      <c r="T405" s="4">
        <v>45292</v>
      </c>
      <c r="U405" s="4">
        <v>45657</v>
      </c>
      <c r="V405" s="1" t="s">
        <v>125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400672.35</v>
      </c>
      <c r="AH405" s="5">
        <v>22634.47</v>
      </c>
      <c r="AI405" s="5">
        <v>0</v>
      </c>
      <c r="AJ405" s="5">
        <v>22971.56</v>
      </c>
      <c r="AK405" s="5">
        <v>0</v>
      </c>
      <c r="AL405" s="5">
        <v>0</v>
      </c>
      <c r="AM405" s="5">
        <v>337.09</v>
      </c>
      <c r="AN405" s="5">
        <v>22634.47</v>
      </c>
      <c r="AO405" s="1" t="s">
        <v>434</v>
      </c>
    </row>
    <row r="406" spans="1:41" x14ac:dyDescent="0.25">
      <c r="A406" s="1">
        <f t="shared" si="2"/>
        <v>390</v>
      </c>
      <c r="B406" s="1" t="s">
        <v>694</v>
      </c>
      <c r="C406" s="1" t="s">
        <v>123</v>
      </c>
      <c r="D406" s="1" t="s">
        <v>815</v>
      </c>
      <c r="E406" s="4">
        <v>45292</v>
      </c>
      <c r="F406" s="4">
        <v>45657</v>
      </c>
      <c r="G406" s="1" t="s">
        <v>125</v>
      </c>
      <c r="H406" s="5">
        <v>2320043.9708333332</v>
      </c>
      <c r="I406" s="5">
        <v>90000</v>
      </c>
      <c r="J406" s="5">
        <v>24000</v>
      </c>
      <c r="K406" s="5">
        <v>48500</v>
      </c>
      <c r="L406" s="5">
        <v>0</v>
      </c>
      <c r="M406" s="5">
        <v>162500</v>
      </c>
      <c r="N406" s="5">
        <v>1957089.66</v>
      </c>
      <c r="O406" s="5">
        <v>80454.31</v>
      </c>
      <c r="P406" s="5">
        <v>120000</v>
      </c>
      <c r="Q406" s="5">
        <v>2157543.9700000002</v>
      </c>
      <c r="R406" s="1" t="s">
        <v>1033</v>
      </c>
      <c r="S406" s="1" t="s">
        <v>124</v>
      </c>
      <c r="T406" s="4">
        <v>45292</v>
      </c>
      <c r="U406" s="4">
        <v>45657</v>
      </c>
      <c r="V406" s="1" t="s">
        <v>125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2157543.9700000002</v>
      </c>
      <c r="AH406" s="5">
        <v>449763.19</v>
      </c>
      <c r="AI406" s="5">
        <v>0</v>
      </c>
      <c r="AJ406" s="5">
        <v>452107.86</v>
      </c>
      <c r="AK406" s="5">
        <v>0</v>
      </c>
      <c r="AL406" s="5">
        <v>0</v>
      </c>
      <c r="AM406" s="5">
        <v>2344.67</v>
      </c>
      <c r="AN406" s="5">
        <v>449763.19</v>
      </c>
      <c r="AO406" s="1" t="s">
        <v>434</v>
      </c>
    </row>
    <row r="407" spans="1:41" x14ac:dyDescent="0.25">
      <c r="A407" s="1">
        <f t="shared" si="2"/>
        <v>391</v>
      </c>
      <c r="B407" s="1" t="s">
        <v>695</v>
      </c>
      <c r="C407" s="1" t="s">
        <v>123</v>
      </c>
      <c r="D407" s="1" t="s">
        <v>815</v>
      </c>
      <c r="E407" s="4">
        <v>45292</v>
      </c>
      <c r="F407" s="4">
        <v>45657</v>
      </c>
      <c r="G407" s="1" t="s">
        <v>125</v>
      </c>
      <c r="H407" s="5">
        <v>1202671</v>
      </c>
      <c r="I407" s="5">
        <v>85000</v>
      </c>
      <c r="J407" s="5">
        <v>33300</v>
      </c>
      <c r="K407" s="5">
        <v>44000</v>
      </c>
      <c r="L407" s="5">
        <v>2400</v>
      </c>
      <c r="M407" s="5">
        <v>164700</v>
      </c>
      <c r="N407" s="5">
        <v>1011172.41</v>
      </c>
      <c r="O407" s="5">
        <v>0</v>
      </c>
      <c r="P407" s="5">
        <v>26798.59</v>
      </c>
      <c r="Q407" s="5">
        <v>1037971</v>
      </c>
      <c r="R407" s="1" t="s">
        <v>1034</v>
      </c>
      <c r="S407" s="1" t="s">
        <v>124</v>
      </c>
      <c r="T407" s="4">
        <v>45292</v>
      </c>
      <c r="U407" s="4">
        <v>45657</v>
      </c>
      <c r="V407" s="1" t="s">
        <v>125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1037971</v>
      </c>
      <c r="AH407" s="5">
        <v>161992.75</v>
      </c>
      <c r="AI407" s="5">
        <v>0</v>
      </c>
      <c r="AJ407" s="5">
        <v>161991.59</v>
      </c>
      <c r="AK407" s="5">
        <v>0</v>
      </c>
      <c r="AL407" s="5">
        <v>1.1599999999999999</v>
      </c>
      <c r="AM407" s="5">
        <v>0</v>
      </c>
      <c r="AN407" s="5">
        <v>161992.75</v>
      </c>
      <c r="AO407" s="1" t="s">
        <v>434</v>
      </c>
    </row>
    <row r="408" spans="1:41" x14ac:dyDescent="0.25">
      <c r="A408" s="1">
        <f t="shared" si="2"/>
        <v>392</v>
      </c>
      <c r="B408" s="1" t="s">
        <v>696</v>
      </c>
      <c r="C408" s="1" t="s">
        <v>123</v>
      </c>
      <c r="D408" s="1" t="s">
        <v>815</v>
      </c>
      <c r="E408" s="4">
        <v>45292</v>
      </c>
      <c r="F408" s="4">
        <v>45657</v>
      </c>
      <c r="G408" s="1" t="s">
        <v>125</v>
      </c>
      <c r="H408" s="5">
        <v>456440.09</v>
      </c>
      <c r="I408" s="5">
        <v>30000</v>
      </c>
      <c r="J408" s="5">
        <v>28050</v>
      </c>
      <c r="K408" s="5">
        <v>27500</v>
      </c>
      <c r="L408" s="5">
        <v>16775</v>
      </c>
      <c r="M408" s="5">
        <v>102325</v>
      </c>
      <c r="N408" s="5">
        <v>332500</v>
      </c>
      <c r="O408" s="5">
        <v>0</v>
      </c>
      <c r="P408" s="5">
        <v>21615.09</v>
      </c>
      <c r="Q408" s="5">
        <v>354115.09</v>
      </c>
      <c r="R408" s="1" t="s">
        <v>1035</v>
      </c>
      <c r="S408" s="1" t="s">
        <v>124</v>
      </c>
      <c r="T408" s="4">
        <v>45292</v>
      </c>
      <c r="U408" s="4">
        <v>45657</v>
      </c>
      <c r="V408" s="1" t="s">
        <v>125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354115.09</v>
      </c>
      <c r="AH408" s="5">
        <v>15617.26</v>
      </c>
      <c r="AI408" s="5">
        <v>0</v>
      </c>
      <c r="AJ408" s="5">
        <v>15873.14</v>
      </c>
      <c r="AK408" s="5">
        <v>0</v>
      </c>
      <c r="AL408" s="5">
        <v>0</v>
      </c>
      <c r="AM408" s="5">
        <v>255.88</v>
      </c>
      <c r="AN408" s="5">
        <v>15617.26</v>
      </c>
      <c r="AO408" s="1" t="s">
        <v>434</v>
      </c>
    </row>
    <row r="409" spans="1:41" x14ac:dyDescent="0.25">
      <c r="A409" s="1">
        <f t="shared" si="2"/>
        <v>393</v>
      </c>
      <c r="B409" s="1" t="s">
        <v>697</v>
      </c>
      <c r="C409" s="1" t="s">
        <v>123</v>
      </c>
      <c r="D409" s="1" t="s">
        <v>815</v>
      </c>
      <c r="E409" s="4">
        <v>45292</v>
      </c>
      <c r="F409" s="4">
        <v>45657</v>
      </c>
      <c r="G409" s="1" t="s">
        <v>125</v>
      </c>
      <c r="H409" s="5">
        <v>436682.47999999986</v>
      </c>
      <c r="I409" s="5">
        <v>29310.35</v>
      </c>
      <c r="J409" s="5">
        <v>26400</v>
      </c>
      <c r="K409" s="5">
        <v>26315</v>
      </c>
      <c r="L409" s="5">
        <v>14175</v>
      </c>
      <c r="M409" s="5">
        <v>96200.35</v>
      </c>
      <c r="N409" s="5">
        <v>333857.40999999997</v>
      </c>
      <c r="O409" s="5">
        <v>0</v>
      </c>
      <c r="P409" s="5">
        <v>6624.72</v>
      </c>
      <c r="Q409" s="5">
        <v>340482.13</v>
      </c>
      <c r="R409" s="1" t="s">
        <v>1036</v>
      </c>
      <c r="S409" s="1" t="s">
        <v>124</v>
      </c>
      <c r="T409" s="4">
        <v>45292</v>
      </c>
      <c r="U409" s="4">
        <v>45657</v>
      </c>
      <c r="V409" s="1" t="s">
        <v>125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340482.13</v>
      </c>
      <c r="AH409" s="5">
        <v>13572.32</v>
      </c>
      <c r="AI409" s="5">
        <v>0</v>
      </c>
      <c r="AJ409" s="5">
        <v>16570.95</v>
      </c>
      <c r="AK409" s="5">
        <v>0</v>
      </c>
      <c r="AL409" s="5">
        <v>0</v>
      </c>
      <c r="AM409" s="5">
        <v>2998.63</v>
      </c>
      <c r="AN409" s="5">
        <v>13572.32</v>
      </c>
      <c r="AO409" s="1" t="s">
        <v>434</v>
      </c>
    </row>
    <row r="410" spans="1:41" x14ac:dyDescent="0.25">
      <c r="A410" s="1">
        <f t="shared" si="2"/>
        <v>394</v>
      </c>
      <c r="B410" s="1" t="s">
        <v>698</v>
      </c>
      <c r="C410" s="1" t="s">
        <v>123</v>
      </c>
      <c r="D410" s="1" t="s">
        <v>815</v>
      </c>
      <c r="E410" s="4">
        <v>45292</v>
      </c>
      <c r="F410" s="4">
        <v>45657</v>
      </c>
      <c r="G410" s="1" t="s">
        <v>125</v>
      </c>
      <c r="H410" s="5">
        <v>498861.14</v>
      </c>
      <c r="I410" s="5">
        <v>30000</v>
      </c>
      <c r="J410" s="5">
        <v>28050</v>
      </c>
      <c r="K410" s="5">
        <v>27500</v>
      </c>
      <c r="L410" s="5">
        <v>17800</v>
      </c>
      <c r="M410" s="5">
        <v>103350</v>
      </c>
      <c r="N410" s="5">
        <v>332500</v>
      </c>
      <c r="O410" s="5">
        <v>0</v>
      </c>
      <c r="P410" s="5">
        <v>63011.14</v>
      </c>
      <c r="Q410" s="5">
        <v>395511.14</v>
      </c>
      <c r="R410" s="1" t="s">
        <v>1037</v>
      </c>
      <c r="S410" s="1" t="s">
        <v>124</v>
      </c>
      <c r="T410" s="4">
        <v>45292</v>
      </c>
      <c r="U410" s="4">
        <v>45657</v>
      </c>
      <c r="V410" s="1" t="s">
        <v>125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395511.14</v>
      </c>
      <c r="AH410" s="5">
        <v>21826.67</v>
      </c>
      <c r="AI410" s="5">
        <v>0</v>
      </c>
      <c r="AJ410" s="5">
        <v>21935.81</v>
      </c>
      <c r="AK410" s="5">
        <v>0</v>
      </c>
      <c r="AL410" s="5">
        <v>0</v>
      </c>
      <c r="AM410" s="5">
        <v>109.14</v>
      </c>
      <c r="AN410" s="5">
        <v>21826.67</v>
      </c>
      <c r="AO410" s="1" t="s">
        <v>434</v>
      </c>
    </row>
    <row r="411" spans="1:41" x14ac:dyDescent="0.25">
      <c r="A411" s="1">
        <f t="shared" si="2"/>
        <v>395</v>
      </c>
      <c r="B411" s="1" t="s">
        <v>699</v>
      </c>
      <c r="C411" s="1" t="s">
        <v>123</v>
      </c>
      <c r="D411" s="1" t="s">
        <v>815</v>
      </c>
      <c r="E411" s="4">
        <v>45292</v>
      </c>
      <c r="F411" s="4">
        <v>45657</v>
      </c>
      <c r="G411" s="1" t="s">
        <v>125</v>
      </c>
      <c r="H411" s="5">
        <v>449671.7</v>
      </c>
      <c r="I411" s="5">
        <v>30000</v>
      </c>
      <c r="J411" s="5">
        <v>28050</v>
      </c>
      <c r="K411" s="5">
        <v>27500</v>
      </c>
      <c r="L411" s="5">
        <v>18450</v>
      </c>
      <c r="M411" s="5">
        <v>104000</v>
      </c>
      <c r="N411" s="5">
        <v>332500</v>
      </c>
      <c r="O411" s="5">
        <v>0</v>
      </c>
      <c r="P411" s="5">
        <v>13171.7</v>
      </c>
      <c r="Q411" s="5">
        <v>345671.7</v>
      </c>
      <c r="R411" s="1" t="s">
        <v>1038</v>
      </c>
      <c r="S411" s="1" t="s">
        <v>124</v>
      </c>
      <c r="T411" s="4">
        <v>45292</v>
      </c>
      <c r="U411" s="4">
        <v>45657</v>
      </c>
      <c r="V411" s="1" t="s">
        <v>125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345671.7</v>
      </c>
      <c r="AH411" s="5">
        <v>14350.76</v>
      </c>
      <c r="AI411" s="5">
        <v>0</v>
      </c>
      <c r="AJ411" s="5">
        <v>14529.53</v>
      </c>
      <c r="AK411" s="5">
        <v>0</v>
      </c>
      <c r="AL411" s="5">
        <v>0</v>
      </c>
      <c r="AM411" s="5">
        <v>178.78</v>
      </c>
      <c r="AN411" s="5">
        <v>14350.76</v>
      </c>
      <c r="AO411" s="1" t="s">
        <v>434</v>
      </c>
    </row>
    <row r="412" spans="1:41" x14ac:dyDescent="0.25">
      <c r="A412" s="1">
        <f t="shared" si="2"/>
        <v>396</v>
      </c>
      <c r="B412" s="1" t="s">
        <v>700</v>
      </c>
      <c r="C412" s="1" t="s">
        <v>123</v>
      </c>
      <c r="D412" s="1" t="s">
        <v>815</v>
      </c>
      <c r="E412" s="4">
        <v>45292</v>
      </c>
      <c r="F412" s="4">
        <v>45657</v>
      </c>
      <c r="G412" s="1" t="s">
        <v>125</v>
      </c>
      <c r="H412" s="5">
        <v>447147.92</v>
      </c>
      <c r="I412" s="5">
        <v>30000</v>
      </c>
      <c r="J412" s="5">
        <v>28050</v>
      </c>
      <c r="K412" s="5">
        <v>27500</v>
      </c>
      <c r="L412" s="5">
        <v>16725</v>
      </c>
      <c r="M412" s="5">
        <v>102275</v>
      </c>
      <c r="N412" s="5">
        <v>332500</v>
      </c>
      <c r="O412" s="5">
        <v>0</v>
      </c>
      <c r="P412" s="5">
        <v>12372.92</v>
      </c>
      <c r="Q412" s="5">
        <v>344872.92</v>
      </c>
      <c r="R412" s="1" t="s">
        <v>1039</v>
      </c>
      <c r="S412" s="1" t="s">
        <v>124</v>
      </c>
      <c r="T412" s="4">
        <v>45292</v>
      </c>
      <c r="U412" s="4">
        <v>45657</v>
      </c>
      <c r="V412" s="1" t="s">
        <v>125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344872.92</v>
      </c>
      <c r="AH412" s="5">
        <v>14230.94</v>
      </c>
      <c r="AI412" s="5">
        <v>0</v>
      </c>
      <c r="AJ412" s="5">
        <v>14448.67</v>
      </c>
      <c r="AK412" s="5">
        <v>0</v>
      </c>
      <c r="AL412" s="5">
        <v>0</v>
      </c>
      <c r="AM412" s="5">
        <v>217.73</v>
      </c>
      <c r="AN412" s="5">
        <v>14230.94</v>
      </c>
      <c r="AO412" s="1" t="s">
        <v>434</v>
      </c>
    </row>
    <row r="413" spans="1:41" x14ac:dyDescent="0.25">
      <c r="A413" s="1">
        <f t="shared" si="2"/>
        <v>397</v>
      </c>
      <c r="B413" s="1" t="s">
        <v>701</v>
      </c>
      <c r="C413" s="1" t="s">
        <v>123</v>
      </c>
      <c r="D413" s="1" t="s">
        <v>815</v>
      </c>
      <c r="E413" s="4">
        <v>45292</v>
      </c>
      <c r="F413" s="4">
        <v>45657</v>
      </c>
      <c r="G413" s="1" t="s">
        <v>125</v>
      </c>
      <c r="H413" s="5">
        <v>450775</v>
      </c>
      <c r="I413" s="5">
        <v>30000</v>
      </c>
      <c r="J413" s="5">
        <v>28050</v>
      </c>
      <c r="K413" s="5">
        <v>27500</v>
      </c>
      <c r="L413" s="5">
        <v>32725</v>
      </c>
      <c r="M413" s="5">
        <v>118275</v>
      </c>
      <c r="N413" s="5">
        <v>332500</v>
      </c>
      <c r="O413" s="5">
        <v>0</v>
      </c>
      <c r="P413" s="5">
        <v>0</v>
      </c>
      <c r="Q413" s="5">
        <v>332500</v>
      </c>
      <c r="R413" s="1" t="s">
        <v>1040</v>
      </c>
      <c r="S413" s="1" t="s">
        <v>124</v>
      </c>
      <c r="T413" s="4">
        <v>45292</v>
      </c>
      <c r="U413" s="4">
        <v>45657</v>
      </c>
      <c r="V413" s="1" t="s">
        <v>125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332500</v>
      </c>
      <c r="AH413" s="5">
        <v>12375</v>
      </c>
      <c r="AI413" s="5">
        <v>0</v>
      </c>
      <c r="AJ413" s="5">
        <v>12373.78</v>
      </c>
      <c r="AK413" s="5">
        <v>0</v>
      </c>
      <c r="AL413" s="5">
        <v>1.22</v>
      </c>
      <c r="AM413" s="5">
        <v>0</v>
      </c>
      <c r="AN413" s="5">
        <v>12375</v>
      </c>
      <c r="AO413" s="1" t="s">
        <v>434</v>
      </c>
    </row>
    <row r="414" spans="1:41" x14ac:dyDescent="0.25">
      <c r="A414" s="1">
        <f t="shared" si="2"/>
        <v>398</v>
      </c>
      <c r="B414" s="1" t="s">
        <v>702</v>
      </c>
      <c r="C414" s="1" t="s">
        <v>123</v>
      </c>
      <c r="D414" s="1" t="s">
        <v>815</v>
      </c>
      <c r="E414" s="4">
        <v>45292</v>
      </c>
      <c r="F414" s="4">
        <v>45657</v>
      </c>
      <c r="G414" s="1" t="s">
        <v>125</v>
      </c>
      <c r="H414" s="5">
        <v>540901.72</v>
      </c>
      <c r="I414" s="5">
        <v>38000</v>
      </c>
      <c r="J414" s="5">
        <v>28050</v>
      </c>
      <c r="K414" s="5">
        <v>29525</v>
      </c>
      <c r="L414" s="5">
        <v>16250</v>
      </c>
      <c r="M414" s="5">
        <v>111825</v>
      </c>
      <c r="N414" s="5">
        <v>426475</v>
      </c>
      <c r="O414" s="5">
        <v>0</v>
      </c>
      <c r="P414" s="5">
        <v>2601.7199999999998</v>
      </c>
      <c r="Q414" s="5">
        <v>429076.72</v>
      </c>
      <c r="R414" s="1" t="s">
        <v>1041</v>
      </c>
      <c r="S414" s="1" t="s">
        <v>124</v>
      </c>
      <c r="T414" s="4">
        <v>45292</v>
      </c>
      <c r="U414" s="4">
        <v>45657</v>
      </c>
      <c r="V414" s="1" t="s">
        <v>125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429076.72</v>
      </c>
      <c r="AH414" s="5">
        <v>28315.34</v>
      </c>
      <c r="AI414" s="5">
        <v>0</v>
      </c>
      <c r="AJ414" s="5">
        <v>30855.31</v>
      </c>
      <c r="AK414" s="5">
        <v>0</v>
      </c>
      <c r="AL414" s="5">
        <v>0</v>
      </c>
      <c r="AM414" s="5">
        <v>2539.9699999999998</v>
      </c>
      <c r="AN414" s="5">
        <v>28315.34</v>
      </c>
      <c r="AO414" s="1" t="s">
        <v>434</v>
      </c>
    </row>
    <row r="415" spans="1:41" x14ac:dyDescent="0.25">
      <c r="A415" s="1">
        <f t="shared" si="2"/>
        <v>399</v>
      </c>
      <c r="B415" s="1" t="s">
        <v>703</v>
      </c>
      <c r="C415" s="1" t="s">
        <v>123</v>
      </c>
      <c r="D415" s="1" t="s">
        <v>815</v>
      </c>
      <c r="E415" s="4">
        <v>45292</v>
      </c>
      <c r="F415" s="4">
        <v>45657</v>
      </c>
      <c r="G415" s="1" t="s">
        <v>125</v>
      </c>
      <c r="H415" s="5">
        <v>890450</v>
      </c>
      <c r="I415" s="5">
        <v>65000</v>
      </c>
      <c r="J415" s="5">
        <v>28050</v>
      </c>
      <c r="K415" s="5">
        <v>38000</v>
      </c>
      <c r="L415" s="5">
        <v>17400</v>
      </c>
      <c r="M415" s="5">
        <v>148450</v>
      </c>
      <c r="N415" s="5">
        <v>742000</v>
      </c>
      <c r="O415" s="5">
        <v>0</v>
      </c>
      <c r="P415" s="5">
        <v>0</v>
      </c>
      <c r="Q415" s="5">
        <v>742000</v>
      </c>
      <c r="R415" s="1" t="s">
        <v>1042</v>
      </c>
      <c r="S415" s="1" t="s">
        <v>124</v>
      </c>
      <c r="T415" s="4">
        <v>45292</v>
      </c>
      <c r="U415" s="4">
        <v>45657</v>
      </c>
      <c r="V415" s="1" t="s">
        <v>125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742000</v>
      </c>
      <c r="AH415" s="5">
        <v>90900</v>
      </c>
      <c r="AI415" s="5">
        <v>0</v>
      </c>
      <c r="AJ415" s="5">
        <v>90898.4</v>
      </c>
      <c r="AK415" s="5">
        <v>0</v>
      </c>
      <c r="AL415" s="5">
        <v>1.6</v>
      </c>
      <c r="AM415" s="5">
        <v>0</v>
      </c>
      <c r="AN415" s="5">
        <v>90900</v>
      </c>
      <c r="AO415" s="1" t="s">
        <v>434</v>
      </c>
    </row>
    <row r="416" spans="1:41" x14ac:dyDescent="0.25">
      <c r="A416" s="1">
        <f t="shared" si="2"/>
        <v>400</v>
      </c>
      <c r="B416" s="1" t="s">
        <v>704</v>
      </c>
      <c r="C416" s="1" t="s">
        <v>123</v>
      </c>
      <c r="D416" s="1" t="s">
        <v>815</v>
      </c>
      <c r="E416" s="4">
        <v>45292</v>
      </c>
      <c r="F416" s="4">
        <v>45657</v>
      </c>
      <c r="G416" s="1" t="s">
        <v>125</v>
      </c>
      <c r="H416" s="5">
        <v>1060196.8500000001</v>
      </c>
      <c r="I416" s="5">
        <v>75100</v>
      </c>
      <c r="J416" s="5">
        <v>28050</v>
      </c>
      <c r="K416" s="5">
        <v>41030</v>
      </c>
      <c r="L416" s="5">
        <v>4800</v>
      </c>
      <c r="M416" s="5">
        <v>148980</v>
      </c>
      <c r="N416" s="5">
        <v>860170</v>
      </c>
      <c r="O416" s="5">
        <v>0</v>
      </c>
      <c r="P416" s="5">
        <v>51046.85</v>
      </c>
      <c r="Q416" s="5">
        <v>911216.85</v>
      </c>
      <c r="R416" s="1" t="s">
        <v>1043</v>
      </c>
      <c r="S416" s="1" t="s">
        <v>124</v>
      </c>
      <c r="T416" s="4">
        <v>45292</v>
      </c>
      <c r="U416" s="4">
        <v>45657</v>
      </c>
      <c r="V416" s="1" t="s">
        <v>125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911216.85</v>
      </c>
      <c r="AH416" s="5">
        <v>130304.21</v>
      </c>
      <c r="AI416" s="5">
        <v>0</v>
      </c>
      <c r="AJ416" s="5">
        <v>130303.03</v>
      </c>
      <c r="AK416" s="5">
        <v>0</v>
      </c>
      <c r="AL416" s="5">
        <v>1.18</v>
      </c>
      <c r="AM416" s="5">
        <v>0</v>
      </c>
      <c r="AN416" s="5">
        <v>130304.21</v>
      </c>
      <c r="AO416" s="1" t="s">
        <v>434</v>
      </c>
    </row>
    <row r="417" spans="1:41" x14ac:dyDescent="0.25">
      <c r="A417" s="1">
        <f t="shared" si="2"/>
        <v>401</v>
      </c>
      <c r="B417" s="1" t="s">
        <v>705</v>
      </c>
      <c r="C417" s="1" t="s">
        <v>123</v>
      </c>
      <c r="D417" s="1" t="s">
        <v>815</v>
      </c>
      <c r="E417" s="4">
        <v>45292</v>
      </c>
      <c r="F417" s="4">
        <v>45657</v>
      </c>
      <c r="G417" s="1" t="s">
        <v>125</v>
      </c>
      <c r="H417" s="5">
        <v>957559.51</v>
      </c>
      <c r="I417" s="5">
        <v>70141.67</v>
      </c>
      <c r="J417" s="5">
        <v>28050</v>
      </c>
      <c r="K417" s="5">
        <v>39542.5</v>
      </c>
      <c r="L417" s="5">
        <v>17450</v>
      </c>
      <c r="M417" s="5">
        <v>155184.17000000001</v>
      </c>
      <c r="N417" s="5">
        <v>802157.5</v>
      </c>
      <c r="O417" s="5">
        <v>0</v>
      </c>
      <c r="P417" s="5">
        <v>217.84</v>
      </c>
      <c r="Q417" s="5">
        <v>802375.34</v>
      </c>
      <c r="R417" s="1" t="s">
        <v>1044</v>
      </c>
      <c r="S417" s="1" t="s">
        <v>124</v>
      </c>
      <c r="T417" s="4">
        <v>45292</v>
      </c>
      <c r="U417" s="4">
        <v>45657</v>
      </c>
      <c r="V417" s="1" t="s">
        <v>125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802375.34</v>
      </c>
      <c r="AH417" s="5">
        <v>103093.84</v>
      </c>
      <c r="AI417" s="5">
        <v>0</v>
      </c>
      <c r="AJ417" s="5">
        <v>103490.62</v>
      </c>
      <c r="AK417" s="5">
        <v>0</v>
      </c>
      <c r="AL417" s="5">
        <v>0</v>
      </c>
      <c r="AM417" s="5">
        <v>396.79</v>
      </c>
      <c r="AN417" s="5">
        <v>103093.84</v>
      </c>
      <c r="AO417" s="1" t="s">
        <v>434</v>
      </c>
    </row>
    <row r="418" spans="1:41" x14ac:dyDescent="0.25">
      <c r="A418" s="1">
        <f t="shared" si="2"/>
        <v>402</v>
      </c>
      <c r="B418" s="1" t="s">
        <v>706</v>
      </c>
      <c r="C418" s="1" t="s">
        <v>123</v>
      </c>
      <c r="D418" s="1" t="s">
        <v>815</v>
      </c>
      <c r="E418" s="4">
        <v>45292</v>
      </c>
      <c r="F418" s="4">
        <v>45657</v>
      </c>
      <c r="G418" s="1" t="s">
        <v>125</v>
      </c>
      <c r="H418" s="5">
        <v>890550</v>
      </c>
      <c r="I418" s="5">
        <v>65000</v>
      </c>
      <c r="J418" s="5">
        <v>28050</v>
      </c>
      <c r="K418" s="5">
        <v>38000</v>
      </c>
      <c r="L418" s="5">
        <v>17500</v>
      </c>
      <c r="M418" s="5">
        <v>148550</v>
      </c>
      <c r="N418" s="5">
        <v>742000</v>
      </c>
      <c r="O418" s="5">
        <v>0</v>
      </c>
      <c r="P418" s="5">
        <v>0</v>
      </c>
      <c r="Q418" s="5">
        <v>742000</v>
      </c>
      <c r="R418" s="1" t="s">
        <v>1045</v>
      </c>
      <c r="S418" s="1" t="s">
        <v>124</v>
      </c>
      <c r="T418" s="4">
        <v>45292</v>
      </c>
      <c r="U418" s="4">
        <v>45657</v>
      </c>
      <c r="V418" s="1" t="s">
        <v>125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742000</v>
      </c>
      <c r="AH418" s="5">
        <v>90900</v>
      </c>
      <c r="AI418" s="5">
        <v>0</v>
      </c>
      <c r="AJ418" s="5">
        <v>90898.4</v>
      </c>
      <c r="AK418" s="5">
        <v>0</v>
      </c>
      <c r="AL418" s="5">
        <v>1.6</v>
      </c>
      <c r="AM418" s="5">
        <v>0</v>
      </c>
      <c r="AN418" s="5">
        <v>90900</v>
      </c>
      <c r="AO418" s="1" t="s">
        <v>434</v>
      </c>
    </row>
    <row r="419" spans="1:41" x14ac:dyDescent="0.25">
      <c r="A419" s="1">
        <f t="shared" si="2"/>
        <v>403</v>
      </c>
      <c r="B419" s="1" t="s">
        <v>707</v>
      </c>
      <c r="C419" s="1" t="s">
        <v>123</v>
      </c>
      <c r="D419" s="1" t="s">
        <v>815</v>
      </c>
      <c r="E419" s="4">
        <v>45292</v>
      </c>
      <c r="F419" s="4">
        <v>45657</v>
      </c>
      <c r="G419" s="1" t="s">
        <v>125</v>
      </c>
      <c r="H419" s="5">
        <v>498585.29</v>
      </c>
      <c r="I419" s="5">
        <v>30000</v>
      </c>
      <c r="J419" s="5">
        <v>28050</v>
      </c>
      <c r="K419" s="5">
        <v>27500</v>
      </c>
      <c r="L419" s="5">
        <v>25350</v>
      </c>
      <c r="M419" s="5">
        <v>110900</v>
      </c>
      <c r="N419" s="5">
        <v>332500</v>
      </c>
      <c r="O419" s="5">
        <v>0</v>
      </c>
      <c r="P419" s="5">
        <v>55185.29</v>
      </c>
      <c r="Q419" s="5">
        <v>387685.29</v>
      </c>
      <c r="R419" s="1" t="s">
        <v>1046</v>
      </c>
      <c r="S419" s="1" t="s">
        <v>124</v>
      </c>
      <c r="T419" s="4">
        <v>45292</v>
      </c>
      <c r="U419" s="4">
        <v>45657</v>
      </c>
      <c r="V419" s="1" t="s">
        <v>125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387685.29</v>
      </c>
      <c r="AH419" s="5">
        <v>20652.79</v>
      </c>
      <c r="AI419" s="5">
        <v>0</v>
      </c>
      <c r="AJ419" s="5">
        <v>22403.94</v>
      </c>
      <c r="AK419" s="5">
        <v>0</v>
      </c>
      <c r="AL419" s="5">
        <v>0</v>
      </c>
      <c r="AM419" s="5">
        <v>1751.15</v>
      </c>
      <c r="AN419" s="5">
        <v>20652.79</v>
      </c>
      <c r="AO419" s="1" t="s">
        <v>434</v>
      </c>
    </row>
    <row r="420" spans="1:41" x14ac:dyDescent="0.25">
      <c r="A420" s="1">
        <f t="shared" si="2"/>
        <v>404</v>
      </c>
      <c r="B420" s="1" t="s">
        <v>708</v>
      </c>
      <c r="C420" s="1" t="s">
        <v>123</v>
      </c>
      <c r="D420" s="1" t="s">
        <v>815</v>
      </c>
      <c r="E420" s="4">
        <v>45292</v>
      </c>
      <c r="F420" s="4">
        <v>45657</v>
      </c>
      <c r="G420" s="1" t="s">
        <v>125</v>
      </c>
      <c r="H420" s="5">
        <v>753665.80999999994</v>
      </c>
      <c r="I420" s="5">
        <v>50000</v>
      </c>
      <c r="J420" s="5">
        <v>28050</v>
      </c>
      <c r="K420" s="5">
        <v>33500</v>
      </c>
      <c r="L420" s="5">
        <v>17600</v>
      </c>
      <c r="M420" s="5">
        <v>129150</v>
      </c>
      <c r="N420" s="5">
        <v>591787.36</v>
      </c>
      <c r="O420" s="5">
        <v>0</v>
      </c>
      <c r="P420" s="5">
        <v>32728.45</v>
      </c>
      <c r="Q420" s="5">
        <v>624515.81000000006</v>
      </c>
      <c r="R420" s="1" t="s">
        <v>1047</v>
      </c>
      <c r="S420" s="1" t="s">
        <v>124</v>
      </c>
      <c r="T420" s="4">
        <v>45292</v>
      </c>
      <c r="U420" s="4">
        <v>45657</v>
      </c>
      <c r="V420" s="1" t="s">
        <v>125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624515.81000000006</v>
      </c>
      <c r="AH420" s="5">
        <v>67403.16</v>
      </c>
      <c r="AI420" s="5">
        <v>0</v>
      </c>
      <c r="AJ420" s="5">
        <v>68656.160000000003</v>
      </c>
      <c r="AK420" s="5">
        <v>0</v>
      </c>
      <c r="AL420" s="5">
        <v>0</v>
      </c>
      <c r="AM420" s="5">
        <v>1253</v>
      </c>
      <c r="AN420" s="5">
        <v>67403.16</v>
      </c>
      <c r="AO420" s="1" t="s">
        <v>434</v>
      </c>
    </row>
    <row r="421" spans="1:41" x14ac:dyDescent="0.25">
      <c r="A421" s="1">
        <f t="shared" si="2"/>
        <v>405</v>
      </c>
      <c r="B421" s="1" t="s">
        <v>709</v>
      </c>
      <c r="C421" s="1" t="s">
        <v>123</v>
      </c>
      <c r="D421" s="1" t="s">
        <v>815</v>
      </c>
      <c r="E421" s="4">
        <v>45292</v>
      </c>
      <c r="F421" s="4">
        <v>45657</v>
      </c>
      <c r="G421" s="1" t="s">
        <v>125</v>
      </c>
      <c r="H421" s="5">
        <v>2131625</v>
      </c>
      <c r="I421" s="5">
        <v>90000</v>
      </c>
      <c r="J421" s="5">
        <v>24000</v>
      </c>
      <c r="K421" s="5">
        <v>48500</v>
      </c>
      <c r="L421" s="5">
        <v>10000</v>
      </c>
      <c r="M421" s="5">
        <v>172500</v>
      </c>
      <c r="N421" s="5">
        <v>1777000</v>
      </c>
      <c r="O421" s="5">
        <v>62125</v>
      </c>
      <c r="P421" s="5">
        <v>120000</v>
      </c>
      <c r="Q421" s="5">
        <v>1959125</v>
      </c>
      <c r="R421" s="1" t="s">
        <v>1048</v>
      </c>
      <c r="S421" s="1" t="s">
        <v>124</v>
      </c>
      <c r="T421" s="4">
        <v>45292</v>
      </c>
      <c r="U421" s="4">
        <v>45657</v>
      </c>
      <c r="V421" s="1" t="s">
        <v>125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1959125</v>
      </c>
      <c r="AH421" s="5">
        <v>392281.25</v>
      </c>
      <c r="AI421" s="5">
        <v>0</v>
      </c>
      <c r="AJ421" s="5">
        <v>392280.05</v>
      </c>
      <c r="AK421" s="5">
        <v>0</v>
      </c>
      <c r="AL421" s="5">
        <v>1.2</v>
      </c>
      <c r="AM421" s="5">
        <v>0</v>
      </c>
      <c r="AN421" s="5">
        <v>392281.25</v>
      </c>
      <c r="AO421" s="1" t="s">
        <v>434</v>
      </c>
    </row>
    <row r="422" spans="1:41" x14ac:dyDescent="0.25">
      <c r="A422" s="1">
        <f t="shared" si="2"/>
        <v>406</v>
      </c>
      <c r="B422" s="1" t="s">
        <v>710</v>
      </c>
      <c r="C422" s="1" t="s">
        <v>123</v>
      </c>
      <c r="D422" s="1" t="s">
        <v>815</v>
      </c>
      <c r="E422" s="4">
        <v>45292</v>
      </c>
      <c r="F422" s="4">
        <v>45657</v>
      </c>
      <c r="G422" s="1" t="s">
        <v>125</v>
      </c>
      <c r="H422" s="5">
        <v>954975</v>
      </c>
      <c r="I422" s="5">
        <v>70000</v>
      </c>
      <c r="J422" s="5">
        <v>28050</v>
      </c>
      <c r="K422" s="5">
        <v>39500</v>
      </c>
      <c r="L422" s="5">
        <v>16925</v>
      </c>
      <c r="M422" s="5">
        <v>154475</v>
      </c>
      <c r="N422" s="5">
        <v>800500</v>
      </c>
      <c r="O422" s="5">
        <v>0</v>
      </c>
      <c r="P422" s="5">
        <v>0</v>
      </c>
      <c r="Q422" s="5">
        <v>800500</v>
      </c>
      <c r="R422" s="1" t="s">
        <v>1049</v>
      </c>
      <c r="S422" s="1" t="s">
        <v>124</v>
      </c>
      <c r="T422" s="4">
        <v>45292</v>
      </c>
      <c r="U422" s="4">
        <v>45657</v>
      </c>
      <c r="V422" s="1" t="s">
        <v>125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800500</v>
      </c>
      <c r="AH422" s="5">
        <v>102625</v>
      </c>
      <c r="AI422" s="5">
        <v>0</v>
      </c>
      <c r="AJ422" s="5">
        <v>103063.6</v>
      </c>
      <c r="AK422" s="5">
        <v>0</v>
      </c>
      <c r="AL422" s="5">
        <v>0</v>
      </c>
      <c r="AM422" s="5">
        <v>438.6</v>
      </c>
      <c r="AN422" s="5">
        <v>102625</v>
      </c>
      <c r="AO422" s="1" t="s">
        <v>434</v>
      </c>
    </row>
    <row r="423" spans="1:41" x14ac:dyDescent="0.25">
      <c r="A423" s="1">
        <f t="shared" si="2"/>
        <v>407</v>
      </c>
      <c r="B423" s="1" t="s">
        <v>711</v>
      </c>
      <c r="C423" s="1" t="s">
        <v>123</v>
      </c>
      <c r="D423" s="1" t="s">
        <v>815</v>
      </c>
      <c r="E423" s="4">
        <v>45292</v>
      </c>
      <c r="F423" s="4">
        <v>45657</v>
      </c>
      <c r="G423" s="1" t="s">
        <v>125</v>
      </c>
      <c r="H423" s="5">
        <v>1215145.9100000001</v>
      </c>
      <c r="I423" s="5">
        <v>85672.92</v>
      </c>
      <c r="J423" s="5">
        <v>33300</v>
      </c>
      <c r="K423" s="5">
        <v>44201.87</v>
      </c>
      <c r="L423" s="5">
        <v>0</v>
      </c>
      <c r="M423" s="5">
        <v>163174.79</v>
      </c>
      <c r="N423" s="5">
        <v>983873.13</v>
      </c>
      <c r="O423" s="5">
        <v>0</v>
      </c>
      <c r="P423" s="5">
        <v>68097.990000000005</v>
      </c>
      <c r="Q423" s="5">
        <v>1051971.1200000001</v>
      </c>
      <c r="R423" s="1" t="s">
        <v>1050</v>
      </c>
      <c r="S423" s="1" t="s">
        <v>124</v>
      </c>
      <c r="T423" s="4">
        <v>45292</v>
      </c>
      <c r="U423" s="4">
        <v>45657</v>
      </c>
      <c r="V423" s="1" t="s">
        <v>125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1051971.1200000001</v>
      </c>
      <c r="AH423" s="5">
        <v>165492.78</v>
      </c>
      <c r="AI423" s="5">
        <v>0</v>
      </c>
      <c r="AJ423" s="5">
        <v>165491.67000000001</v>
      </c>
      <c r="AK423" s="5">
        <v>0</v>
      </c>
      <c r="AL423" s="5">
        <v>1.1100000000000001</v>
      </c>
      <c r="AM423" s="5">
        <v>0</v>
      </c>
      <c r="AN423" s="5">
        <v>165492.78</v>
      </c>
      <c r="AO423" s="1" t="s">
        <v>434</v>
      </c>
    </row>
    <row r="424" spans="1:41" x14ac:dyDescent="0.25">
      <c r="A424" s="1">
        <f t="shared" si="2"/>
        <v>408</v>
      </c>
      <c r="B424" s="1" t="s">
        <v>712</v>
      </c>
      <c r="C424" s="1" t="s">
        <v>123</v>
      </c>
      <c r="D424" s="1" t="s">
        <v>815</v>
      </c>
      <c r="E424" s="4">
        <v>45292</v>
      </c>
      <c r="F424" s="4">
        <v>45657</v>
      </c>
      <c r="G424" s="1" t="s">
        <v>125</v>
      </c>
      <c r="H424" s="5">
        <v>1150525</v>
      </c>
      <c r="I424" s="5">
        <v>85000</v>
      </c>
      <c r="J424" s="5">
        <v>28050</v>
      </c>
      <c r="K424" s="5">
        <v>44000</v>
      </c>
      <c r="L424" s="5">
        <v>17475</v>
      </c>
      <c r="M424" s="5">
        <v>174525</v>
      </c>
      <c r="N424" s="5">
        <v>976000</v>
      </c>
      <c r="O424" s="5">
        <v>0</v>
      </c>
      <c r="P424" s="5">
        <v>0</v>
      </c>
      <c r="Q424" s="5">
        <v>976000</v>
      </c>
      <c r="R424" s="1" t="s">
        <v>1051</v>
      </c>
      <c r="S424" s="1" t="s">
        <v>124</v>
      </c>
      <c r="T424" s="4">
        <v>45292</v>
      </c>
      <c r="U424" s="4">
        <v>45657</v>
      </c>
      <c r="V424" s="1" t="s">
        <v>125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976000</v>
      </c>
      <c r="AH424" s="5">
        <v>146500</v>
      </c>
      <c r="AI424" s="5">
        <v>0</v>
      </c>
      <c r="AJ424" s="5">
        <v>146498.87</v>
      </c>
      <c r="AK424" s="5">
        <v>0</v>
      </c>
      <c r="AL424" s="5">
        <v>1.1299999999999999</v>
      </c>
      <c r="AM424" s="5">
        <v>0</v>
      </c>
      <c r="AN424" s="5">
        <v>146500</v>
      </c>
      <c r="AO424" s="1" t="s">
        <v>434</v>
      </c>
    </row>
    <row r="425" spans="1:41" x14ac:dyDescent="0.25">
      <c r="A425" s="1">
        <f t="shared" si="2"/>
        <v>409</v>
      </c>
      <c r="B425" s="1" t="s">
        <v>713</v>
      </c>
      <c r="C425" s="1" t="s">
        <v>123</v>
      </c>
      <c r="D425" s="1" t="s">
        <v>815</v>
      </c>
      <c r="E425" s="4">
        <v>45292</v>
      </c>
      <c r="F425" s="4">
        <v>45657</v>
      </c>
      <c r="G425" s="1" t="s">
        <v>125</v>
      </c>
      <c r="H425" s="5">
        <v>865028.75</v>
      </c>
      <c r="I425" s="5">
        <v>46162.5</v>
      </c>
      <c r="J425" s="5">
        <v>28050</v>
      </c>
      <c r="K425" s="5">
        <v>32348.75</v>
      </c>
      <c r="L425" s="5">
        <v>46475</v>
      </c>
      <c r="M425" s="5">
        <v>153036.25</v>
      </c>
      <c r="N425" s="5">
        <v>521601.25</v>
      </c>
      <c r="O425" s="5">
        <v>0</v>
      </c>
      <c r="P425" s="5">
        <v>190391.25</v>
      </c>
      <c r="Q425" s="5">
        <v>711992.5</v>
      </c>
      <c r="R425" s="1" t="s">
        <v>1052</v>
      </c>
      <c r="S425" s="1" t="s">
        <v>124</v>
      </c>
      <c r="T425" s="4">
        <v>45292</v>
      </c>
      <c r="U425" s="4">
        <v>45657</v>
      </c>
      <c r="V425" s="1" t="s">
        <v>125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711992.5</v>
      </c>
      <c r="AH425" s="5">
        <v>84898.5</v>
      </c>
      <c r="AI425" s="5">
        <v>0</v>
      </c>
      <c r="AJ425" s="5">
        <v>86836.800000000003</v>
      </c>
      <c r="AK425" s="5">
        <v>0</v>
      </c>
      <c r="AL425" s="5">
        <v>0</v>
      </c>
      <c r="AM425" s="5">
        <v>1938.3</v>
      </c>
      <c r="AN425" s="5">
        <v>84898.5</v>
      </c>
      <c r="AO425" s="1" t="s">
        <v>434</v>
      </c>
    </row>
    <row r="426" spans="1:41" x14ac:dyDescent="0.25">
      <c r="A426" s="1">
        <f t="shared" si="2"/>
        <v>410</v>
      </c>
      <c r="B426" s="1" t="s">
        <v>714</v>
      </c>
      <c r="C426" s="1" t="s">
        <v>123</v>
      </c>
      <c r="D426" s="1" t="s">
        <v>815</v>
      </c>
      <c r="E426" s="4">
        <v>45292</v>
      </c>
      <c r="F426" s="4">
        <v>45657</v>
      </c>
      <c r="G426" s="1" t="s">
        <v>125</v>
      </c>
      <c r="H426" s="5">
        <v>940629.27</v>
      </c>
      <c r="I426" s="5">
        <v>65000</v>
      </c>
      <c r="J426" s="5">
        <v>28050</v>
      </c>
      <c r="K426" s="5">
        <v>38000</v>
      </c>
      <c r="L426" s="5">
        <v>18450</v>
      </c>
      <c r="M426" s="5">
        <v>149500</v>
      </c>
      <c r="N426" s="5">
        <v>742000</v>
      </c>
      <c r="O426" s="5">
        <v>0</v>
      </c>
      <c r="P426" s="5">
        <v>49129.27</v>
      </c>
      <c r="Q426" s="5">
        <v>791129.27</v>
      </c>
      <c r="R426" s="1" t="s">
        <v>1053</v>
      </c>
      <c r="S426" s="1" t="s">
        <v>124</v>
      </c>
      <c r="T426" s="4">
        <v>45292</v>
      </c>
      <c r="U426" s="4">
        <v>45657</v>
      </c>
      <c r="V426" s="1" t="s">
        <v>125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791129.27</v>
      </c>
      <c r="AH426" s="5">
        <v>100725.85</v>
      </c>
      <c r="AI426" s="5">
        <v>0</v>
      </c>
      <c r="AJ426" s="5">
        <v>101801.65</v>
      </c>
      <c r="AK426" s="5">
        <v>0</v>
      </c>
      <c r="AL426" s="5">
        <v>0</v>
      </c>
      <c r="AM426" s="5">
        <v>1075.8</v>
      </c>
      <c r="AN426" s="5">
        <v>100725.85</v>
      </c>
      <c r="AO426" s="1" t="s">
        <v>434</v>
      </c>
    </row>
    <row r="427" spans="1:41" x14ac:dyDescent="0.25">
      <c r="A427" s="1">
        <f t="shared" si="2"/>
        <v>411</v>
      </c>
      <c r="B427" s="1" t="s">
        <v>715</v>
      </c>
      <c r="C427" s="1" t="s">
        <v>123</v>
      </c>
      <c r="D427" s="1" t="s">
        <v>815</v>
      </c>
      <c r="E427" s="4">
        <v>45292</v>
      </c>
      <c r="F427" s="4">
        <v>45657</v>
      </c>
      <c r="G427" s="1" t="s">
        <v>125</v>
      </c>
      <c r="H427" s="5">
        <v>2527150</v>
      </c>
      <c r="I427" s="5">
        <v>90000</v>
      </c>
      <c r="J427" s="5">
        <v>24000</v>
      </c>
      <c r="K427" s="5">
        <v>48500</v>
      </c>
      <c r="L427" s="5">
        <v>10000</v>
      </c>
      <c r="M427" s="5">
        <v>172500</v>
      </c>
      <c r="N427" s="5">
        <v>2142100</v>
      </c>
      <c r="O427" s="5">
        <v>92550</v>
      </c>
      <c r="P427" s="5">
        <v>120000</v>
      </c>
      <c r="Q427" s="5">
        <v>2354650</v>
      </c>
      <c r="R427" s="1" t="s">
        <v>1054</v>
      </c>
      <c r="S427" s="1" t="s">
        <v>124</v>
      </c>
      <c r="T427" s="4">
        <v>45292</v>
      </c>
      <c r="U427" s="4">
        <v>45657</v>
      </c>
      <c r="V427" s="1" t="s">
        <v>125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2354650</v>
      </c>
      <c r="AH427" s="5">
        <v>508895</v>
      </c>
      <c r="AI427" s="5">
        <v>0</v>
      </c>
      <c r="AJ427" s="5">
        <v>508894.2</v>
      </c>
      <c r="AK427" s="5">
        <v>0</v>
      </c>
      <c r="AL427" s="5">
        <v>0.8</v>
      </c>
      <c r="AM427" s="5">
        <v>0</v>
      </c>
      <c r="AN427" s="5">
        <v>508895</v>
      </c>
      <c r="AO427" s="1" t="s">
        <v>434</v>
      </c>
    </row>
    <row r="428" spans="1:41" x14ac:dyDescent="0.25">
      <c r="A428" s="1">
        <f t="shared" si="2"/>
        <v>412</v>
      </c>
      <c r="B428" s="1" t="s">
        <v>716</v>
      </c>
      <c r="C428" s="1" t="s">
        <v>123</v>
      </c>
      <c r="D428" s="1" t="s">
        <v>815</v>
      </c>
      <c r="E428" s="4">
        <v>45292</v>
      </c>
      <c r="F428" s="4">
        <v>45657</v>
      </c>
      <c r="G428" s="1" t="s">
        <v>125</v>
      </c>
      <c r="H428" s="5">
        <v>1082117.8999999999</v>
      </c>
      <c r="I428" s="5">
        <v>65000</v>
      </c>
      <c r="J428" s="5">
        <v>28050</v>
      </c>
      <c r="K428" s="5">
        <v>38000</v>
      </c>
      <c r="L428" s="5">
        <v>17775</v>
      </c>
      <c r="M428" s="5">
        <v>148825</v>
      </c>
      <c r="N428" s="5">
        <v>807747.13</v>
      </c>
      <c r="O428" s="5">
        <v>0</v>
      </c>
      <c r="P428" s="5">
        <v>125545.77</v>
      </c>
      <c r="Q428" s="5">
        <v>933292.9</v>
      </c>
      <c r="R428" s="1" t="s">
        <v>1055</v>
      </c>
      <c r="S428" s="1" t="s">
        <v>124</v>
      </c>
      <c r="T428" s="4">
        <v>45292</v>
      </c>
      <c r="U428" s="4">
        <v>45657</v>
      </c>
      <c r="V428" s="1" t="s">
        <v>125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933292.9</v>
      </c>
      <c r="AH428" s="5">
        <v>135823.23000000001</v>
      </c>
      <c r="AI428" s="5">
        <v>0</v>
      </c>
      <c r="AJ428" s="5">
        <v>138713.79999999999</v>
      </c>
      <c r="AK428" s="5">
        <v>0</v>
      </c>
      <c r="AL428" s="5">
        <v>0</v>
      </c>
      <c r="AM428" s="5">
        <v>2890.58</v>
      </c>
      <c r="AN428" s="5">
        <v>135823.23000000001</v>
      </c>
      <c r="AO428" s="1" t="s">
        <v>434</v>
      </c>
    </row>
    <row r="429" spans="1:41" x14ac:dyDescent="0.25">
      <c r="A429" s="1">
        <f t="shared" si="2"/>
        <v>413</v>
      </c>
      <c r="B429" s="1" t="s">
        <v>717</v>
      </c>
      <c r="C429" s="1" t="s">
        <v>123</v>
      </c>
      <c r="D429" s="1" t="s">
        <v>815</v>
      </c>
      <c r="E429" s="4">
        <v>45292</v>
      </c>
      <c r="F429" s="4">
        <v>45657</v>
      </c>
      <c r="G429" s="1" t="s">
        <v>125</v>
      </c>
      <c r="H429" s="5">
        <v>794080.59</v>
      </c>
      <c r="I429" s="5">
        <v>55000</v>
      </c>
      <c r="J429" s="5">
        <v>28050</v>
      </c>
      <c r="K429" s="5">
        <v>35000</v>
      </c>
      <c r="L429" s="5">
        <v>17950</v>
      </c>
      <c r="M429" s="5">
        <v>136000</v>
      </c>
      <c r="N429" s="5">
        <v>622471.26</v>
      </c>
      <c r="O429" s="5">
        <v>0</v>
      </c>
      <c r="P429" s="5">
        <v>35609.33</v>
      </c>
      <c r="Q429" s="5">
        <v>658080.59</v>
      </c>
      <c r="R429" s="1" t="s">
        <v>1056</v>
      </c>
      <c r="S429" s="1" t="s">
        <v>124</v>
      </c>
      <c r="T429" s="4">
        <v>45292</v>
      </c>
      <c r="U429" s="4">
        <v>45657</v>
      </c>
      <c r="V429" s="1" t="s">
        <v>125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658080.59</v>
      </c>
      <c r="AH429" s="5">
        <v>74116.12</v>
      </c>
      <c r="AI429" s="5">
        <v>0</v>
      </c>
      <c r="AJ429" s="5">
        <v>74667.240000000005</v>
      </c>
      <c r="AK429" s="5">
        <v>0</v>
      </c>
      <c r="AL429" s="5">
        <v>0</v>
      </c>
      <c r="AM429" s="5">
        <v>551.12</v>
      </c>
      <c r="AN429" s="5">
        <v>74116.12</v>
      </c>
      <c r="AO429" s="1" t="s">
        <v>434</v>
      </c>
    </row>
    <row r="430" spans="1:41" x14ac:dyDescent="0.25">
      <c r="A430" s="1">
        <f t="shared" si="2"/>
        <v>414</v>
      </c>
      <c r="B430" s="1" t="s">
        <v>718</v>
      </c>
      <c r="C430" s="1" t="s">
        <v>123</v>
      </c>
      <c r="D430" s="1" t="s">
        <v>815</v>
      </c>
      <c r="E430" s="4">
        <v>45292</v>
      </c>
      <c r="F430" s="4">
        <v>45657</v>
      </c>
      <c r="G430" s="1" t="s">
        <v>125</v>
      </c>
      <c r="H430" s="5">
        <v>2121625</v>
      </c>
      <c r="I430" s="5">
        <v>90000</v>
      </c>
      <c r="J430" s="5">
        <v>24000</v>
      </c>
      <c r="K430" s="5">
        <v>48500</v>
      </c>
      <c r="L430" s="5">
        <v>0</v>
      </c>
      <c r="M430" s="5">
        <v>162500</v>
      </c>
      <c r="N430" s="5">
        <v>1777000</v>
      </c>
      <c r="O430" s="5">
        <v>62125</v>
      </c>
      <c r="P430" s="5">
        <v>120000</v>
      </c>
      <c r="Q430" s="5">
        <v>1959125</v>
      </c>
      <c r="R430" s="1" t="s">
        <v>1057</v>
      </c>
      <c r="S430" s="1" t="s">
        <v>124</v>
      </c>
      <c r="T430" s="4">
        <v>45292</v>
      </c>
      <c r="U430" s="4">
        <v>45657</v>
      </c>
      <c r="V430" s="1" t="s">
        <v>125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1959125</v>
      </c>
      <c r="AH430" s="5">
        <v>392281.25</v>
      </c>
      <c r="AI430" s="5">
        <v>0</v>
      </c>
      <c r="AJ430" s="5">
        <v>392280.05</v>
      </c>
      <c r="AK430" s="5">
        <v>0</v>
      </c>
      <c r="AL430" s="5">
        <v>1.2</v>
      </c>
      <c r="AM430" s="5">
        <v>0</v>
      </c>
      <c r="AN430" s="5">
        <v>392281.25</v>
      </c>
      <c r="AO430" s="1" t="s">
        <v>434</v>
      </c>
    </row>
    <row r="431" spans="1:41" x14ac:dyDescent="0.25">
      <c r="A431" s="1">
        <f t="shared" si="2"/>
        <v>415</v>
      </c>
      <c r="B431" s="1" t="s">
        <v>719</v>
      </c>
      <c r="C431" s="1" t="s">
        <v>123</v>
      </c>
      <c r="D431" s="1" t="s">
        <v>815</v>
      </c>
      <c r="E431" s="4">
        <v>45292</v>
      </c>
      <c r="F431" s="4">
        <v>45657</v>
      </c>
      <c r="G431" s="1" t="s">
        <v>125</v>
      </c>
      <c r="H431" s="5">
        <v>847341.97</v>
      </c>
      <c r="I431" s="5">
        <v>60000</v>
      </c>
      <c r="J431" s="5">
        <v>28050</v>
      </c>
      <c r="K431" s="5">
        <v>36500</v>
      </c>
      <c r="L431" s="5">
        <v>16600</v>
      </c>
      <c r="M431" s="5">
        <v>141150</v>
      </c>
      <c r="N431" s="5">
        <v>683500</v>
      </c>
      <c r="O431" s="5">
        <v>0</v>
      </c>
      <c r="P431" s="5">
        <v>22691.97</v>
      </c>
      <c r="Q431" s="5">
        <v>706191.97</v>
      </c>
      <c r="R431" s="1" t="s">
        <v>1058</v>
      </c>
      <c r="S431" s="1" t="s">
        <v>124</v>
      </c>
      <c r="T431" s="4">
        <v>45292</v>
      </c>
      <c r="U431" s="4">
        <v>45657</v>
      </c>
      <c r="V431" s="1" t="s">
        <v>125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706191.97</v>
      </c>
      <c r="AH431" s="5">
        <v>83738.39</v>
      </c>
      <c r="AI431" s="5">
        <v>0</v>
      </c>
      <c r="AJ431" s="5">
        <v>84278.93</v>
      </c>
      <c r="AK431" s="5">
        <v>0</v>
      </c>
      <c r="AL431" s="5">
        <v>0</v>
      </c>
      <c r="AM431" s="5">
        <v>540.54</v>
      </c>
      <c r="AN431" s="5">
        <v>83738.39</v>
      </c>
      <c r="AO431" s="1" t="s">
        <v>434</v>
      </c>
    </row>
    <row r="432" spans="1:41" x14ac:dyDescent="0.25">
      <c r="A432" s="1">
        <f t="shared" si="2"/>
        <v>416</v>
      </c>
      <c r="B432" s="1" t="s">
        <v>720</v>
      </c>
      <c r="C432" s="1" t="s">
        <v>123</v>
      </c>
      <c r="D432" s="1" t="s">
        <v>815</v>
      </c>
      <c r="E432" s="4">
        <v>45292</v>
      </c>
      <c r="F432" s="4">
        <v>45657</v>
      </c>
      <c r="G432" s="1" t="s">
        <v>125</v>
      </c>
      <c r="H432" s="5">
        <v>628125</v>
      </c>
      <c r="I432" s="5">
        <v>45000</v>
      </c>
      <c r="J432" s="5">
        <v>28050</v>
      </c>
      <c r="K432" s="5">
        <v>32000</v>
      </c>
      <c r="L432" s="5">
        <v>15075</v>
      </c>
      <c r="M432" s="5">
        <v>120125</v>
      </c>
      <c r="N432" s="5">
        <v>508000</v>
      </c>
      <c r="O432" s="5">
        <v>0</v>
      </c>
      <c r="P432" s="5">
        <v>0</v>
      </c>
      <c r="Q432" s="5">
        <v>508000</v>
      </c>
      <c r="R432" s="1" t="s">
        <v>1059</v>
      </c>
      <c r="S432" s="1" t="s">
        <v>124</v>
      </c>
      <c r="T432" s="4">
        <v>45292</v>
      </c>
      <c r="U432" s="4">
        <v>45657</v>
      </c>
      <c r="V432" s="1" t="s">
        <v>125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508000</v>
      </c>
      <c r="AH432" s="5">
        <v>44100</v>
      </c>
      <c r="AI432" s="5">
        <v>0</v>
      </c>
      <c r="AJ432" s="5">
        <v>44098.400000000001</v>
      </c>
      <c r="AK432" s="5">
        <v>0</v>
      </c>
      <c r="AL432" s="5">
        <v>1.6</v>
      </c>
      <c r="AM432" s="5">
        <v>0</v>
      </c>
      <c r="AN432" s="5">
        <v>44100</v>
      </c>
      <c r="AO432" s="1" t="s">
        <v>434</v>
      </c>
    </row>
    <row r="433" spans="1:41" x14ac:dyDescent="0.25">
      <c r="A433" s="1">
        <f t="shared" si="2"/>
        <v>417</v>
      </c>
      <c r="B433" s="1" t="s">
        <v>721</v>
      </c>
      <c r="C433" s="1" t="s">
        <v>123</v>
      </c>
      <c r="D433" s="1" t="s">
        <v>815</v>
      </c>
      <c r="E433" s="4">
        <v>45292</v>
      </c>
      <c r="F433" s="4">
        <v>45657</v>
      </c>
      <c r="G433" s="1" t="s">
        <v>125</v>
      </c>
      <c r="H433" s="5">
        <v>1255544.8999999999</v>
      </c>
      <c r="I433" s="5">
        <v>90000</v>
      </c>
      <c r="J433" s="5">
        <v>33300</v>
      </c>
      <c r="K433" s="5">
        <v>46700</v>
      </c>
      <c r="L433" s="5">
        <v>0</v>
      </c>
      <c r="M433" s="5">
        <v>170000</v>
      </c>
      <c r="N433" s="5">
        <v>1081300</v>
      </c>
      <c r="O433" s="5">
        <v>4000</v>
      </c>
      <c r="P433" s="5">
        <v>244.9</v>
      </c>
      <c r="Q433" s="5">
        <v>1085544.8999999999</v>
      </c>
      <c r="R433" s="1" t="s">
        <v>1060</v>
      </c>
      <c r="S433" s="1" t="s">
        <v>124</v>
      </c>
      <c r="T433" s="4">
        <v>45292</v>
      </c>
      <c r="U433" s="4">
        <v>45657</v>
      </c>
      <c r="V433" s="1" t="s">
        <v>125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1085544.8999999999</v>
      </c>
      <c r="AH433" s="5">
        <v>173886.23</v>
      </c>
      <c r="AI433" s="5">
        <v>0</v>
      </c>
      <c r="AJ433" s="5">
        <v>173885.02</v>
      </c>
      <c r="AK433" s="5">
        <v>0</v>
      </c>
      <c r="AL433" s="5">
        <v>1.2</v>
      </c>
      <c r="AM433" s="5">
        <v>0</v>
      </c>
      <c r="AN433" s="5">
        <v>173886.23</v>
      </c>
      <c r="AO433" s="1" t="s">
        <v>434</v>
      </c>
    </row>
    <row r="434" spans="1:41" x14ac:dyDescent="0.25">
      <c r="A434" s="1">
        <f t="shared" si="2"/>
        <v>418</v>
      </c>
      <c r="B434" s="1" t="s">
        <v>722</v>
      </c>
      <c r="C434" s="1" t="s">
        <v>123</v>
      </c>
      <c r="D434" s="1" t="s">
        <v>815</v>
      </c>
      <c r="E434" s="4">
        <v>45292</v>
      </c>
      <c r="F434" s="4">
        <v>45657</v>
      </c>
      <c r="G434" s="1" t="s">
        <v>125</v>
      </c>
      <c r="H434" s="5">
        <v>644012.08000000007</v>
      </c>
      <c r="I434" s="5">
        <v>45000</v>
      </c>
      <c r="J434" s="5">
        <v>28050</v>
      </c>
      <c r="K434" s="5">
        <v>32000</v>
      </c>
      <c r="L434" s="5">
        <v>15700</v>
      </c>
      <c r="M434" s="5">
        <v>120750</v>
      </c>
      <c r="N434" s="5">
        <v>508000</v>
      </c>
      <c r="O434" s="5">
        <v>0</v>
      </c>
      <c r="P434" s="5">
        <v>15262.08</v>
      </c>
      <c r="Q434" s="5">
        <v>523262.08</v>
      </c>
      <c r="R434" s="1" t="s">
        <v>1061</v>
      </c>
      <c r="S434" s="1" t="s">
        <v>124</v>
      </c>
      <c r="T434" s="4">
        <v>45292</v>
      </c>
      <c r="U434" s="4">
        <v>45657</v>
      </c>
      <c r="V434" s="1" t="s">
        <v>125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523262.08</v>
      </c>
      <c r="AH434" s="5">
        <v>47152.42</v>
      </c>
      <c r="AI434" s="5">
        <v>0</v>
      </c>
      <c r="AJ434" s="5">
        <v>47150.82</v>
      </c>
      <c r="AK434" s="5">
        <v>0</v>
      </c>
      <c r="AL434" s="5">
        <v>1.6</v>
      </c>
      <c r="AM434" s="5">
        <v>0</v>
      </c>
      <c r="AN434" s="5">
        <v>47152.42</v>
      </c>
      <c r="AO434" s="1" t="s">
        <v>434</v>
      </c>
    </row>
    <row r="435" spans="1:41" x14ac:dyDescent="0.25">
      <c r="A435" s="1">
        <f t="shared" si="2"/>
        <v>419</v>
      </c>
      <c r="B435" s="1" t="s">
        <v>723</v>
      </c>
      <c r="C435" s="1" t="s">
        <v>123</v>
      </c>
      <c r="D435" s="1" t="s">
        <v>815</v>
      </c>
      <c r="E435" s="4">
        <v>45292</v>
      </c>
      <c r="F435" s="4">
        <v>45657</v>
      </c>
      <c r="G435" s="1" t="s">
        <v>125</v>
      </c>
      <c r="H435" s="5">
        <v>443958.37</v>
      </c>
      <c r="I435" s="5">
        <v>30000</v>
      </c>
      <c r="J435" s="5">
        <v>28050</v>
      </c>
      <c r="K435" s="5">
        <v>27500</v>
      </c>
      <c r="L435" s="5">
        <v>17250</v>
      </c>
      <c r="M435" s="5">
        <v>102800</v>
      </c>
      <c r="N435" s="5">
        <v>332500</v>
      </c>
      <c r="O435" s="5">
        <v>0</v>
      </c>
      <c r="P435" s="5">
        <v>8658.3700000000008</v>
      </c>
      <c r="Q435" s="5">
        <v>341158.37</v>
      </c>
      <c r="R435" s="1" t="s">
        <v>1062</v>
      </c>
      <c r="S435" s="1" t="s">
        <v>124</v>
      </c>
      <c r="T435" s="4">
        <v>45292</v>
      </c>
      <c r="U435" s="4">
        <v>45657</v>
      </c>
      <c r="V435" s="1" t="s">
        <v>125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341158.37</v>
      </c>
      <c r="AH435" s="5">
        <v>13673.76</v>
      </c>
      <c r="AI435" s="5">
        <v>0</v>
      </c>
      <c r="AJ435" s="5">
        <v>13706.37</v>
      </c>
      <c r="AK435" s="5">
        <v>0</v>
      </c>
      <c r="AL435" s="5">
        <v>0</v>
      </c>
      <c r="AM435" s="5">
        <v>32.61</v>
      </c>
      <c r="AN435" s="5">
        <v>13673.76</v>
      </c>
      <c r="AO435" s="1" t="s">
        <v>434</v>
      </c>
    </row>
    <row r="436" spans="1:41" x14ac:dyDescent="0.25">
      <c r="A436" s="1">
        <f t="shared" si="2"/>
        <v>420</v>
      </c>
      <c r="B436" s="1" t="s">
        <v>724</v>
      </c>
      <c r="C436" s="1" t="s">
        <v>123</v>
      </c>
      <c r="D436" s="1" t="s">
        <v>815</v>
      </c>
      <c r="E436" s="4">
        <v>45292</v>
      </c>
      <c r="F436" s="4">
        <v>45657</v>
      </c>
      <c r="G436" s="1" t="s">
        <v>125</v>
      </c>
      <c r="H436" s="5">
        <v>431575</v>
      </c>
      <c r="I436" s="5">
        <v>30000</v>
      </c>
      <c r="J436" s="5">
        <v>28050</v>
      </c>
      <c r="K436" s="5">
        <v>27500</v>
      </c>
      <c r="L436" s="5">
        <v>13525</v>
      </c>
      <c r="M436" s="5">
        <v>99075</v>
      </c>
      <c r="N436" s="5">
        <v>332500</v>
      </c>
      <c r="O436" s="5">
        <v>0</v>
      </c>
      <c r="P436" s="5">
        <v>0</v>
      </c>
      <c r="Q436" s="5">
        <v>332500</v>
      </c>
      <c r="R436" s="1" t="s">
        <v>1063</v>
      </c>
      <c r="S436" s="1" t="s">
        <v>124</v>
      </c>
      <c r="T436" s="4">
        <v>45292</v>
      </c>
      <c r="U436" s="4">
        <v>45657</v>
      </c>
      <c r="V436" s="1" t="s">
        <v>125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332500</v>
      </c>
      <c r="AH436" s="5">
        <v>12375</v>
      </c>
      <c r="AI436" s="5">
        <v>0</v>
      </c>
      <c r="AJ436" s="5">
        <v>12373.78</v>
      </c>
      <c r="AK436" s="5">
        <v>0</v>
      </c>
      <c r="AL436" s="5">
        <v>1.22</v>
      </c>
      <c r="AM436" s="5">
        <v>0</v>
      </c>
      <c r="AN436" s="5">
        <v>12375</v>
      </c>
      <c r="AO436" s="1" t="s">
        <v>434</v>
      </c>
    </row>
    <row r="437" spans="1:41" x14ac:dyDescent="0.25">
      <c r="A437" s="1">
        <f t="shared" si="2"/>
        <v>421</v>
      </c>
      <c r="B437" s="1" t="s">
        <v>725</v>
      </c>
      <c r="C437" s="1" t="s">
        <v>123</v>
      </c>
      <c r="D437" s="1" t="s">
        <v>815</v>
      </c>
      <c r="E437" s="4">
        <v>45292</v>
      </c>
      <c r="F437" s="4">
        <v>45657</v>
      </c>
      <c r="G437" s="1" t="s">
        <v>125</v>
      </c>
      <c r="H437" s="5">
        <v>448020.53</v>
      </c>
      <c r="I437" s="5">
        <v>30000</v>
      </c>
      <c r="J437" s="5">
        <v>28050</v>
      </c>
      <c r="K437" s="5">
        <v>27500</v>
      </c>
      <c r="L437" s="5">
        <v>17325</v>
      </c>
      <c r="M437" s="5">
        <v>102875</v>
      </c>
      <c r="N437" s="5">
        <v>332500</v>
      </c>
      <c r="O437" s="5">
        <v>0</v>
      </c>
      <c r="P437" s="5">
        <v>12645.53</v>
      </c>
      <c r="Q437" s="5">
        <v>345145.53</v>
      </c>
      <c r="R437" s="1" t="s">
        <v>1064</v>
      </c>
      <c r="S437" s="1" t="s">
        <v>124</v>
      </c>
      <c r="T437" s="4">
        <v>45292</v>
      </c>
      <c r="U437" s="4">
        <v>45657</v>
      </c>
      <c r="V437" s="1" t="s">
        <v>125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345145.53</v>
      </c>
      <c r="AH437" s="5">
        <v>14271.83</v>
      </c>
      <c r="AI437" s="5">
        <v>0</v>
      </c>
      <c r="AJ437" s="5">
        <v>14270.64</v>
      </c>
      <c r="AK437" s="5">
        <v>0</v>
      </c>
      <c r="AL437" s="5">
        <v>1.19</v>
      </c>
      <c r="AM437" s="5">
        <v>0</v>
      </c>
      <c r="AN437" s="5">
        <v>14271.83</v>
      </c>
      <c r="AO437" s="1" t="s">
        <v>434</v>
      </c>
    </row>
    <row r="438" spans="1:41" x14ac:dyDescent="0.25">
      <c r="A438" s="1">
        <f t="shared" si="2"/>
        <v>422</v>
      </c>
      <c r="B438" s="1" t="s">
        <v>726</v>
      </c>
      <c r="C438" s="1" t="s">
        <v>123</v>
      </c>
      <c r="D438" s="1" t="s">
        <v>815</v>
      </c>
      <c r="E438" s="4">
        <v>45292</v>
      </c>
      <c r="F438" s="4">
        <v>45657</v>
      </c>
      <c r="G438" s="1" t="s">
        <v>125</v>
      </c>
      <c r="H438" s="5">
        <v>436625</v>
      </c>
      <c r="I438" s="5">
        <v>30000</v>
      </c>
      <c r="J438" s="5">
        <v>28050</v>
      </c>
      <c r="K438" s="5">
        <v>27500</v>
      </c>
      <c r="L438" s="5">
        <v>18575</v>
      </c>
      <c r="M438" s="5">
        <v>104125</v>
      </c>
      <c r="N438" s="5">
        <v>332500</v>
      </c>
      <c r="O438" s="5">
        <v>0</v>
      </c>
      <c r="P438" s="5">
        <v>0</v>
      </c>
      <c r="Q438" s="5">
        <v>332500</v>
      </c>
      <c r="R438" s="1" t="s">
        <v>1065</v>
      </c>
      <c r="S438" s="1" t="s">
        <v>124</v>
      </c>
      <c r="T438" s="4">
        <v>45292</v>
      </c>
      <c r="U438" s="4">
        <v>45657</v>
      </c>
      <c r="V438" s="1" t="s">
        <v>125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332500</v>
      </c>
      <c r="AH438" s="5">
        <v>12375</v>
      </c>
      <c r="AI438" s="5">
        <v>0</v>
      </c>
      <c r="AJ438" s="5">
        <v>12373.78</v>
      </c>
      <c r="AK438" s="5">
        <v>0</v>
      </c>
      <c r="AL438" s="5">
        <v>1.22</v>
      </c>
      <c r="AM438" s="5">
        <v>0</v>
      </c>
      <c r="AN438" s="5">
        <v>12375</v>
      </c>
      <c r="AO438" s="1" t="s">
        <v>434</v>
      </c>
    </row>
    <row r="439" spans="1:41" x14ac:dyDescent="0.25">
      <c r="A439" s="1">
        <f t="shared" si="2"/>
        <v>423</v>
      </c>
      <c r="B439" s="1" t="s">
        <v>727</v>
      </c>
      <c r="C439" s="1" t="s">
        <v>123</v>
      </c>
      <c r="D439" s="1" t="s">
        <v>815</v>
      </c>
      <c r="E439" s="4">
        <v>45292</v>
      </c>
      <c r="F439" s="4">
        <v>45657</v>
      </c>
      <c r="G439" s="1" t="s">
        <v>125</v>
      </c>
      <c r="H439" s="5">
        <v>460106.5</v>
      </c>
      <c r="I439" s="5">
        <v>29770.12</v>
      </c>
      <c r="J439" s="5">
        <v>30430</v>
      </c>
      <c r="K439" s="5">
        <v>27500</v>
      </c>
      <c r="L439" s="5">
        <v>14300</v>
      </c>
      <c r="M439" s="5">
        <v>102000.12</v>
      </c>
      <c r="N439" s="5">
        <v>329741.38</v>
      </c>
      <c r="O439" s="5">
        <v>0</v>
      </c>
      <c r="P439" s="5">
        <v>28365</v>
      </c>
      <c r="Q439" s="5">
        <v>358106.38</v>
      </c>
      <c r="R439" s="1" t="s">
        <v>1066</v>
      </c>
      <c r="S439" s="1" t="s">
        <v>124</v>
      </c>
      <c r="T439" s="4">
        <v>45292</v>
      </c>
      <c r="U439" s="4">
        <v>45657</v>
      </c>
      <c r="V439" s="1" t="s">
        <v>125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358106.38</v>
      </c>
      <c r="AH439" s="5">
        <v>16215.96</v>
      </c>
      <c r="AI439" s="5">
        <v>0</v>
      </c>
      <c r="AJ439" s="5">
        <v>16934</v>
      </c>
      <c r="AK439" s="5">
        <v>0</v>
      </c>
      <c r="AL439" s="5">
        <v>0</v>
      </c>
      <c r="AM439" s="5">
        <v>718.04</v>
      </c>
      <c r="AN439" s="5">
        <v>16215.96</v>
      </c>
      <c r="AO439" s="1" t="s">
        <v>434</v>
      </c>
    </row>
    <row r="440" spans="1:41" x14ac:dyDescent="0.25">
      <c r="A440" s="1">
        <f t="shared" si="2"/>
        <v>424</v>
      </c>
      <c r="B440" s="1" t="s">
        <v>728</v>
      </c>
      <c r="C440" s="1" t="s">
        <v>123</v>
      </c>
      <c r="D440" s="1" t="s">
        <v>815</v>
      </c>
      <c r="E440" s="4">
        <v>45292</v>
      </c>
      <c r="F440" s="4">
        <v>45657</v>
      </c>
      <c r="G440" s="1" t="s">
        <v>125</v>
      </c>
      <c r="H440" s="5">
        <v>2714912.5</v>
      </c>
      <c r="I440" s="5">
        <v>90000</v>
      </c>
      <c r="J440" s="5">
        <v>24000</v>
      </c>
      <c r="K440" s="5">
        <v>48500</v>
      </c>
      <c r="L440" s="5">
        <v>0</v>
      </c>
      <c r="M440" s="5">
        <v>162500</v>
      </c>
      <c r="N440" s="5">
        <v>2324650</v>
      </c>
      <c r="O440" s="5">
        <v>107762.5</v>
      </c>
      <c r="P440" s="5">
        <v>120000</v>
      </c>
      <c r="Q440" s="5">
        <v>2552412.5</v>
      </c>
      <c r="R440" s="1" t="s">
        <v>1067</v>
      </c>
      <c r="S440" s="1" t="s">
        <v>124</v>
      </c>
      <c r="T440" s="4">
        <v>45292</v>
      </c>
      <c r="U440" s="4">
        <v>45657</v>
      </c>
      <c r="V440" s="1" t="s">
        <v>125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2552412.5</v>
      </c>
      <c r="AH440" s="5">
        <v>568223.75</v>
      </c>
      <c r="AI440" s="5">
        <v>0</v>
      </c>
      <c r="AJ440" s="5">
        <v>568222.94999999995</v>
      </c>
      <c r="AK440" s="5">
        <v>0</v>
      </c>
      <c r="AL440" s="5">
        <v>0.8</v>
      </c>
      <c r="AM440" s="5">
        <v>0</v>
      </c>
      <c r="AN440" s="5">
        <v>568223.75</v>
      </c>
      <c r="AO440" s="1" t="s">
        <v>434</v>
      </c>
    </row>
    <row r="441" spans="1:41" x14ac:dyDescent="0.25">
      <c r="A441" s="1">
        <f t="shared" si="2"/>
        <v>425</v>
      </c>
      <c r="B441" s="1" t="s">
        <v>729</v>
      </c>
      <c r="C441" s="1" t="s">
        <v>123</v>
      </c>
      <c r="D441" s="1" t="s">
        <v>815</v>
      </c>
      <c r="E441" s="4">
        <v>45292</v>
      </c>
      <c r="F441" s="4">
        <v>45657</v>
      </c>
      <c r="G441" s="1" t="s">
        <v>125</v>
      </c>
      <c r="H441" s="5">
        <v>1283019.74</v>
      </c>
      <c r="I441" s="5">
        <v>90000</v>
      </c>
      <c r="J441" s="5">
        <v>33300</v>
      </c>
      <c r="K441" s="5">
        <v>46700</v>
      </c>
      <c r="L441" s="5">
        <v>0</v>
      </c>
      <c r="M441" s="5">
        <v>170000</v>
      </c>
      <c r="N441" s="5">
        <v>1081300</v>
      </c>
      <c r="O441" s="5">
        <v>2919.54</v>
      </c>
      <c r="P441" s="5">
        <v>28800.2</v>
      </c>
      <c r="Q441" s="5">
        <v>1113019.74</v>
      </c>
      <c r="R441" s="1" t="s">
        <v>1068</v>
      </c>
      <c r="S441" s="1" t="s">
        <v>124</v>
      </c>
      <c r="T441" s="4">
        <v>45292</v>
      </c>
      <c r="U441" s="4">
        <v>45657</v>
      </c>
      <c r="V441" s="1" t="s">
        <v>125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1113019.74</v>
      </c>
      <c r="AH441" s="5">
        <v>180754.94</v>
      </c>
      <c r="AI441" s="5">
        <v>0</v>
      </c>
      <c r="AJ441" s="5">
        <v>180777.41</v>
      </c>
      <c r="AK441" s="5">
        <v>0</v>
      </c>
      <c r="AL441" s="5">
        <v>0</v>
      </c>
      <c r="AM441" s="5">
        <v>22.48</v>
      </c>
      <c r="AN441" s="5">
        <v>180754.94</v>
      </c>
      <c r="AO441" s="1" t="s">
        <v>434</v>
      </c>
    </row>
    <row r="442" spans="1:41" x14ac:dyDescent="0.25">
      <c r="A442" s="1">
        <f t="shared" si="2"/>
        <v>426</v>
      </c>
      <c r="B442" s="1" t="s">
        <v>730</v>
      </c>
      <c r="C442" s="1" t="s">
        <v>123</v>
      </c>
      <c r="D442" s="1" t="s">
        <v>815</v>
      </c>
      <c r="E442" s="4">
        <v>45292</v>
      </c>
      <c r="F442" s="4">
        <v>45657</v>
      </c>
      <c r="G442" s="1" t="s">
        <v>125</v>
      </c>
      <c r="H442" s="5">
        <v>2231130.5</v>
      </c>
      <c r="I442" s="5">
        <v>90000</v>
      </c>
      <c r="J442" s="5">
        <v>24000</v>
      </c>
      <c r="K442" s="5">
        <v>48500</v>
      </c>
      <c r="L442" s="5">
        <v>0</v>
      </c>
      <c r="M442" s="5">
        <v>162500</v>
      </c>
      <c r="N442" s="5">
        <v>1878082</v>
      </c>
      <c r="O442" s="5">
        <v>70548.5</v>
      </c>
      <c r="P442" s="5">
        <v>120000</v>
      </c>
      <c r="Q442" s="5">
        <v>2068630.5</v>
      </c>
      <c r="R442" s="1" t="s">
        <v>1069</v>
      </c>
      <c r="S442" s="1" t="s">
        <v>124</v>
      </c>
      <c r="T442" s="4">
        <v>45292</v>
      </c>
      <c r="U442" s="4">
        <v>45657</v>
      </c>
      <c r="V442" s="1" t="s">
        <v>125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2068630.5</v>
      </c>
      <c r="AH442" s="5">
        <v>423089.15</v>
      </c>
      <c r="AI442" s="5">
        <v>0</v>
      </c>
      <c r="AJ442" s="5">
        <v>426068.94</v>
      </c>
      <c r="AK442" s="5">
        <v>0</v>
      </c>
      <c r="AL442" s="5">
        <v>0</v>
      </c>
      <c r="AM442" s="5">
        <v>2979.79</v>
      </c>
      <c r="AN442" s="5">
        <v>423089.15</v>
      </c>
      <c r="AO442" s="1" t="s">
        <v>434</v>
      </c>
    </row>
    <row r="443" spans="1:41" x14ac:dyDescent="0.25">
      <c r="A443" s="1">
        <f t="shared" si="2"/>
        <v>427</v>
      </c>
      <c r="B443" s="1" t="s">
        <v>731</v>
      </c>
      <c r="C443" s="1" t="s">
        <v>123</v>
      </c>
      <c r="D443" s="1" t="s">
        <v>815</v>
      </c>
      <c r="E443" s="4">
        <v>45292</v>
      </c>
      <c r="F443" s="4">
        <v>45657</v>
      </c>
      <c r="G443" s="1" t="s">
        <v>125</v>
      </c>
      <c r="H443" s="5">
        <v>2394199.8891666667</v>
      </c>
      <c r="I443" s="5">
        <v>90000</v>
      </c>
      <c r="J443" s="5">
        <v>24000</v>
      </c>
      <c r="K443" s="5">
        <v>48500</v>
      </c>
      <c r="L443" s="5">
        <v>0</v>
      </c>
      <c r="M443" s="5">
        <v>162500</v>
      </c>
      <c r="N443" s="5">
        <v>2028607.59</v>
      </c>
      <c r="O443" s="5">
        <v>83092.3</v>
      </c>
      <c r="P443" s="5">
        <v>120000</v>
      </c>
      <c r="Q443" s="5">
        <v>2231699.89</v>
      </c>
      <c r="R443" s="1" t="s">
        <v>1070</v>
      </c>
      <c r="S443" s="1" t="s">
        <v>124</v>
      </c>
      <c r="T443" s="4">
        <v>45292</v>
      </c>
      <c r="U443" s="4">
        <v>45657</v>
      </c>
      <c r="V443" s="1" t="s">
        <v>125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2231699.89</v>
      </c>
      <c r="AH443" s="5">
        <v>472009.97</v>
      </c>
      <c r="AI443" s="5">
        <v>0</v>
      </c>
      <c r="AJ443" s="5">
        <v>472963.72</v>
      </c>
      <c r="AK443" s="5">
        <v>0</v>
      </c>
      <c r="AL443" s="5">
        <v>0</v>
      </c>
      <c r="AM443" s="5">
        <v>953.75</v>
      </c>
      <c r="AN443" s="5">
        <v>472009.97</v>
      </c>
      <c r="AO443" s="1" t="s">
        <v>434</v>
      </c>
    </row>
    <row r="444" spans="1:41" x14ac:dyDescent="0.25">
      <c r="A444" s="1">
        <f t="shared" si="2"/>
        <v>428</v>
      </c>
      <c r="B444" s="1" t="s">
        <v>732</v>
      </c>
      <c r="C444" s="1" t="s">
        <v>123</v>
      </c>
      <c r="D444" s="1" t="s">
        <v>815</v>
      </c>
      <c r="E444" s="4">
        <v>45292</v>
      </c>
      <c r="F444" s="4">
        <v>45657</v>
      </c>
      <c r="G444" s="1" t="s">
        <v>125</v>
      </c>
      <c r="H444" s="5">
        <v>890425</v>
      </c>
      <c r="I444" s="5">
        <v>65000</v>
      </c>
      <c r="J444" s="5">
        <v>28050</v>
      </c>
      <c r="K444" s="5">
        <v>38000</v>
      </c>
      <c r="L444" s="5">
        <v>17375</v>
      </c>
      <c r="M444" s="5">
        <v>148425</v>
      </c>
      <c r="N444" s="5">
        <v>742000</v>
      </c>
      <c r="O444" s="5">
        <v>0</v>
      </c>
      <c r="P444" s="5">
        <v>0</v>
      </c>
      <c r="Q444" s="5">
        <v>742000</v>
      </c>
      <c r="R444" s="1" t="s">
        <v>1071</v>
      </c>
      <c r="S444" s="1" t="s">
        <v>124</v>
      </c>
      <c r="T444" s="4">
        <v>45292</v>
      </c>
      <c r="U444" s="4">
        <v>45657</v>
      </c>
      <c r="V444" s="1" t="s">
        <v>125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742000</v>
      </c>
      <c r="AH444" s="5">
        <v>90900</v>
      </c>
      <c r="AI444" s="5">
        <v>0</v>
      </c>
      <c r="AJ444" s="5">
        <v>90898.4</v>
      </c>
      <c r="AK444" s="5">
        <v>0</v>
      </c>
      <c r="AL444" s="5">
        <v>1.6</v>
      </c>
      <c r="AM444" s="5">
        <v>0</v>
      </c>
      <c r="AN444" s="5">
        <v>90900</v>
      </c>
      <c r="AO444" s="1" t="s">
        <v>434</v>
      </c>
    </row>
    <row r="445" spans="1:41" x14ac:dyDescent="0.25">
      <c r="A445" s="1">
        <f t="shared" si="2"/>
        <v>429</v>
      </c>
      <c r="B445" s="1" t="s">
        <v>733</v>
      </c>
      <c r="C445" s="1" t="s">
        <v>123</v>
      </c>
      <c r="D445" s="1" t="s">
        <v>815</v>
      </c>
      <c r="E445" s="4">
        <v>45292</v>
      </c>
      <c r="F445" s="4">
        <v>45657</v>
      </c>
      <c r="G445" s="1" t="s">
        <v>125</v>
      </c>
      <c r="H445" s="5">
        <v>891100</v>
      </c>
      <c r="I445" s="5">
        <v>65000</v>
      </c>
      <c r="J445" s="5">
        <v>28050</v>
      </c>
      <c r="K445" s="5">
        <v>38000</v>
      </c>
      <c r="L445" s="5">
        <v>18050</v>
      </c>
      <c r="M445" s="5">
        <v>149100</v>
      </c>
      <c r="N445" s="5">
        <v>742000</v>
      </c>
      <c r="O445" s="5">
        <v>0</v>
      </c>
      <c r="P445" s="5">
        <v>0</v>
      </c>
      <c r="Q445" s="5">
        <v>742000</v>
      </c>
      <c r="R445" s="1" t="s">
        <v>1072</v>
      </c>
      <c r="S445" s="1" t="s">
        <v>124</v>
      </c>
      <c r="T445" s="4">
        <v>45292</v>
      </c>
      <c r="U445" s="4">
        <v>45657</v>
      </c>
      <c r="V445" s="1" t="s">
        <v>125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742000</v>
      </c>
      <c r="AH445" s="5">
        <v>90900</v>
      </c>
      <c r="AI445" s="5">
        <v>0</v>
      </c>
      <c r="AJ445" s="5">
        <v>90898.4</v>
      </c>
      <c r="AK445" s="5">
        <v>0</v>
      </c>
      <c r="AL445" s="5">
        <v>1.6</v>
      </c>
      <c r="AM445" s="5">
        <v>0</v>
      </c>
      <c r="AN445" s="5">
        <v>90900</v>
      </c>
      <c r="AO445" s="1" t="s">
        <v>434</v>
      </c>
    </row>
    <row r="446" spans="1:41" x14ac:dyDescent="0.25">
      <c r="A446" s="1">
        <f t="shared" si="2"/>
        <v>430</v>
      </c>
      <c r="B446" s="1" t="s">
        <v>734</v>
      </c>
      <c r="C446" s="1" t="s">
        <v>123</v>
      </c>
      <c r="D446" s="1" t="s">
        <v>815</v>
      </c>
      <c r="E446" s="4">
        <v>45292</v>
      </c>
      <c r="F446" s="4">
        <v>45657</v>
      </c>
      <c r="G446" s="1" t="s">
        <v>125</v>
      </c>
      <c r="H446" s="5">
        <v>1085550</v>
      </c>
      <c r="I446" s="5">
        <v>80000</v>
      </c>
      <c r="J446" s="5">
        <v>28050</v>
      </c>
      <c r="K446" s="5">
        <v>42500</v>
      </c>
      <c r="L446" s="5">
        <v>17500</v>
      </c>
      <c r="M446" s="5">
        <v>168050</v>
      </c>
      <c r="N446" s="5">
        <v>917500</v>
      </c>
      <c r="O446" s="5">
        <v>0</v>
      </c>
      <c r="P446" s="5">
        <v>0</v>
      </c>
      <c r="Q446" s="5">
        <v>917500</v>
      </c>
      <c r="R446" s="1" t="s">
        <v>1073</v>
      </c>
      <c r="S446" s="1" t="s">
        <v>124</v>
      </c>
      <c r="T446" s="4">
        <v>45292</v>
      </c>
      <c r="U446" s="4">
        <v>45657</v>
      </c>
      <c r="V446" s="1" t="s">
        <v>125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917500</v>
      </c>
      <c r="AH446" s="5">
        <v>131875</v>
      </c>
      <c r="AI446" s="5">
        <v>0</v>
      </c>
      <c r="AJ446" s="5">
        <v>131873.79999999999</v>
      </c>
      <c r="AK446" s="5">
        <v>0</v>
      </c>
      <c r="AL446" s="5">
        <v>1.2</v>
      </c>
      <c r="AM446" s="5">
        <v>0</v>
      </c>
      <c r="AN446" s="5">
        <v>131875</v>
      </c>
      <c r="AO446" s="1" t="s">
        <v>434</v>
      </c>
    </row>
    <row r="447" spans="1:41" x14ac:dyDescent="0.25">
      <c r="A447" s="1">
        <f t="shared" si="2"/>
        <v>431</v>
      </c>
      <c r="B447" s="1" t="s">
        <v>735</v>
      </c>
      <c r="C447" s="1" t="s">
        <v>123</v>
      </c>
      <c r="D447" s="1" t="s">
        <v>815</v>
      </c>
      <c r="E447" s="4">
        <v>45292</v>
      </c>
      <c r="F447" s="4">
        <v>45657</v>
      </c>
      <c r="G447" s="1" t="s">
        <v>125</v>
      </c>
      <c r="H447" s="5">
        <v>909259.48</v>
      </c>
      <c r="I447" s="5">
        <v>65000</v>
      </c>
      <c r="J447" s="5">
        <v>39600</v>
      </c>
      <c r="K447" s="5">
        <v>38000</v>
      </c>
      <c r="L447" s="5">
        <v>15750</v>
      </c>
      <c r="M447" s="5">
        <v>158350</v>
      </c>
      <c r="N447" s="5">
        <v>742000</v>
      </c>
      <c r="O447" s="5">
        <v>0</v>
      </c>
      <c r="P447" s="5">
        <v>8909.48</v>
      </c>
      <c r="Q447" s="5">
        <v>750909.48</v>
      </c>
      <c r="R447" s="1" t="s">
        <v>1074</v>
      </c>
      <c r="S447" s="1" t="s">
        <v>124</v>
      </c>
      <c r="T447" s="4">
        <v>45292</v>
      </c>
      <c r="U447" s="4">
        <v>45657</v>
      </c>
      <c r="V447" s="1" t="s">
        <v>125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750909.48</v>
      </c>
      <c r="AH447" s="5">
        <v>92681.9</v>
      </c>
      <c r="AI447" s="5">
        <v>0</v>
      </c>
      <c r="AJ447" s="5">
        <v>92882.17</v>
      </c>
      <c r="AK447" s="5">
        <v>0</v>
      </c>
      <c r="AL447" s="5">
        <v>0</v>
      </c>
      <c r="AM447" s="5">
        <v>200.27</v>
      </c>
      <c r="AN447" s="5">
        <v>92681.9</v>
      </c>
      <c r="AO447" s="1" t="s">
        <v>434</v>
      </c>
    </row>
    <row r="448" spans="1:41" x14ac:dyDescent="0.25">
      <c r="A448" s="1">
        <f t="shared" si="2"/>
        <v>432</v>
      </c>
      <c r="B448" s="1" t="s">
        <v>736</v>
      </c>
      <c r="C448" s="1" t="s">
        <v>123</v>
      </c>
      <c r="D448" s="1" t="s">
        <v>815</v>
      </c>
      <c r="E448" s="4">
        <v>45292</v>
      </c>
      <c r="F448" s="4">
        <v>45657</v>
      </c>
      <c r="G448" s="1" t="s">
        <v>125</v>
      </c>
      <c r="H448" s="5">
        <v>986645.5</v>
      </c>
      <c r="I448" s="5">
        <v>70000</v>
      </c>
      <c r="J448" s="5">
        <v>28050</v>
      </c>
      <c r="K448" s="5">
        <v>39500</v>
      </c>
      <c r="L448" s="5">
        <v>17475</v>
      </c>
      <c r="M448" s="5">
        <v>155025</v>
      </c>
      <c r="N448" s="5">
        <v>800500</v>
      </c>
      <c r="O448" s="5">
        <v>0</v>
      </c>
      <c r="P448" s="5">
        <v>31120.5</v>
      </c>
      <c r="Q448" s="5">
        <v>831620.5</v>
      </c>
      <c r="R448" s="1" t="s">
        <v>1075</v>
      </c>
      <c r="S448" s="1" t="s">
        <v>124</v>
      </c>
      <c r="T448" s="4">
        <v>45292</v>
      </c>
      <c r="U448" s="4">
        <v>45657</v>
      </c>
      <c r="V448" s="1" t="s">
        <v>125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831620.5</v>
      </c>
      <c r="AH448" s="5">
        <v>110405.13</v>
      </c>
      <c r="AI448" s="5">
        <v>0</v>
      </c>
      <c r="AJ448" s="5">
        <v>110770.53</v>
      </c>
      <c r="AK448" s="5">
        <v>0</v>
      </c>
      <c r="AL448" s="5">
        <v>0</v>
      </c>
      <c r="AM448" s="5">
        <v>365.4</v>
      </c>
      <c r="AN448" s="5">
        <v>110405.13</v>
      </c>
      <c r="AO448" s="1" t="s">
        <v>434</v>
      </c>
    </row>
    <row r="449" spans="1:41" x14ac:dyDescent="0.25">
      <c r="A449" s="1">
        <f t="shared" si="2"/>
        <v>433</v>
      </c>
      <c r="B449" s="1" t="s">
        <v>737</v>
      </c>
      <c r="C449" s="1" t="s">
        <v>123</v>
      </c>
      <c r="D449" s="1" t="s">
        <v>815</v>
      </c>
      <c r="E449" s="4">
        <v>45292</v>
      </c>
      <c r="F449" s="4">
        <v>45657</v>
      </c>
      <c r="G449" s="1" t="s">
        <v>125</v>
      </c>
      <c r="H449" s="5">
        <v>947083.33000000007</v>
      </c>
      <c r="I449" s="5">
        <v>69333.33</v>
      </c>
      <c r="J449" s="5">
        <v>28050</v>
      </c>
      <c r="K449" s="5">
        <v>39300</v>
      </c>
      <c r="L449" s="5">
        <v>17700</v>
      </c>
      <c r="M449" s="5">
        <v>154383.32999999999</v>
      </c>
      <c r="N449" s="5">
        <v>792700</v>
      </c>
      <c r="O449" s="5">
        <v>0</v>
      </c>
      <c r="P449" s="5">
        <v>0</v>
      </c>
      <c r="Q449" s="5">
        <v>792700</v>
      </c>
      <c r="R449" s="1" t="s">
        <v>1076</v>
      </c>
      <c r="S449" s="1" t="s">
        <v>124</v>
      </c>
      <c r="T449" s="4">
        <v>45292</v>
      </c>
      <c r="U449" s="4">
        <v>45657</v>
      </c>
      <c r="V449" s="1" t="s">
        <v>125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792700</v>
      </c>
      <c r="AH449" s="5">
        <v>101040</v>
      </c>
      <c r="AI449" s="5">
        <v>0</v>
      </c>
      <c r="AJ449" s="5">
        <v>102038.84</v>
      </c>
      <c r="AK449" s="5">
        <v>0</v>
      </c>
      <c r="AL449" s="5">
        <v>0</v>
      </c>
      <c r="AM449" s="5">
        <v>998.84</v>
      </c>
      <c r="AN449" s="5">
        <v>101040</v>
      </c>
      <c r="AO449" s="1" t="s">
        <v>434</v>
      </c>
    </row>
    <row r="450" spans="1:41" x14ac:dyDescent="0.25">
      <c r="A450" s="1">
        <f t="shared" si="2"/>
        <v>434</v>
      </c>
      <c r="B450" s="1" t="s">
        <v>738</v>
      </c>
      <c r="C450" s="1" t="s">
        <v>123</v>
      </c>
      <c r="D450" s="1" t="s">
        <v>815</v>
      </c>
      <c r="E450" s="4">
        <v>45292</v>
      </c>
      <c r="F450" s="4">
        <v>45657</v>
      </c>
      <c r="G450" s="1" t="s">
        <v>125</v>
      </c>
      <c r="H450" s="5">
        <v>2458668.1008333331</v>
      </c>
      <c r="I450" s="5">
        <v>90000</v>
      </c>
      <c r="J450" s="5">
        <v>23000</v>
      </c>
      <c r="K450" s="5">
        <v>47250</v>
      </c>
      <c r="L450" s="5">
        <v>0</v>
      </c>
      <c r="M450" s="5">
        <v>160250</v>
      </c>
      <c r="N450" s="5">
        <v>2094905.17</v>
      </c>
      <c r="O450" s="5">
        <v>88512.93</v>
      </c>
      <c r="P450" s="5">
        <v>115000</v>
      </c>
      <c r="Q450" s="5">
        <v>2298418.1</v>
      </c>
      <c r="R450" s="1" t="s">
        <v>1077</v>
      </c>
      <c r="S450" s="1" t="s">
        <v>124</v>
      </c>
      <c r="T450" s="4">
        <v>45292</v>
      </c>
      <c r="U450" s="4">
        <v>45657</v>
      </c>
      <c r="V450" s="1" t="s">
        <v>125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2298418.1</v>
      </c>
      <c r="AH450" s="5">
        <v>492025.43</v>
      </c>
      <c r="AI450" s="5">
        <v>0</v>
      </c>
      <c r="AJ450" s="5">
        <v>503202.57</v>
      </c>
      <c r="AK450" s="5">
        <v>0</v>
      </c>
      <c r="AL450" s="5">
        <v>0</v>
      </c>
      <c r="AM450" s="5">
        <v>11177.14</v>
      </c>
      <c r="AN450" s="5">
        <v>492025.43</v>
      </c>
      <c r="AO450" s="1" t="s">
        <v>434</v>
      </c>
    </row>
    <row r="451" spans="1:41" x14ac:dyDescent="0.25">
      <c r="A451" s="1">
        <f t="shared" si="2"/>
        <v>435</v>
      </c>
      <c r="B451" s="1" t="s">
        <v>739</v>
      </c>
      <c r="C451" s="1" t="s">
        <v>123</v>
      </c>
      <c r="D451" s="1" t="s">
        <v>815</v>
      </c>
      <c r="E451" s="4">
        <v>45292</v>
      </c>
      <c r="F451" s="4">
        <v>45657</v>
      </c>
      <c r="G451" s="1" t="s">
        <v>125</v>
      </c>
      <c r="H451" s="5">
        <v>1152953.95</v>
      </c>
      <c r="I451" s="5">
        <v>85672.92</v>
      </c>
      <c r="J451" s="5">
        <v>33300</v>
      </c>
      <c r="K451" s="5">
        <v>44201.87</v>
      </c>
      <c r="L451" s="5">
        <v>0</v>
      </c>
      <c r="M451" s="5">
        <v>163174.79</v>
      </c>
      <c r="N451" s="5">
        <v>983873.13</v>
      </c>
      <c r="O451" s="5">
        <v>0</v>
      </c>
      <c r="P451" s="5">
        <v>5906.03</v>
      </c>
      <c r="Q451" s="5">
        <v>989779.16</v>
      </c>
      <c r="R451" s="1" t="s">
        <v>1078</v>
      </c>
      <c r="S451" s="1" t="s">
        <v>124</v>
      </c>
      <c r="T451" s="4">
        <v>45292</v>
      </c>
      <c r="U451" s="4">
        <v>45657</v>
      </c>
      <c r="V451" s="1" t="s">
        <v>125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989779.16</v>
      </c>
      <c r="AH451" s="5">
        <v>149944.79</v>
      </c>
      <c r="AI451" s="5">
        <v>0</v>
      </c>
      <c r="AJ451" s="5">
        <v>149943.67999999999</v>
      </c>
      <c r="AK451" s="5">
        <v>0</v>
      </c>
      <c r="AL451" s="5">
        <v>1.1100000000000001</v>
      </c>
      <c r="AM451" s="5">
        <v>0</v>
      </c>
      <c r="AN451" s="5">
        <v>149944.79</v>
      </c>
      <c r="AO451" s="1" t="s">
        <v>434</v>
      </c>
    </row>
    <row r="452" spans="1:41" x14ac:dyDescent="0.25">
      <c r="A452" s="1">
        <f t="shared" si="2"/>
        <v>436</v>
      </c>
      <c r="B452" s="1" t="s">
        <v>740</v>
      </c>
      <c r="C452" s="1" t="s">
        <v>123</v>
      </c>
      <c r="D452" s="1" t="s">
        <v>815</v>
      </c>
      <c r="E452" s="4">
        <v>45292</v>
      </c>
      <c r="F452" s="4">
        <v>45657</v>
      </c>
      <c r="G452" s="1" t="s">
        <v>125</v>
      </c>
      <c r="H452" s="5">
        <v>957334.89</v>
      </c>
      <c r="I452" s="5">
        <v>65000</v>
      </c>
      <c r="J452" s="5">
        <v>28050</v>
      </c>
      <c r="K452" s="5">
        <v>38000</v>
      </c>
      <c r="L452" s="5">
        <v>14775</v>
      </c>
      <c r="M452" s="5">
        <v>145825</v>
      </c>
      <c r="N452" s="5">
        <v>742000</v>
      </c>
      <c r="O452" s="5">
        <v>0</v>
      </c>
      <c r="P452" s="5">
        <v>69509.89</v>
      </c>
      <c r="Q452" s="5">
        <v>811509.89</v>
      </c>
      <c r="R452" s="1" t="s">
        <v>1079</v>
      </c>
      <c r="S452" s="1" t="s">
        <v>124</v>
      </c>
      <c r="T452" s="4">
        <v>45292</v>
      </c>
      <c r="U452" s="4">
        <v>45657</v>
      </c>
      <c r="V452" s="1" t="s">
        <v>125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811509.89</v>
      </c>
      <c r="AH452" s="5">
        <v>105377.47</v>
      </c>
      <c r="AI452" s="5">
        <v>0</v>
      </c>
      <c r="AJ452" s="5">
        <v>107302.7</v>
      </c>
      <c r="AK452" s="5">
        <v>0</v>
      </c>
      <c r="AL452" s="5">
        <v>0</v>
      </c>
      <c r="AM452" s="5">
        <v>1925.23</v>
      </c>
      <c r="AN452" s="5">
        <v>105377.47</v>
      </c>
      <c r="AO452" s="1" t="s">
        <v>434</v>
      </c>
    </row>
    <row r="453" spans="1:41" x14ac:dyDescent="0.25">
      <c r="A453" s="1">
        <f t="shared" si="2"/>
        <v>437</v>
      </c>
      <c r="B453" s="1" t="s">
        <v>741</v>
      </c>
      <c r="C453" s="1" t="s">
        <v>123</v>
      </c>
      <c r="D453" s="1" t="s">
        <v>815</v>
      </c>
      <c r="E453" s="4">
        <v>45292</v>
      </c>
      <c r="F453" s="4">
        <v>45657</v>
      </c>
      <c r="G453" s="1" t="s">
        <v>125</v>
      </c>
      <c r="H453" s="5">
        <v>840150.43</v>
      </c>
      <c r="I453" s="5">
        <v>60000</v>
      </c>
      <c r="J453" s="5">
        <v>28050</v>
      </c>
      <c r="K453" s="5">
        <v>36500</v>
      </c>
      <c r="L453" s="5">
        <v>15725</v>
      </c>
      <c r="M453" s="5">
        <v>140275</v>
      </c>
      <c r="N453" s="5">
        <v>683500</v>
      </c>
      <c r="O453" s="5">
        <v>0</v>
      </c>
      <c r="P453" s="5">
        <v>16375.43</v>
      </c>
      <c r="Q453" s="5">
        <v>699875.43</v>
      </c>
      <c r="R453" s="1" t="s">
        <v>1080</v>
      </c>
      <c r="S453" s="1" t="s">
        <v>124</v>
      </c>
      <c r="T453" s="4">
        <v>45292</v>
      </c>
      <c r="U453" s="4">
        <v>45657</v>
      </c>
      <c r="V453" s="1" t="s">
        <v>125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699875.43</v>
      </c>
      <c r="AH453" s="5">
        <v>82475.09</v>
      </c>
      <c r="AI453" s="5">
        <v>0</v>
      </c>
      <c r="AJ453" s="5">
        <v>82641.210000000006</v>
      </c>
      <c r="AK453" s="5">
        <v>0</v>
      </c>
      <c r="AL453" s="5">
        <v>0</v>
      </c>
      <c r="AM453" s="5">
        <v>166.12</v>
      </c>
      <c r="AN453" s="5">
        <v>82475.09</v>
      </c>
      <c r="AO453" s="1" t="s">
        <v>434</v>
      </c>
    </row>
    <row r="454" spans="1:41" x14ac:dyDescent="0.25">
      <c r="A454" s="1">
        <f t="shared" si="2"/>
        <v>438</v>
      </c>
      <c r="B454" s="1" t="s">
        <v>742</v>
      </c>
      <c r="C454" s="1" t="s">
        <v>123</v>
      </c>
      <c r="D454" s="1" t="s">
        <v>815</v>
      </c>
      <c r="E454" s="4">
        <v>45292</v>
      </c>
      <c r="F454" s="4">
        <v>45657</v>
      </c>
      <c r="G454" s="1" t="s">
        <v>125</v>
      </c>
      <c r="H454" s="5">
        <v>1058330.1400000001</v>
      </c>
      <c r="I454" s="5">
        <v>75000</v>
      </c>
      <c r="J454" s="5">
        <v>28050</v>
      </c>
      <c r="K454" s="5">
        <v>41000</v>
      </c>
      <c r="L454" s="5">
        <v>17000</v>
      </c>
      <c r="M454" s="5">
        <v>161050</v>
      </c>
      <c r="N454" s="5">
        <v>859000</v>
      </c>
      <c r="O454" s="5">
        <v>0</v>
      </c>
      <c r="P454" s="5">
        <v>38280.14</v>
      </c>
      <c r="Q454" s="5">
        <v>897280.14</v>
      </c>
      <c r="R454" s="1" t="s">
        <v>1081</v>
      </c>
      <c r="S454" s="1" t="s">
        <v>124</v>
      </c>
      <c r="T454" s="4">
        <v>45292</v>
      </c>
      <c r="U454" s="4">
        <v>45657</v>
      </c>
      <c r="V454" s="1" t="s">
        <v>125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897280.14</v>
      </c>
      <c r="AH454" s="5">
        <v>126820.04</v>
      </c>
      <c r="AI454" s="5">
        <v>0</v>
      </c>
      <c r="AJ454" s="5">
        <v>126818.87</v>
      </c>
      <c r="AK454" s="5">
        <v>0</v>
      </c>
      <c r="AL454" s="5">
        <v>1.1599999999999999</v>
      </c>
      <c r="AM454" s="5">
        <v>0</v>
      </c>
      <c r="AN454" s="5">
        <v>126820.04</v>
      </c>
      <c r="AO454" s="1" t="s">
        <v>434</v>
      </c>
    </row>
    <row r="455" spans="1:41" x14ac:dyDescent="0.25">
      <c r="A455" s="1">
        <f t="shared" si="2"/>
        <v>439</v>
      </c>
      <c r="B455" s="1" t="s">
        <v>743</v>
      </c>
      <c r="C455" s="1" t="s">
        <v>123</v>
      </c>
      <c r="D455" s="1" t="s">
        <v>815</v>
      </c>
      <c r="E455" s="4">
        <v>45292</v>
      </c>
      <c r="F455" s="4">
        <v>45657</v>
      </c>
      <c r="G455" s="1" t="s">
        <v>125</v>
      </c>
      <c r="H455" s="5">
        <v>968663.8</v>
      </c>
      <c r="I455" s="5">
        <v>70000</v>
      </c>
      <c r="J455" s="5">
        <v>28050</v>
      </c>
      <c r="K455" s="5">
        <v>39500</v>
      </c>
      <c r="L455" s="5">
        <v>25750</v>
      </c>
      <c r="M455" s="5">
        <v>163300</v>
      </c>
      <c r="N455" s="5">
        <v>800500</v>
      </c>
      <c r="O455" s="5">
        <v>0</v>
      </c>
      <c r="P455" s="5">
        <v>4863.8</v>
      </c>
      <c r="Q455" s="5">
        <v>805363.8</v>
      </c>
      <c r="R455" s="1" t="s">
        <v>1082</v>
      </c>
      <c r="S455" s="1" t="s">
        <v>124</v>
      </c>
      <c r="T455" s="4">
        <v>45292</v>
      </c>
      <c r="U455" s="4">
        <v>45657</v>
      </c>
      <c r="V455" s="1" t="s">
        <v>125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805363.8</v>
      </c>
      <c r="AH455" s="5">
        <v>103840.95</v>
      </c>
      <c r="AI455" s="5">
        <v>0</v>
      </c>
      <c r="AJ455" s="5">
        <v>104279.55</v>
      </c>
      <c r="AK455" s="5">
        <v>0</v>
      </c>
      <c r="AL455" s="5">
        <v>0</v>
      </c>
      <c r="AM455" s="5">
        <v>438.6</v>
      </c>
      <c r="AN455" s="5">
        <v>103840.95</v>
      </c>
      <c r="AO455" s="1" t="s">
        <v>434</v>
      </c>
    </row>
    <row r="456" spans="1:41" x14ac:dyDescent="0.25">
      <c r="A456" s="1">
        <f t="shared" si="2"/>
        <v>440</v>
      </c>
      <c r="B456" s="1" t="s">
        <v>744</v>
      </c>
      <c r="C456" s="1" t="s">
        <v>123</v>
      </c>
      <c r="D456" s="1" t="s">
        <v>815</v>
      </c>
      <c r="E456" s="4">
        <v>45292</v>
      </c>
      <c r="F456" s="4">
        <v>45657</v>
      </c>
      <c r="G456" s="1" t="s">
        <v>125</v>
      </c>
      <c r="H456" s="5">
        <v>2253466.666666667</v>
      </c>
      <c r="I456" s="5">
        <v>90000</v>
      </c>
      <c r="J456" s="5">
        <v>24000</v>
      </c>
      <c r="K456" s="5">
        <v>48500</v>
      </c>
      <c r="L456" s="5">
        <v>0</v>
      </c>
      <c r="M456" s="5">
        <v>162500</v>
      </c>
      <c r="N456" s="5">
        <v>1898700</v>
      </c>
      <c r="O456" s="5">
        <v>72266.67</v>
      </c>
      <c r="P456" s="5">
        <v>120000</v>
      </c>
      <c r="Q456" s="5">
        <v>2090966.67</v>
      </c>
      <c r="R456" s="1" t="s">
        <v>1083</v>
      </c>
      <c r="S456" s="1" t="s">
        <v>124</v>
      </c>
      <c r="T456" s="4">
        <v>45292</v>
      </c>
      <c r="U456" s="4">
        <v>45657</v>
      </c>
      <c r="V456" s="1" t="s">
        <v>125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2090966.67</v>
      </c>
      <c r="AH456" s="5">
        <v>429790</v>
      </c>
      <c r="AI456" s="5">
        <v>0</v>
      </c>
      <c r="AJ456" s="5">
        <v>430010.8</v>
      </c>
      <c r="AK456" s="5">
        <v>0</v>
      </c>
      <c r="AL456" s="5">
        <v>0</v>
      </c>
      <c r="AM456" s="5">
        <v>220.8</v>
      </c>
      <c r="AN456" s="5">
        <v>429790</v>
      </c>
      <c r="AO456" s="1" t="s">
        <v>434</v>
      </c>
    </row>
    <row r="457" spans="1:41" x14ac:dyDescent="0.25">
      <c r="A457" s="1">
        <f t="shared" si="2"/>
        <v>441</v>
      </c>
      <c r="B457" s="1" t="s">
        <v>745</v>
      </c>
      <c r="C457" s="1" t="s">
        <v>123</v>
      </c>
      <c r="D457" s="1" t="s">
        <v>815</v>
      </c>
      <c r="E457" s="4">
        <v>45292</v>
      </c>
      <c r="F457" s="4">
        <v>45657</v>
      </c>
      <c r="G457" s="1" t="s">
        <v>125</v>
      </c>
      <c r="H457" s="5">
        <v>1051174.75</v>
      </c>
      <c r="I457" s="5">
        <v>75000</v>
      </c>
      <c r="J457" s="5">
        <v>39600</v>
      </c>
      <c r="K457" s="5">
        <v>41000</v>
      </c>
      <c r="L457" s="5">
        <v>17025</v>
      </c>
      <c r="M457" s="5">
        <v>172625</v>
      </c>
      <c r="N457" s="5">
        <v>859000</v>
      </c>
      <c r="O457" s="5">
        <v>0</v>
      </c>
      <c r="P457" s="5">
        <v>19549.75</v>
      </c>
      <c r="Q457" s="5">
        <v>878549.75</v>
      </c>
      <c r="R457" s="1" t="s">
        <v>1084</v>
      </c>
      <c r="S457" s="1" t="s">
        <v>124</v>
      </c>
      <c r="T457" s="4">
        <v>45292</v>
      </c>
      <c r="U457" s="4">
        <v>45657</v>
      </c>
      <c r="V457" s="1" t="s">
        <v>125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878549.75</v>
      </c>
      <c r="AH457" s="5">
        <v>122137.44</v>
      </c>
      <c r="AI457" s="5">
        <v>0</v>
      </c>
      <c r="AJ457" s="5">
        <v>122136.3</v>
      </c>
      <c r="AK457" s="5">
        <v>0</v>
      </c>
      <c r="AL457" s="5">
        <v>1.1399999999999999</v>
      </c>
      <c r="AM457" s="5">
        <v>0</v>
      </c>
      <c r="AN457" s="5">
        <v>122137.44</v>
      </c>
      <c r="AO457" s="1" t="s">
        <v>434</v>
      </c>
    </row>
    <row r="458" spans="1:41" x14ac:dyDescent="0.25">
      <c r="A458" s="1">
        <f t="shared" si="2"/>
        <v>442</v>
      </c>
      <c r="B458" s="1" t="s">
        <v>746</v>
      </c>
      <c r="C458" s="1" t="s">
        <v>123</v>
      </c>
      <c r="D458" s="1" t="s">
        <v>815</v>
      </c>
      <c r="E458" s="4">
        <v>45292</v>
      </c>
      <c r="F458" s="4">
        <v>45657</v>
      </c>
      <c r="G458" s="1" t="s">
        <v>125</v>
      </c>
      <c r="H458" s="5">
        <v>904829.61</v>
      </c>
      <c r="I458" s="5">
        <v>65000</v>
      </c>
      <c r="J458" s="5">
        <v>28050</v>
      </c>
      <c r="K458" s="5">
        <v>38000</v>
      </c>
      <c r="L458" s="5">
        <v>19575</v>
      </c>
      <c r="M458" s="5">
        <v>150625</v>
      </c>
      <c r="N458" s="5">
        <v>742000</v>
      </c>
      <c r="O458" s="5">
        <v>0</v>
      </c>
      <c r="P458" s="5">
        <v>12204.61</v>
      </c>
      <c r="Q458" s="5">
        <v>754204.61</v>
      </c>
      <c r="R458" s="1" t="s">
        <v>1085</v>
      </c>
      <c r="S458" s="1" t="s">
        <v>124</v>
      </c>
      <c r="T458" s="4">
        <v>45292</v>
      </c>
      <c r="U458" s="4">
        <v>45657</v>
      </c>
      <c r="V458" s="1" t="s">
        <v>125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754204.61</v>
      </c>
      <c r="AH458" s="5">
        <v>93340.92</v>
      </c>
      <c r="AI458" s="5">
        <v>0</v>
      </c>
      <c r="AJ458" s="5">
        <v>93681.07</v>
      </c>
      <c r="AK458" s="5">
        <v>0</v>
      </c>
      <c r="AL458" s="5">
        <v>0</v>
      </c>
      <c r="AM458" s="5">
        <v>340.15</v>
      </c>
      <c r="AN458" s="5">
        <v>93340.92</v>
      </c>
      <c r="AO458" s="1" t="s">
        <v>434</v>
      </c>
    </row>
    <row r="459" spans="1:41" x14ac:dyDescent="0.25">
      <c r="A459" s="1">
        <f t="shared" si="2"/>
        <v>443</v>
      </c>
      <c r="B459" s="1" t="s">
        <v>747</v>
      </c>
      <c r="C459" s="1" t="s">
        <v>123</v>
      </c>
      <c r="D459" s="1" t="s">
        <v>815</v>
      </c>
      <c r="E459" s="4">
        <v>45292</v>
      </c>
      <c r="F459" s="4">
        <v>45657</v>
      </c>
      <c r="G459" s="1" t="s">
        <v>125</v>
      </c>
      <c r="H459" s="5">
        <v>1057609.48</v>
      </c>
      <c r="I459" s="5">
        <v>75000</v>
      </c>
      <c r="J459" s="5">
        <v>28050</v>
      </c>
      <c r="K459" s="5">
        <v>41000</v>
      </c>
      <c r="L459" s="5">
        <v>31650</v>
      </c>
      <c r="M459" s="5">
        <v>175700</v>
      </c>
      <c r="N459" s="5">
        <v>859000</v>
      </c>
      <c r="O459" s="5">
        <v>0</v>
      </c>
      <c r="P459" s="5">
        <v>22909.48</v>
      </c>
      <c r="Q459" s="5">
        <v>881909.48</v>
      </c>
      <c r="R459" s="1" t="s">
        <v>1086</v>
      </c>
      <c r="S459" s="1" t="s">
        <v>124</v>
      </c>
      <c r="T459" s="4">
        <v>45292</v>
      </c>
      <c r="U459" s="4">
        <v>45657</v>
      </c>
      <c r="V459" s="1" t="s">
        <v>125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881909.48</v>
      </c>
      <c r="AH459" s="5">
        <v>122977.37</v>
      </c>
      <c r="AI459" s="5">
        <v>0</v>
      </c>
      <c r="AJ459" s="5">
        <v>122976.22</v>
      </c>
      <c r="AK459" s="5">
        <v>0</v>
      </c>
      <c r="AL459" s="5">
        <v>1.1499999999999999</v>
      </c>
      <c r="AM459" s="5">
        <v>0</v>
      </c>
      <c r="AN459" s="5">
        <v>122977.37</v>
      </c>
      <c r="AO459" s="1" t="s">
        <v>434</v>
      </c>
    </row>
    <row r="460" spans="1:41" x14ac:dyDescent="0.25">
      <c r="A460" s="1">
        <f t="shared" si="2"/>
        <v>444</v>
      </c>
      <c r="B460" s="1" t="s">
        <v>748</v>
      </c>
      <c r="C460" s="1" t="s">
        <v>123</v>
      </c>
      <c r="D460" s="1" t="s">
        <v>815</v>
      </c>
      <c r="E460" s="4">
        <v>45292</v>
      </c>
      <c r="F460" s="4">
        <v>45657</v>
      </c>
      <c r="G460" s="1" t="s">
        <v>125</v>
      </c>
      <c r="H460" s="5">
        <v>1073084.8500000001</v>
      </c>
      <c r="I460" s="5">
        <v>75000</v>
      </c>
      <c r="J460" s="5">
        <v>28050</v>
      </c>
      <c r="K460" s="5">
        <v>41000</v>
      </c>
      <c r="L460" s="5">
        <v>25775</v>
      </c>
      <c r="M460" s="5">
        <v>169825</v>
      </c>
      <c r="N460" s="5">
        <v>859000</v>
      </c>
      <c r="O460" s="5">
        <v>0</v>
      </c>
      <c r="P460" s="5">
        <v>44259.85</v>
      </c>
      <c r="Q460" s="5">
        <v>903259.85</v>
      </c>
      <c r="R460" s="1" t="s">
        <v>1087</v>
      </c>
      <c r="S460" s="1" t="s">
        <v>124</v>
      </c>
      <c r="T460" s="4">
        <v>45292</v>
      </c>
      <c r="U460" s="4">
        <v>45657</v>
      </c>
      <c r="V460" s="1" t="s">
        <v>125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903259.85</v>
      </c>
      <c r="AH460" s="5">
        <v>128314.96</v>
      </c>
      <c r="AI460" s="5">
        <v>0</v>
      </c>
      <c r="AJ460" s="5">
        <v>128313.82</v>
      </c>
      <c r="AK460" s="5">
        <v>0</v>
      </c>
      <c r="AL460" s="5">
        <v>1.1399999999999999</v>
      </c>
      <c r="AM460" s="5">
        <v>0</v>
      </c>
      <c r="AN460" s="5">
        <v>128314.96</v>
      </c>
      <c r="AO460" s="1" t="s">
        <v>434</v>
      </c>
    </row>
    <row r="461" spans="1:41" x14ac:dyDescent="0.25">
      <c r="A461" s="1">
        <f t="shared" si="2"/>
        <v>445</v>
      </c>
      <c r="B461" s="1" t="s">
        <v>749</v>
      </c>
      <c r="C461" s="1" t="s">
        <v>123</v>
      </c>
      <c r="D461" s="1" t="s">
        <v>815</v>
      </c>
      <c r="E461" s="4">
        <v>45292</v>
      </c>
      <c r="F461" s="4">
        <v>45657</v>
      </c>
      <c r="G461" s="1" t="s">
        <v>125</v>
      </c>
      <c r="H461" s="5">
        <v>1180275.78</v>
      </c>
      <c r="I461" s="5">
        <v>80000</v>
      </c>
      <c r="J461" s="5">
        <v>28050</v>
      </c>
      <c r="K461" s="5">
        <v>42500</v>
      </c>
      <c r="L461" s="5">
        <v>17550</v>
      </c>
      <c r="M461" s="5">
        <v>168100</v>
      </c>
      <c r="N461" s="5">
        <v>917500</v>
      </c>
      <c r="O461" s="5">
        <v>0</v>
      </c>
      <c r="P461" s="5">
        <v>94675.78</v>
      </c>
      <c r="Q461" s="5">
        <v>1012175.78</v>
      </c>
      <c r="R461" s="1" t="s">
        <v>1088</v>
      </c>
      <c r="S461" s="1" t="s">
        <v>124</v>
      </c>
      <c r="T461" s="4">
        <v>45292</v>
      </c>
      <c r="U461" s="4">
        <v>45657</v>
      </c>
      <c r="V461" s="1" t="s">
        <v>125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1012175.78</v>
      </c>
      <c r="AH461" s="5">
        <v>155543.95000000001</v>
      </c>
      <c r="AI461" s="5">
        <v>0</v>
      </c>
      <c r="AJ461" s="5">
        <v>155542.76</v>
      </c>
      <c r="AK461" s="5">
        <v>0</v>
      </c>
      <c r="AL461" s="5">
        <v>1.18</v>
      </c>
      <c r="AM461" s="5">
        <v>0</v>
      </c>
      <c r="AN461" s="5">
        <v>155543.95000000001</v>
      </c>
      <c r="AO461" s="1" t="s">
        <v>434</v>
      </c>
    </row>
    <row r="462" spans="1:41" x14ac:dyDescent="0.25">
      <c r="A462" s="1">
        <f t="shared" si="2"/>
        <v>446</v>
      </c>
      <c r="B462" s="1" t="s">
        <v>750</v>
      </c>
      <c r="C462" s="1" t="s">
        <v>123</v>
      </c>
      <c r="D462" s="1" t="s">
        <v>815</v>
      </c>
      <c r="E462" s="4">
        <v>45292</v>
      </c>
      <c r="F462" s="4">
        <v>45657</v>
      </c>
      <c r="G462" s="1" t="s">
        <v>125</v>
      </c>
      <c r="H462" s="5">
        <v>2574394.9733333336</v>
      </c>
      <c r="I462" s="5">
        <v>90000</v>
      </c>
      <c r="J462" s="5">
        <v>24000</v>
      </c>
      <c r="K462" s="5">
        <v>48500</v>
      </c>
      <c r="L462" s="5">
        <v>0</v>
      </c>
      <c r="M462" s="5">
        <v>162500</v>
      </c>
      <c r="N462" s="5">
        <v>2194274.14</v>
      </c>
      <c r="O462" s="5">
        <v>97620.83</v>
      </c>
      <c r="P462" s="5">
        <v>120000</v>
      </c>
      <c r="Q462" s="5">
        <v>2411894.9700000002</v>
      </c>
      <c r="R462" s="1" t="s">
        <v>1089</v>
      </c>
      <c r="S462" s="1" t="s">
        <v>124</v>
      </c>
      <c r="T462" s="4">
        <v>45292</v>
      </c>
      <c r="U462" s="4">
        <v>45657</v>
      </c>
      <c r="V462" s="1" t="s">
        <v>125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2411894.9700000002</v>
      </c>
      <c r="AH462" s="5">
        <v>526068.49</v>
      </c>
      <c r="AI462" s="5">
        <v>0</v>
      </c>
      <c r="AJ462" s="5">
        <v>526067.69999999995</v>
      </c>
      <c r="AK462" s="5">
        <v>0</v>
      </c>
      <c r="AL462" s="5">
        <v>0.79</v>
      </c>
      <c r="AM462" s="5">
        <v>0</v>
      </c>
      <c r="AN462" s="5">
        <v>526068.49</v>
      </c>
      <c r="AO462" s="1" t="s">
        <v>434</v>
      </c>
    </row>
    <row r="463" spans="1:41" x14ac:dyDescent="0.25">
      <c r="A463" s="1">
        <f t="shared" si="2"/>
        <v>447</v>
      </c>
      <c r="B463" s="1" t="s">
        <v>751</v>
      </c>
      <c r="C463" s="1" t="s">
        <v>123</v>
      </c>
      <c r="D463" s="1" t="s">
        <v>815</v>
      </c>
      <c r="E463" s="4">
        <v>45292</v>
      </c>
      <c r="F463" s="4">
        <v>45657</v>
      </c>
      <c r="G463" s="1" t="s">
        <v>125</v>
      </c>
      <c r="H463" s="5">
        <v>1079745.83</v>
      </c>
      <c r="I463" s="5">
        <v>80495.83</v>
      </c>
      <c r="J463" s="5">
        <v>33300</v>
      </c>
      <c r="K463" s="5">
        <v>42648.75</v>
      </c>
      <c r="L463" s="5">
        <v>0</v>
      </c>
      <c r="M463" s="5">
        <v>156444.57999999999</v>
      </c>
      <c r="N463" s="5">
        <v>923301.25</v>
      </c>
      <c r="O463" s="5">
        <v>0</v>
      </c>
      <c r="P463" s="5">
        <v>0</v>
      </c>
      <c r="Q463" s="5">
        <v>923301.25</v>
      </c>
      <c r="R463" s="1" t="s">
        <v>1090</v>
      </c>
      <c r="S463" s="1" t="s">
        <v>124</v>
      </c>
      <c r="T463" s="4">
        <v>45292</v>
      </c>
      <c r="U463" s="4">
        <v>45657</v>
      </c>
      <c r="V463" s="1" t="s">
        <v>125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923301.25</v>
      </c>
      <c r="AH463" s="5">
        <v>133325.31</v>
      </c>
      <c r="AI463" s="5">
        <v>0</v>
      </c>
      <c r="AJ463" s="5">
        <v>133324.07</v>
      </c>
      <c r="AK463" s="5">
        <v>0</v>
      </c>
      <c r="AL463" s="5">
        <v>1.24</v>
      </c>
      <c r="AM463" s="5">
        <v>0</v>
      </c>
      <c r="AN463" s="5">
        <v>133325.31</v>
      </c>
      <c r="AO463" s="1" t="s">
        <v>434</v>
      </c>
    </row>
    <row r="464" spans="1:41" x14ac:dyDescent="0.25">
      <c r="A464" s="1">
        <f t="shared" si="2"/>
        <v>448</v>
      </c>
      <c r="B464" s="1" t="s">
        <v>752</v>
      </c>
      <c r="C464" s="1" t="s">
        <v>123</v>
      </c>
      <c r="D464" s="1" t="s">
        <v>815</v>
      </c>
      <c r="E464" s="4">
        <v>45292</v>
      </c>
      <c r="F464" s="4">
        <v>45657</v>
      </c>
      <c r="G464" s="1" t="s">
        <v>125</v>
      </c>
      <c r="H464" s="5">
        <v>1203300</v>
      </c>
      <c r="I464" s="5">
        <v>90000</v>
      </c>
      <c r="J464" s="5">
        <v>33300</v>
      </c>
      <c r="K464" s="5">
        <v>45500</v>
      </c>
      <c r="L464" s="5">
        <v>0</v>
      </c>
      <c r="M464" s="5">
        <v>168800</v>
      </c>
      <c r="N464" s="5">
        <v>1034500</v>
      </c>
      <c r="O464" s="5">
        <v>0</v>
      </c>
      <c r="P464" s="5">
        <v>0</v>
      </c>
      <c r="Q464" s="5">
        <v>1034500</v>
      </c>
      <c r="R464" s="1" t="s">
        <v>1091</v>
      </c>
      <c r="S464" s="1" t="s">
        <v>124</v>
      </c>
      <c r="T464" s="4">
        <v>45292</v>
      </c>
      <c r="U464" s="4">
        <v>45657</v>
      </c>
      <c r="V464" s="1" t="s">
        <v>125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1034500</v>
      </c>
      <c r="AH464" s="5">
        <v>161125</v>
      </c>
      <c r="AI464" s="5">
        <v>0</v>
      </c>
      <c r="AJ464" s="5">
        <v>161123.79999999999</v>
      </c>
      <c r="AK464" s="5">
        <v>0</v>
      </c>
      <c r="AL464" s="5">
        <v>1.2</v>
      </c>
      <c r="AM464" s="5">
        <v>0</v>
      </c>
      <c r="AN464" s="5">
        <v>161125</v>
      </c>
      <c r="AO464" s="1" t="s">
        <v>434</v>
      </c>
    </row>
    <row r="465" spans="1:41" x14ac:dyDescent="0.25">
      <c r="A465" s="1">
        <f t="shared" si="2"/>
        <v>449</v>
      </c>
      <c r="B465" s="1" t="s">
        <v>753</v>
      </c>
      <c r="C465" s="1" t="s">
        <v>123</v>
      </c>
      <c r="D465" s="1" t="s">
        <v>815</v>
      </c>
      <c r="E465" s="4">
        <v>45292</v>
      </c>
      <c r="F465" s="4">
        <v>45657</v>
      </c>
      <c r="G465" s="1" t="s">
        <v>125</v>
      </c>
      <c r="H465" s="5">
        <v>430999.43</v>
      </c>
      <c r="I465" s="5">
        <v>30000</v>
      </c>
      <c r="J465" s="5">
        <v>28050</v>
      </c>
      <c r="K465" s="5">
        <v>27500</v>
      </c>
      <c r="L465" s="5">
        <v>11800</v>
      </c>
      <c r="M465" s="5">
        <v>97350</v>
      </c>
      <c r="N465" s="5">
        <v>333649.43</v>
      </c>
      <c r="O465" s="5">
        <v>0</v>
      </c>
      <c r="P465" s="5">
        <v>0</v>
      </c>
      <c r="Q465" s="5">
        <v>333649.43</v>
      </c>
      <c r="R465" s="1" t="s">
        <v>1092</v>
      </c>
      <c r="S465" s="1" t="s">
        <v>124</v>
      </c>
      <c r="T465" s="4">
        <v>45292</v>
      </c>
      <c r="U465" s="4">
        <v>45657</v>
      </c>
      <c r="V465" s="1" t="s">
        <v>125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333649.43</v>
      </c>
      <c r="AH465" s="5">
        <v>12547.41</v>
      </c>
      <c r="AI465" s="5">
        <v>0</v>
      </c>
      <c r="AJ465" s="5">
        <v>12546.2</v>
      </c>
      <c r="AK465" s="5">
        <v>0</v>
      </c>
      <c r="AL465" s="5">
        <v>1.21</v>
      </c>
      <c r="AM465" s="5">
        <v>0</v>
      </c>
      <c r="AN465" s="5">
        <v>12547.41</v>
      </c>
      <c r="AO465" s="1" t="s">
        <v>434</v>
      </c>
    </row>
    <row r="466" spans="1:41" x14ac:dyDescent="0.25">
      <c r="A466" s="1">
        <f t="shared" si="2"/>
        <v>450</v>
      </c>
      <c r="B466" s="1" t="s">
        <v>754</v>
      </c>
      <c r="C466" s="1" t="s">
        <v>123</v>
      </c>
      <c r="D466" s="1" t="s">
        <v>815</v>
      </c>
      <c r="E466" s="4">
        <v>45292</v>
      </c>
      <c r="F466" s="4">
        <v>45657</v>
      </c>
      <c r="G466" s="1" t="s">
        <v>125</v>
      </c>
      <c r="H466" s="5">
        <v>442684.49</v>
      </c>
      <c r="I466" s="5">
        <v>30685.35</v>
      </c>
      <c r="J466" s="5">
        <v>28050</v>
      </c>
      <c r="K466" s="5">
        <v>27667.5</v>
      </c>
      <c r="L466" s="5">
        <v>15725</v>
      </c>
      <c r="M466" s="5">
        <v>102127.85</v>
      </c>
      <c r="N466" s="5">
        <v>340556.64</v>
      </c>
      <c r="O466" s="5">
        <v>0</v>
      </c>
      <c r="P466" s="5">
        <v>0</v>
      </c>
      <c r="Q466" s="5">
        <v>340556.64</v>
      </c>
      <c r="R466" s="1" t="s">
        <v>1093</v>
      </c>
      <c r="S466" s="1" t="s">
        <v>124</v>
      </c>
      <c r="T466" s="4">
        <v>45292</v>
      </c>
      <c r="U466" s="4">
        <v>45657</v>
      </c>
      <c r="V466" s="1" t="s">
        <v>125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340556.64</v>
      </c>
      <c r="AH466" s="5">
        <v>13583.5</v>
      </c>
      <c r="AI466" s="5">
        <v>0</v>
      </c>
      <c r="AJ466" s="5">
        <v>13582.28</v>
      </c>
      <c r="AK466" s="5">
        <v>0</v>
      </c>
      <c r="AL466" s="5">
        <v>1.22</v>
      </c>
      <c r="AM466" s="5">
        <v>0</v>
      </c>
      <c r="AN466" s="5">
        <v>13583.5</v>
      </c>
      <c r="AO466" s="1" t="s">
        <v>434</v>
      </c>
    </row>
    <row r="467" spans="1:41" x14ac:dyDescent="0.25">
      <c r="A467" s="1">
        <f t="shared" si="2"/>
        <v>451</v>
      </c>
      <c r="B467" s="1" t="s">
        <v>755</v>
      </c>
      <c r="C467" s="1" t="s">
        <v>123</v>
      </c>
      <c r="D467" s="1" t="s">
        <v>815</v>
      </c>
      <c r="E467" s="4">
        <v>45292</v>
      </c>
      <c r="F467" s="4">
        <v>45657</v>
      </c>
      <c r="G467" s="1" t="s">
        <v>125</v>
      </c>
      <c r="H467" s="5">
        <v>444803.55</v>
      </c>
      <c r="I467" s="5">
        <v>30804.12</v>
      </c>
      <c r="J467" s="5">
        <v>28050</v>
      </c>
      <c r="K467" s="5">
        <v>27712.5</v>
      </c>
      <c r="L467" s="5">
        <v>16300</v>
      </c>
      <c r="M467" s="5">
        <v>102866.62</v>
      </c>
      <c r="N467" s="5">
        <v>341936.93</v>
      </c>
      <c r="O467" s="5">
        <v>0</v>
      </c>
      <c r="P467" s="5">
        <v>0</v>
      </c>
      <c r="Q467" s="5">
        <v>341936.93</v>
      </c>
      <c r="R467" s="1" t="s">
        <v>1094</v>
      </c>
      <c r="S467" s="1" t="s">
        <v>124</v>
      </c>
      <c r="T467" s="4">
        <v>45292</v>
      </c>
      <c r="U467" s="4">
        <v>45657</v>
      </c>
      <c r="V467" s="1" t="s">
        <v>125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341936.93</v>
      </c>
      <c r="AH467" s="5">
        <v>13790.54</v>
      </c>
      <c r="AI467" s="5">
        <v>0</v>
      </c>
      <c r="AJ467" s="5">
        <v>13789.33</v>
      </c>
      <c r="AK467" s="5">
        <v>0</v>
      </c>
      <c r="AL467" s="5">
        <v>1.21</v>
      </c>
      <c r="AM467" s="5">
        <v>0</v>
      </c>
      <c r="AN467" s="5">
        <v>13790.54</v>
      </c>
      <c r="AO467" s="1" t="s">
        <v>434</v>
      </c>
    </row>
    <row r="468" spans="1:41" x14ac:dyDescent="0.25">
      <c r="A468" s="1">
        <f t="shared" si="2"/>
        <v>452</v>
      </c>
      <c r="B468" s="1" t="s">
        <v>756</v>
      </c>
      <c r="C468" s="1" t="s">
        <v>123</v>
      </c>
      <c r="D468" s="1" t="s">
        <v>815</v>
      </c>
      <c r="E468" s="4">
        <v>45292</v>
      </c>
      <c r="F468" s="4">
        <v>45657</v>
      </c>
      <c r="G468" s="1" t="s">
        <v>125</v>
      </c>
      <c r="H468" s="5">
        <v>440953.55</v>
      </c>
      <c r="I468" s="5">
        <v>30804.12</v>
      </c>
      <c r="J468" s="5">
        <v>28050</v>
      </c>
      <c r="K468" s="5">
        <v>27712.5</v>
      </c>
      <c r="L468" s="5">
        <v>12450</v>
      </c>
      <c r="M468" s="5">
        <v>99016.62</v>
      </c>
      <c r="N468" s="5">
        <v>341936.93</v>
      </c>
      <c r="O468" s="5">
        <v>0</v>
      </c>
      <c r="P468" s="5">
        <v>0</v>
      </c>
      <c r="Q468" s="5">
        <v>341936.93</v>
      </c>
      <c r="R468" s="1" t="s">
        <v>1095</v>
      </c>
      <c r="S468" s="1" t="s">
        <v>124</v>
      </c>
      <c r="T468" s="4">
        <v>45292</v>
      </c>
      <c r="U468" s="4">
        <v>45657</v>
      </c>
      <c r="V468" s="1" t="s">
        <v>125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341936.93</v>
      </c>
      <c r="AH468" s="5">
        <v>13790.54</v>
      </c>
      <c r="AI468" s="5">
        <v>0</v>
      </c>
      <c r="AJ468" s="5">
        <v>13789.33</v>
      </c>
      <c r="AK468" s="5">
        <v>0</v>
      </c>
      <c r="AL468" s="5">
        <v>1.21</v>
      </c>
      <c r="AM468" s="5">
        <v>0</v>
      </c>
      <c r="AN468" s="5">
        <v>13790.54</v>
      </c>
      <c r="AO468" s="1" t="s">
        <v>434</v>
      </c>
    </row>
    <row r="469" spans="1:41" x14ac:dyDescent="0.25">
      <c r="A469" s="1">
        <f t="shared" si="2"/>
        <v>453</v>
      </c>
      <c r="B469" s="1" t="s">
        <v>757</v>
      </c>
      <c r="C469" s="1" t="s">
        <v>123</v>
      </c>
      <c r="D469" s="1" t="s">
        <v>815</v>
      </c>
      <c r="E469" s="4">
        <v>45292</v>
      </c>
      <c r="F469" s="4">
        <v>45657</v>
      </c>
      <c r="G469" s="1" t="s">
        <v>125</v>
      </c>
      <c r="H469" s="5">
        <v>2163092.67</v>
      </c>
      <c r="I469" s="5">
        <v>90000</v>
      </c>
      <c r="J469" s="5">
        <v>24000</v>
      </c>
      <c r="K469" s="5">
        <v>48500</v>
      </c>
      <c r="L469" s="5">
        <v>0</v>
      </c>
      <c r="M469" s="5">
        <v>162500</v>
      </c>
      <c r="N469" s="5">
        <v>1815250</v>
      </c>
      <c r="O469" s="5">
        <v>65312.5</v>
      </c>
      <c r="P469" s="5">
        <v>120030.17</v>
      </c>
      <c r="Q469" s="5">
        <v>2000592.67</v>
      </c>
      <c r="R469" s="1" t="s">
        <v>1096</v>
      </c>
      <c r="S469" s="1" t="s">
        <v>124</v>
      </c>
      <c r="T469" s="4">
        <v>45292</v>
      </c>
      <c r="U469" s="4">
        <v>45657</v>
      </c>
      <c r="V469" s="1" t="s">
        <v>125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2000592.67</v>
      </c>
      <c r="AH469" s="5">
        <v>402677.8</v>
      </c>
      <c r="AI469" s="5">
        <v>0</v>
      </c>
      <c r="AJ469" s="5">
        <v>402646.97</v>
      </c>
      <c r="AK469" s="5">
        <v>0</v>
      </c>
      <c r="AL469" s="5">
        <v>30.83</v>
      </c>
      <c r="AM469" s="5">
        <v>0</v>
      </c>
      <c r="AN469" s="5">
        <v>402677.8</v>
      </c>
      <c r="AO469" s="1" t="s">
        <v>434</v>
      </c>
    </row>
    <row r="470" spans="1:41" x14ac:dyDescent="0.25">
      <c r="A470" s="1">
        <f t="shared" si="2"/>
        <v>454</v>
      </c>
      <c r="B470" s="1" t="s">
        <v>758</v>
      </c>
      <c r="C470" s="1" t="s">
        <v>123</v>
      </c>
      <c r="D470" s="1" t="s">
        <v>815</v>
      </c>
      <c r="E470" s="4">
        <v>45292</v>
      </c>
      <c r="F470" s="4">
        <v>45657</v>
      </c>
      <c r="G470" s="1" t="s">
        <v>125</v>
      </c>
      <c r="H470" s="5">
        <v>436549.06000000006</v>
      </c>
      <c r="I470" s="5">
        <v>30459.29</v>
      </c>
      <c r="J470" s="5">
        <v>28050</v>
      </c>
      <c r="K470" s="5">
        <v>27532.5</v>
      </c>
      <c r="L470" s="5">
        <v>12525</v>
      </c>
      <c r="M470" s="5">
        <v>98566.79</v>
      </c>
      <c r="N470" s="5">
        <v>337979</v>
      </c>
      <c r="O470" s="5">
        <v>0</v>
      </c>
      <c r="P470" s="5">
        <v>3.27</v>
      </c>
      <c r="Q470" s="5">
        <v>337982.27</v>
      </c>
      <c r="R470" s="1" t="s">
        <v>1097</v>
      </c>
      <c r="S470" s="1" t="s">
        <v>124</v>
      </c>
      <c r="T470" s="4">
        <v>45292</v>
      </c>
      <c r="U470" s="4">
        <v>45657</v>
      </c>
      <c r="V470" s="1" t="s">
        <v>125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337982.27</v>
      </c>
      <c r="AH470" s="5">
        <v>13197.34</v>
      </c>
      <c r="AI470" s="5">
        <v>0</v>
      </c>
      <c r="AJ470" s="5">
        <v>13196.13</v>
      </c>
      <c r="AK470" s="5">
        <v>0</v>
      </c>
      <c r="AL470" s="5">
        <v>1.21</v>
      </c>
      <c r="AM470" s="5">
        <v>0</v>
      </c>
      <c r="AN470" s="5">
        <v>13197.34</v>
      </c>
      <c r="AO470" s="1" t="s">
        <v>434</v>
      </c>
    </row>
    <row r="471" spans="1:41" x14ac:dyDescent="0.25">
      <c r="A471" s="1">
        <f t="shared" si="2"/>
        <v>455</v>
      </c>
      <c r="B471" s="1" t="s">
        <v>759</v>
      </c>
      <c r="C471" s="1" t="s">
        <v>123</v>
      </c>
      <c r="D471" s="1" t="s">
        <v>815</v>
      </c>
      <c r="E471" s="4">
        <v>45292</v>
      </c>
      <c r="F471" s="4">
        <v>45657</v>
      </c>
      <c r="G471" s="1" t="s">
        <v>125</v>
      </c>
      <c r="H471" s="5">
        <v>1001533.84</v>
      </c>
      <c r="I471" s="5">
        <v>73563.22</v>
      </c>
      <c r="J471" s="5">
        <v>28050</v>
      </c>
      <c r="K471" s="5">
        <v>42500</v>
      </c>
      <c r="L471" s="5">
        <v>15975</v>
      </c>
      <c r="M471" s="5">
        <v>160088.22</v>
      </c>
      <c r="N471" s="5">
        <v>840258.64</v>
      </c>
      <c r="O471" s="5">
        <v>0</v>
      </c>
      <c r="P471" s="5">
        <v>1186.98</v>
      </c>
      <c r="Q471" s="5">
        <v>841445.62</v>
      </c>
      <c r="R471" s="1" t="s">
        <v>1098</v>
      </c>
      <c r="S471" s="1" t="s">
        <v>124</v>
      </c>
      <c r="T471" s="4">
        <v>45292</v>
      </c>
      <c r="U471" s="4">
        <v>45657</v>
      </c>
      <c r="V471" s="1" t="s">
        <v>125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841445.62</v>
      </c>
      <c r="AH471" s="5">
        <v>112861.41</v>
      </c>
      <c r="AI471" s="5">
        <v>0</v>
      </c>
      <c r="AJ471" s="5">
        <v>114190.02</v>
      </c>
      <c r="AK471" s="5">
        <v>0</v>
      </c>
      <c r="AL471" s="5">
        <v>0</v>
      </c>
      <c r="AM471" s="5">
        <v>1328.61</v>
      </c>
      <c r="AN471" s="5">
        <v>112861.41</v>
      </c>
      <c r="AO471" s="1" t="s">
        <v>434</v>
      </c>
    </row>
    <row r="472" spans="1:41" x14ac:dyDescent="0.25">
      <c r="A472" s="1">
        <f t="shared" si="2"/>
        <v>456</v>
      </c>
      <c r="B472" s="1" t="s">
        <v>760</v>
      </c>
      <c r="C472" s="1" t="s">
        <v>123</v>
      </c>
      <c r="D472" s="1" t="s">
        <v>815</v>
      </c>
      <c r="E472" s="4">
        <v>45292</v>
      </c>
      <c r="F472" s="4">
        <v>45657</v>
      </c>
      <c r="G472" s="1" t="s">
        <v>125</v>
      </c>
      <c r="H472" s="5">
        <v>1006543.0999999999</v>
      </c>
      <c r="I472" s="5">
        <v>74137.929999999993</v>
      </c>
      <c r="J472" s="5">
        <v>28050</v>
      </c>
      <c r="K472" s="5">
        <v>41000</v>
      </c>
      <c r="L472" s="5">
        <v>14700</v>
      </c>
      <c r="M472" s="5">
        <v>157887.93</v>
      </c>
      <c r="N472" s="5">
        <v>848655.17</v>
      </c>
      <c r="O472" s="5">
        <v>0</v>
      </c>
      <c r="P472" s="5">
        <v>0</v>
      </c>
      <c r="Q472" s="5">
        <v>848655.17</v>
      </c>
      <c r="R472" s="1" t="s">
        <v>1099</v>
      </c>
      <c r="S472" s="1" t="s">
        <v>124</v>
      </c>
      <c r="T472" s="4">
        <v>45292</v>
      </c>
      <c r="U472" s="4">
        <v>45657</v>
      </c>
      <c r="V472" s="1" t="s">
        <v>125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848655.17</v>
      </c>
      <c r="AH472" s="5">
        <v>114663.79</v>
      </c>
      <c r="AI472" s="5">
        <v>0</v>
      </c>
      <c r="AJ472" s="5">
        <v>114929.44</v>
      </c>
      <c r="AK472" s="5">
        <v>0</v>
      </c>
      <c r="AL472" s="5">
        <v>0</v>
      </c>
      <c r="AM472" s="5">
        <v>265.64999999999998</v>
      </c>
      <c r="AN472" s="5">
        <v>114663.79</v>
      </c>
      <c r="AO472" s="1" t="s">
        <v>434</v>
      </c>
    </row>
    <row r="473" spans="1:41" x14ac:dyDescent="0.25">
      <c r="A473" s="1">
        <f t="shared" si="2"/>
        <v>457</v>
      </c>
      <c r="B473" s="1" t="s">
        <v>761</v>
      </c>
      <c r="C473" s="1" t="s">
        <v>123</v>
      </c>
      <c r="D473" s="1" t="s">
        <v>815</v>
      </c>
      <c r="E473" s="4">
        <v>45292</v>
      </c>
      <c r="F473" s="4">
        <v>45657</v>
      </c>
      <c r="G473" s="1" t="s">
        <v>125</v>
      </c>
      <c r="H473" s="5">
        <v>1021500</v>
      </c>
      <c r="I473" s="5">
        <v>75000</v>
      </c>
      <c r="J473" s="5">
        <v>28050</v>
      </c>
      <c r="K473" s="5">
        <v>41000</v>
      </c>
      <c r="L473" s="5">
        <v>18450</v>
      </c>
      <c r="M473" s="5">
        <v>162500</v>
      </c>
      <c r="N473" s="5">
        <v>859000</v>
      </c>
      <c r="O473" s="5">
        <v>0</v>
      </c>
      <c r="P473" s="5">
        <v>0</v>
      </c>
      <c r="Q473" s="5">
        <v>859000</v>
      </c>
      <c r="R473" s="1" t="s">
        <v>1100</v>
      </c>
      <c r="S473" s="1" t="s">
        <v>124</v>
      </c>
      <c r="T473" s="4">
        <v>45292</v>
      </c>
      <c r="U473" s="4">
        <v>45657</v>
      </c>
      <c r="V473" s="1" t="s">
        <v>125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859000</v>
      </c>
      <c r="AH473" s="5">
        <v>117250</v>
      </c>
      <c r="AI473" s="5">
        <v>0</v>
      </c>
      <c r="AJ473" s="5">
        <v>117248.87</v>
      </c>
      <c r="AK473" s="5">
        <v>0</v>
      </c>
      <c r="AL473" s="5">
        <v>1.1299999999999999</v>
      </c>
      <c r="AM473" s="5">
        <v>0</v>
      </c>
      <c r="AN473" s="5">
        <v>117250</v>
      </c>
      <c r="AO473" s="1" t="s">
        <v>434</v>
      </c>
    </row>
    <row r="474" spans="1:41" x14ac:dyDescent="0.25">
      <c r="A474" s="1">
        <f t="shared" si="2"/>
        <v>458</v>
      </c>
      <c r="B474" s="1" t="s">
        <v>762</v>
      </c>
      <c r="C474" s="1" t="s">
        <v>123</v>
      </c>
      <c r="D474" s="1" t="s">
        <v>815</v>
      </c>
      <c r="E474" s="4">
        <v>45292</v>
      </c>
      <c r="F474" s="4">
        <v>45657</v>
      </c>
      <c r="G474" s="1" t="s">
        <v>125</v>
      </c>
      <c r="H474" s="5">
        <v>955613.9</v>
      </c>
      <c r="I474" s="5">
        <v>67854.41</v>
      </c>
      <c r="J474" s="5">
        <v>28050</v>
      </c>
      <c r="K474" s="5">
        <v>39500</v>
      </c>
      <c r="L474" s="5">
        <v>25675</v>
      </c>
      <c r="M474" s="5">
        <v>161079.41</v>
      </c>
      <c r="N474" s="5">
        <v>771534.49</v>
      </c>
      <c r="O474" s="5">
        <v>0</v>
      </c>
      <c r="P474" s="5">
        <v>23000</v>
      </c>
      <c r="Q474" s="5">
        <v>794534.49</v>
      </c>
      <c r="R474" s="1" t="s">
        <v>1101</v>
      </c>
      <c r="S474" s="1" t="s">
        <v>124</v>
      </c>
      <c r="T474" s="4">
        <v>45292</v>
      </c>
      <c r="U474" s="4">
        <v>45657</v>
      </c>
      <c r="V474" s="1" t="s">
        <v>125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794534.49</v>
      </c>
      <c r="AH474" s="5">
        <v>101406.9</v>
      </c>
      <c r="AI474" s="5">
        <v>0</v>
      </c>
      <c r="AJ474" s="5">
        <v>102390.77</v>
      </c>
      <c r="AK474" s="5">
        <v>0</v>
      </c>
      <c r="AL474" s="5">
        <v>0</v>
      </c>
      <c r="AM474" s="5">
        <v>983.87</v>
      </c>
      <c r="AN474" s="5">
        <v>101406.9</v>
      </c>
      <c r="AO474" s="1" t="s">
        <v>434</v>
      </c>
    </row>
    <row r="475" spans="1:41" x14ac:dyDescent="0.25">
      <c r="A475" s="1">
        <f t="shared" si="2"/>
        <v>459</v>
      </c>
      <c r="B475" s="1" t="s">
        <v>763</v>
      </c>
      <c r="C475" s="1" t="s">
        <v>123</v>
      </c>
      <c r="D475" s="1" t="s">
        <v>815</v>
      </c>
      <c r="E475" s="4">
        <v>45292</v>
      </c>
      <c r="F475" s="4">
        <v>45657</v>
      </c>
      <c r="G475" s="1" t="s">
        <v>125</v>
      </c>
      <c r="H475" s="5">
        <v>1171920.8399999999</v>
      </c>
      <c r="I475" s="5">
        <v>85000</v>
      </c>
      <c r="J475" s="5">
        <v>28050</v>
      </c>
      <c r="K475" s="5">
        <v>44000</v>
      </c>
      <c r="L475" s="5">
        <v>13875</v>
      </c>
      <c r="M475" s="5">
        <v>170925</v>
      </c>
      <c r="N475" s="5">
        <v>976000</v>
      </c>
      <c r="O475" s="5">
        <v>0</v>
      </c>
      <c r="P475" s="5">
        <v>24995.84</v>
      </c>
      <c r="Q475" s="5">
        <v>1000995.84</v>
      </c>
      <c r="R475" s="1" t="s">
        <v>1102</v>
      </c>
      <c r="S475" s="1" t="s">
        <v>124</v>
      </c>
      <c r="T475" s="4">
        <v>45292</v>
      </c>
      <c r="U475" s="4">
        <v>45657</v>
      </c>
      <c r="V475" s="1" t="s">
        <v>125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1000995.84</v>
      </c>
      <c r="AH475" s="5">
        <v>152748.96</v>
      </c>
      <c r="AI475" s="5">
        <v>0</v>
      </c>
      <c r="AJ475" s="5">
        <v>152747.85</v>
      </c>
      <c r="AK475" s="5">
        <v>0</v>
      </c>
      <c r="AL475" s="5">
        <v>1.1100000000000001</v>
      </c>
      <c r="AM475" s="5">
        <v>0</v>
      </c>
      <c r="AN475" s="5">
        <v>152748.96</v>
      </c>
      <c r="AO475" s="1" t="s">
        <v>434</v>
      </c>
    </row>
    <row r="476" spans="1:41" x14ac:dyDescent="0.25">
      <c r="A476" s="1">
        <f t="shared" si="2"/>
        <v>460</v>
      </c>
      <c r="B476" s="1" t="s">
        <v>764</v>
      </c>
      <c r="C476" s="1" t="s">
        <v>123</v>
      </c>
      <c r="D476" s="1" t="s">
        <v>815</v>
      </c>
      <c r="E476" s="4">
        <v>45292</v>
      </c>
      <c r="F476" s="4">
        <v>45657</v>
      </c>
      <c r="G476" s="1" t="s">
        <v>125</v>
      </c>
      <c r="H476" s="5">
        <v>967581.41</v>
      </c>
      <c r="I476" s="5">
        <v>70000</v>
      </c>
      <c r="J476" s="5">
        <v>28050</v>
      </c>
      <c r="K476" s="5">
        <v>39500</v>
      </c>
      <c r="L476" s="5">
        <v>16800</v>
      </c>
      <c r="M476" s="5">
        <v>154350</v>
      </c>
      <c r="N476" s="5">
        <v>800500</v>
      </c>
      <c r="O476" s="5">
        <v>0</v>
      </c>
      <c r="P476" s="5">
        <v>12731.41</v>
      </c>
      <c r="Q476" s="5">
        <v>813231.41</v>
      </c>
      <c r="R476" s="1" t="s">
        <v>1103</v>
      </c>
      <c r="S476" s="1" t="s">
        <v>124</v>
      </c>
      <c r="T476" s="4">
        <v>45292</v>
      </c>
      <c r="U476" s="4">
        <v>45657</v>
      </c>
      <c r="V476" s="1" t="s">
        <v>125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813231.41</v>
      </c>
      <c r="AH476" s="5">
        <v>105807.85</v>
      </c>
      <c r="AI476" s="5">
        <v>0</v>
      </c>
      <c r="AJ476" s="5">
        <v>106157.68</v>
      </c>
      <c r="AK476" s="5">
        <v>0</v>
      </c>
      <c r="AL476" s="5">
        <v>0</v>
      </c>
      <c r="AM476" s="5">
        <v>349.83</v>
      </c>
      <c r="AN476" s="5">
        <v>105807.85</v>
      </c>
      <c r="AO476" s="1" t="s">
        <v>434</v>
      </c>
    </row>
    <row r="477" spans="1:41" x14ac:dyDescent="0.25">
      <c r="A477" s="1">
        <f t="shared" si="2"/>
        <v>461</v>
      </c>
      <c r="B477" s="1" t="s">
        <v>765</v>
      </c>
      <c r="C477" s="1" t="s">
        <v>123</v>
      </c>
      <c r="D477" s="1" t="s">
        <v>815</v>
      </c>
      <c r="E477" s="4">
        <v>45292</v>
      </c>
      <c r="F477" s="4">
        <v>45657</v>
      </c>
      <c r="G477" s="1" t="s">
        <v>125</v>
      </c>
      <c r="H477" s="5">
        <v>1282832.3899999999</v>
      </c>
      <c r="I477" s="5">
        <v>90000</v>
      </c>
      <c r="J477" s="5">
        <v>33300</v>
      </c>
      <c r="K477" s="5">
        <v>46700</v>
      </c>
      <c r="L477" s="5">
        <v>0</v>
      </c>
      <c r="M477" s="5">
        <v>170000</v>
      </c>
      <c r="N477" s="5">
        <v>1081300</v>
      </c>
      <c r="O477" s="5">
        <v>4000</v>
      </c>
      <c r="P477" s="5">
        <v>27532.39</v>
      </c>
      <c r="Q477" s="5">
        <v>1112832.3899999999</v>
      </c>
      <c r="R477" s="1" t="s">
        <v>1104</v>
      </c>
      <c r="S477" s="1" t="s">
        <v>124</v>
      </c>
      <c r="T477" s="4">
        <v>45292</v>
      </c>
      <c r="U477" s="4">
        <v>45657</v>
      </c>
      <c r="V477" s="1" t="s">
        <v>125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1112832.3899999999</v>
      </c>
      <c r="AH477" s="5">
        <v>180708.1</v>
      </c>
      <c r="AI477" s="5">
        <v>0</v>
      </c>
      <c r="AJ477" s="5">
        <v>180706.9</v>
      </c>
      <c r="AK477" s="5">
        <v>0</v>
      </c>
      <c r="AL477" s="5">
        <v>1.2</v>
      </c>
      <c r="AM477" s="5">
        <v>0</v>
      </c>
      <c r="AN477" s="5">
        <v>180708.1</v>
      </c>
      <c r="AO477" s="1" t="s">
        <v>434</v>
      </c>
    </row>
    <row r="478" spans="1:41" x14ac:dyDescent="0.25">
      <c r="A478" s="1">
        <f t="shared" si="2"/>
        <v>462</v>
      </c>
      <c r="B478" s="1" t="s">
        <v>766</v>
      </c>
      <c r="C478" s="1" t="s">
        <v>123</v>
      </c>
      <c r="D478" s="1" t="s">
        <v>815</v>
      </c>
      <c r="E478" s="4">
        <v>45292</v>
      </c>
      <c r="F478" s="4">
        <v>45657</v>
      </c>
      <c r="G478" s="1" t="s">
        <v>125</v>
      </c>
      <c r="H478" s="5">
        <v>1255300</v>
      </c>
      <c r="I478" s="5">
        <v>90000</v>
      </c>
      <c r="J478" s="5">
        <v>33300</v>
      </c>
      <c r="K478" s="5">
        <v>46700</v>
      </c>
      <c r="L478" s="5">
        <v>0</v>
      </c>
      <c r="M478" s="5">
        <v>170000</v>
      </c>
      <c r="N478" s="5">
        <v>1081300</v>
      </c>
      <c r="O478" s="5">
        <v>4000</v>
      </c>
      <c r="P478" s="5">
        <v>0</v>
      </c>
      <c r="Q478" s="5">
        <v>1085300</v>
      </c>
      <c r="R478" s="1" t="s">
        <v>1105</v>
      </c>
      <c r="S478" s="1" t="s">
        <v>124</v>
      </c>
      <c r="T478" s="4">
        <v>45292</v>
      </c>
      <c r="U478" s="4">
        <v>45657</v>
      </c>
      <c r="V478" s="1" t="s">
        <v>125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1085300</v>
      </c>
      <c r="AH478" s="5">
        <v>173825</v>
      </c>
      <c r="AI478" s="5">
        <v>0</v>
      </c>
      <c r="AJ478" s="5">
        <v>173823.8</v>
      </c>
      <c r="AK478" s="5">
        <v>0</v>
      </c>
      <c r="AL478" s="5">
        <v>1.2</v>
      </c>
      <c r="AM478" s="5">
        <v>0</v>
      </c>
      <c r="AN478" s="5">
        <v>173825</v>
      </c>
      <c r="AO478" s="1" t="s">
        <v>434</v>
      </c>
    </row>
    <row r="479" spans="1:41" x14ac:dyDescent="0.25">
      <c r="A479" s="1">
        <f t="shared" si="2"/>
        <v>463</v>
      </c>
      <c r="B479" s="1" t="s">
        <v>767</v>
      </c>
      <c r="C479" s="1" t="s">
        <v>123</v>
      </c>
      <c r="D479" s="1" t="s">
        <v>815</v>
      </c>
      <c r="E479" s="4">
        <v>45292</v>
      </c>
      <c r="F479" s="4">
        <v>45657</v>
      </c>
      <c r="G479" s="1" t="s">
        <v>125</v>
      </c>
      <c r="H479" s="5">
        <v>924064.79</v>
      </c>
      <c r="I479" s="5">
        <v>65000</v>
      </c>
      <c r="J479" s="5">
        <v>28050</v>
      </c>
      <c r="K479" s="5">
        <v>38000</v>
      </c>
      <c r="L479" s="5">
        <v>17075</v>
      </c>
      <c r="M479" s="5">
        <v>148125</v>
      </c>
      <c r="N479" s="5">
        <v>742000</v>
      </c>
      <c r="O479" s="5">
        <v>0</v>
      </c>
      <c r="P479" s="5">
        <v>33939.79</v>
      </c>
      <c r="Q479" s="5">
        <v>775939.79</v>
      </c>
      <c r="R479" s="1" t="s">
        <v>1106</v>
      </c>
      <c r="S479" s="1" t="s">
        <v>124</v>
      </c>
      <c r="T479" s="4">
        <v>45292</v>
      </c>
      <c r="U479" s="4">
        <v>45657</v>
      </c>
      <c r="V479" s="1" t="s">
        <v>125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775939.79</v>
      </c>
      <c r="AH479" s="5">
        <v>97687.96</v>
      </c>
      <c r="AI479" s="5">
        <v>0</v>
      </c>
      <c r="AJ479" s="5">
        <v>98899.47</v>
      </c>
      <c r="AK479" s="5">
        <v>0</v>
      </c>
      <c r="AL479" s="5">
        <v>0</v>
      </c>
      <c r="AM479" s="5">
        <v>1211.51</v>
      </c>
      <c r="AN479" s="5">
        <v>97687.96</v>
      </c>
      <c r="AO479" s="1" t="s">
        <v>434</v>
      </c>
    </row>
    <row r="480" spans="1:41" x14ac:dyDescent="0.25">
      <c r="A480" s="1">
        <f t="shared" si="2"/>
        <v>464</v>
      </c>
      <c r="B480" s="1" t="s">
        <v>768</v>
      </c>
      <c r="C480" s="1" t="s">
        <v>123</v>
      </c>
      <c r="D480" s="1" t="s">
        <v>815</v>
      </c>
      <c r="E480" s="4">
        <v>45292</v>
      </c>
      <c r="F480" s="4">
        <v>45657</v>
      </c>
      <c r="G480" s="1" t="s">
        <v>125</v>
      </c>
      <c r="H480" s="5">
        <v>1275807.27</v>
      </c>
      <c r="I480" s="5">
        <v>90000</v>
      </c>
      <c r="J480" s="5">
        <v>33300</v>
      </c>
      <c r="K480" s="5">
        <v>46700</v>
      </c>
      <c r="L480" s="5">
        <v>300</v>
      </c>
      <c r="M480" s="5">
        <v>170300</v>
      </c>
      <c r="N480" s="5">
        <v>1081300</v>
      </c>
      <c r="O480" s="5">
        <v>4000</v>
      </c>
      <c r="P480" s="5">
        <v>20207.27</v>
      </c>
      <c r="Q480" s="5">
        <v>1105507.27</v>
      </c>
      <c r="R480" s="1" t="s">
        <v>1107</v>
      </c>
      <c r="S480" s="1" t="s">
        <v>124</v>
      </c>
      <c r="T480" s="4">
        <v>45292</v>
      </c>
      <c r="U480" s="4">
        <v>45657</v>
      </c>
      <c r="V480" s="1" t="s">
        <v>125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1105507.27</v>
      </c>
      <c r="AH480" s="5">
        <v>178876.82</v>
      </c>
      <c r="AI480" s="5">
        <v>0</v>
      </c>
      <c r="AJ480" s="5">
        <v>178875.63</v>
      </c>
      <c r="AK480" s="5">
        <v>0</v>
      </c>
      <c r="AL480" s="5">
        <v>1.19</v>
      </c>
      <c r="AM480" s="5">
        <v>0</v>
      </c>
      <c r="AN480" s="5">
        <v>178876.82</v>
      </c>
      <c r="AO480" s="1" t="s">
        <v>434</v>
      </c>
    </row>
    <row r="481" spans="1:41" x14ac:dyDescent="0.25">
      <c r="A481" s="1">
        <f t="shared" si="2"/>
        <v>465</v>
      </c>
      <c r="B481" s="1" t="s">
        <v>769</v>
      </c>
      <c r="C481" s="1" t="s">
        <v>123</v>
      </c>
      <c r="D481" s="1" t="s">
        <v>815</v>
      </c>
      <c r="E481" s="4">
        <v>45292</v>
      </c>
      <c r="F481" s="4">
        <v>45657</v>
      </c>
      <c r="G481" s="1" t="s">
        <v>125</v>
      </c>
      <c r="H481" s="5">
        <v>1893863.3166666667</v>
      </c>
      <c r="I481" s="5">
        <v>90000</v>
      </c>
      <c r="J481" s="5">
        <v>24000</v>
      </c>
      <c r="K481" s="5">
        <v>48500</v>
      </c>
      <c r="L481" s="5">
        <v>0</v>
      </c>
      <c r="M481" s="5">
        <v>162500</v>
      </c>
      <c r="N481" s="5">
        <v>1566750</v>
      </c>
      <c r="O481" s="5">
        <v>44604.17</v>
      </c>
      <c r="P481" s="5">
        <v>120009.15</v>
      </c>
      <c r="Q481" s="5">
        <v>1731363.32</v>
      </c>
      <c r="R481" s="1" t="s">
        <v>1108</v>
      </c>
      <c r="S481" s="1" t="s">
        <v>124</v>
      </c>
      <c r="T481" s="4">
        <v>45292</v>
      </c>
      <c r="U481" s="4">
        <v>45657</v>
      </c>
      <c r="V481" s="1" t="s">
        <v>125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1731363.32</v>
      </c>
      <c r="AH481" s="5">
        <v>335340.83</v>
      </c>
      <c r="AI481" s="5">
        <v>0</v>
      </c>
      <c r="AJ481" s="5">
        <v>335339.63</v>
      </c>
      <c r="AK481" s="5">
        <v>0</v>
      </c>
      <c r="AL481" s="5">
        <v>1.2</v>
      </c>
      <c r="AM481" s="5">
        <v>0</v>
      </c>
      <c r="AN481" s="5">
        <v>335340.83</v>
      </c>
      <c r="AO481" s="1" t="s">
        <v>434</v>
      </c>
    </row>
    <row r="482" spans="1:41" x14ac:dyDescent="0.25">
      <c r="A482" s="1">
        <f t="shared" si="2"/>
        <v>466</v>
      </c>
      <c r="B482" s="1" t="s">
        <v>770</v>
      </c>
      <c r="C482" s="1" t="s">
        <v>123</v>
      </c>
      <c r="D482" s="1" t="s">
        <v>815</v>
      </c>
      <c r="E482" s="4">
        <v>45292</v>
      </c>
      <c r="F482" s="4">
        <v>45657</v>
      </c>
      <c r="G482" s="1" t="s">
        <v>125</v>
      </c>
      <c r="H482" s="5">
        <v>950034.01</v>
      </c>
      <c r="I482" s="5">
        <v>72107.28</v>
      </c>
      <c r="J482" s="5">
        <v>0</v>
      </c>
      <c r="K482" s="5">
        <v>40255</v>
      </c>
      <c r="L482" s="5">
        <v>12575</v>
      </c>
      <c r="M482" s="5">
        <v>124937.28</v>
      </c>
      <c r="N482" s="5">
        <v>825032.36</v>
      </c>
      <c r="O482" s="5">
        <v>0</v>
      </c>
      <c r="P482" s="5">
        <v>64.37</v>
      </c>
      <c r="Q482" s="5">
        <v>825096.73</v>
      </c>
      <c r="R482" s="1" t="s">
        <v>1109</v>
      </c>
      <c r="S482" s="1" t="s">
        <v>124</v>
      </c>
      <c r="T482" s="4">
        <v>45292</v>
      </c>
      <c r="U482" s="4">
        <v>45657</v>
      </c>
      <c r="V482" s="1" t="s">
        <v>125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825096.73</v>
      </c>
      <c r="AH482" s="5">
        <v>108774.18</v>
      </c>
      <c r="AI482" s="5">
        <v>0</v>
      </c>
      <c r="AJ482" s="5">
        <v>117241.7</v>
      </c>
      <c r="AK482" s="5">
        <v>0</v>
      </c>
      <c r="AL482" s="5">
        <v>0</v>
      </c>
      <c r="AM482" s="5">
        <v>8467.52</v>
      </c>
      <c r="AN482" s="5">
        <v>108774.18</v>
      </c>
      <c r="AO482" s="1" t="s">
        <v>434</v>
      </c>
    </row>
    <row r="483" spans="1:41" x14ac:dyDescent="0.25">
      <c r="A483" s="1">
        <f t="shared" si="2"/>
        <v>467</v>
      </c>
      <c r="B483" s="1" t="s">
        <v>771</v>
      </c>
      <c r="C483" s="1" t="s">
        <v>123</v>
      </c>
      <c r="D483" s="1" t="s">
        <v>815</v>
      </c>
      <c r="E483" s="4">
        <v>45292</v>
      </c>
      <c r="F483" s="4">
        <v>45657</v>
      </c>
      <c r="G483" s="1" t="s">
        <v>125</v>
      </c>
      <c r="H483" s="5">
        <v>2439215.5250000004</v>
      </c>
      <c r="I483" s="5">
        <v>90000</v>
      </c>
      <c r="J483" s="5">
        <v>24000</v>
      </c>
      <c r="K483" s="5">
        <v>48500</v>
      </c>
      <c r="L483" s="5">
        <v>0</v>
      </c>
      <c r="M483" s="5">
        <v>162500</v>
      </c>
      <c r="N483" s="5">
        <v>2070120.7</v>
      </c>
      <c r="O483" s="5">
        <v>86551.73</v>
      </c>
      <c r="P483" s="5">
        <v>120043.1</v>
      </c>
      <c r="Q483" s="5">
        <v>2276715.5299999998</v>
      </c>
      <c r="R483" s="1" t="s">
        <v>1110</v>
      </c>
      <c r="S483" s="1" t="s">
        <v>124</v>
      </c>
      <c r="T483" s="4">
        <v>45292</v>
      </c>
      <c r="U483" s="4">
        <v>45657</v>
      </c>
      <c r="V483" s="1" t="s">
        <v>125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2276715.5299999998</v>
      </c>
      <c r="AH483" s="5">
        <v>485514.66</v>
      </c>
      <c r="AI483" s="5">
        <v>0</v>
      </c>
      <c r="AJ483" s="5">
        <v>485820.59</v>
      </c>
      <c r="AK483" s="5">
        <v>0</v>
      </c>
      <c r="AL483" s="5">
        <v>0</v>
      </c>
      <c r="AM483" s="5">
        <v>305.93</v>
      </c>
      <c r="AN483" s="5">
        <v>485514.66</v>
      </c>
      <c r="AO483" s="1" t="s">
        <v>434</v>
      </c>
    </row>
    <row r="484" spans="1:41" x14ac:dyDescent="0.25">
      <c r="A484" s="1">
        <f t="shared" si="2"/>
        <v>468</v>
      </c>
      <c r="B484" s="1" t="s">
        <v>772</v>
      </c>
      <c r="C484" s="1" t="s">
        <v>123</v>
      </c>
      <c r="D484" s="1" t="s">
        <v>815</v>
      </c>
      <c r="E484" s="4">
        <v>45292</v>
      </c>
      <c r="F484" s="4">
        <v>45657</v>
      </c>
      <c r="G484" s="1" t="s">
        <v>125</v>
      </c>
      <c r="H484" s="5">
        <v>1083628.0699999998</v>
      </c>
      <c r="I484" s="5">
        <v>80000</v>
      </c>
      <c r="J484" s="5">
        <v>28050</v>
      </c>
      <c r="K484" s="5">
        <v>42500</v>
      </c>
      <c r="L484" s="5">
        <v>15575</v>
      </c>
      <c r="M484" s="5">
        <v>166125</v>
      </c>
      <c r="N484" s="5">
        <v>917500</v>
      </c>
      <c r="O484" s="5">
        <v>0</v>
      </c>
      <c r="P484" s="5">
        <v>3.07</v>
      </c>
      <c r="Q484" s="5">
        <v>917503.07</v>
      </c>
      <c r="R484" s="1" t="s">
        <v>1111</v>
      </c>
      <c r="S484" s="1" t="s">
        <v>124</v>
      </c>
      <c r="T484" s="4">
        <v>45292</v>
      </c>
      <c r="U484" s="4">
        <v>45657</v>
      </c>
      <c r="V484" s="1" t="s">
        <v>125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917503.07</v>
      </c>
      <c r="AH484" s="5">
        <v>131875.76999999999</v>
      </c>
      <c r="AI484" s="5">
        <v>0</v>
      </c>
      <c r="AJ484" s="5">
        <v>131874.57</v>
      </c>
      <c r="AK484" s="5">
        <v>0</v>
      </c>
      <c r="AL484" s="5">
        <v>1.2</v>
      </c>
      <c r="AM484" s="5">
        <v>0</v>
      </c>
      <c r="AN484" s="5">
        <v>131875.76999999999</v>
      </c>
      <c r="AO484" s="1" t="s">
        <v>434</v>
      </c>
    </row>
    <row r="485" spans="1:41" x14ac:dyDescent="0.25">
      <c r="A485" s="1">
        <f t="shared" si="2"/>
        <v>469</v>
      </c>
      <c r="B485" s="1" t="s">
        <v>773</v>
      </c>
      <c r="C485" s="1" t="s">
        <v>123</v>
      </c>
      <c r="D485" s="1" t="s">
        <v>815</v>
      </c>
      <c r="E485" s="4">
        <v>45292</v>
      </c>
      <c r="F485" s="4">
        <v>45657</v>
      </c>
      <c r="G485" s="1" t="s">
        <v>125</v>
      </c>
      <c r="H485" s="5">
        <v>1136640.8799999999</v>
      </c>
      <c r="I485" s="5">
        <v>80000</v>
      </c>
      <c r="J485" s="5">
        <v>28050</v>
      </c>
      <c r="K485" s="5">
        <v>42500</v>
      </c>
      <c r="L485" s="5">
        <v>17725</v>
      </c>
      <c r="M485" s="5">
        <v>168275</v>
      </c>
      <c r="N485" s="5">
        <v>917500</v>
      </c>
      <c r="O485" s="5">
        <v>0</v>
      </c>
      <c r="P485" s="5">
        <v>50865.88</v>
      </c>
      <c r="Q485" s="5">
        <v>968365.88</v>
      </c>
      <c r="R485" s="1" t="s">
        <v>1112</v>
      </c>
      <c r="S485" s="1" t="s">
        <v>124</v>
      </c>
      <c r="T485" s="4">
        <v>45292</v>
      </c>
      <c r="U485" s="4">
        <v>45657</v>
      </c>
      <c r="V485" s="1" t="s">
        <v>125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968365.88</v>
      </c>
      <c r="AH485" s="5">
        <v>144591.47</v>
      </c>
      <c r="AI485" s="5">
        <v>0</v>
      </c>
      <c r="AJ485" s="5">
        <v>144590.28</v>
      </c>
      <c r="AK485" s="5">
        <v>0</v>
      </c>
      <c r="AL485" s="5">
        <v>1.19</v>
      </c>
      <c r="AM485" s="5">
        <v>0</v>
      </c>
      <c r="AN485" s="5">
        <v>144591.47</v>
      </c>
      <c r="AO485" s="1" t="s">
        <v>434</v>
      </c>
    </row>
    <row r="486" spans="1:41" x14ac:dyDescent="0.25">
      <c r="A486" s="1">
        <f t="shared" si="2"/>
        <v>470</v>
      </c>
      <c r="B486" s="1" t="s">
        <v>774</v>
      </c>
      <c r="C486" s="1" t="s">
        <v>123</v>
      </c>
      <c r="D486" s="1" t="s">
        <v>815</v>
      </c>
      <c r="E486" s="4">
        <v>45292</v>
      </c>
      <c r="F486" s="4">
        <v>45657</v>
      </c>
      <c r="G486" s="1" t="s">
        <v>125</v>
      </c>
      <c r="H486" s="5">
        <v>1116799.1299999999</v>
      </c>
      <c r="I486" s="5">
        <v>80000</v>
      </c>
      <c r="J486" s="5">
        <v>28050</v>
      </c>
      <c r="K486" s="5">
        <v>42500</v>
      </c>
      <c r="L486" s="5">
        <v>21025</v>
      </c>
      <c r="M486" s="5">
        <v>171575</v>
      </c>
      <c r="N486" s="5">
        <v>917500</v>
      </c>
      <c r="O486" s="5">
        <v>0</v>
      </c>
      <c r="P486" s="5">
        <v>27724.13</v>
      </c>
      <c r="Q486" s="5">
        <v>945224.13</v>
      </c>
      <c r="R486" s="1" t="s">
        <v>1113</v>
      </c>
      <c r="S486" s="1" t="s">
        <v>124</v>
      </c>
      <c r="T486" s="4">
        <v>45292</v>
      </c>
      <c r="U486" s="4">
        <v>45657</v>
      </c>
      <c r="V486" s="1" t="s">
        <v>125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945224.13</v>
      </c>
      <c r="AH486" s="5">
        <v>138806.03</v>
      </c>
      <c r="AI486" s="5">
        <v>0</v>
      </c>
      <c r="AJ486" s="5">
        <v>139148.45000000001</v>
      </c>
      <c r="AK486" s="5">
        <v>0</v>
      </c>
      <c r="AL486" s="5">
        <v>0</v>
      </c>
      <c r="AM486" s="5">
        <v>342.42</v>
      </c>
      <c r="AN486" s="5">
        <v>138806.03</v>
      </c>
      <c r="AO486" s="1" t="s">
        <v>434</v>
      </c>
    </row>
    <row r="487" spans="1:41" x14ac:dyDescent="0.25">
      <c r="A487" s="1">
        <f t="shared" si="2"/>
        <v>471</v>
      </c>
      <c r="B487" s="1" t="s">
        <v>775</v>
      </c>
      <c r="C487" s="1" t="s">
        <v>123</v>
      </c>
      <c r="D487" s="1" t="s">
        <v>815</v>
      </c>
      <c r="E487" s="4">
        <v>45292</v>
      </c>
      <c r="F487" s="4">
        <v>45657</v>
      </c>
      <c r="G487" s="1" t="s">
        <v>125</v>
      </c>
      <c r="H487" s="5">
        <v>2386211.8733333335</v>
      </c>
      <c r="I487" s="5">
        <v>90000</v>
      </c>
      <c r="J487" s="5">
        <v>24000</v>
      </c>
      <c r="K487" s="5">
        <v>48500</v>
      </c>
      <c r="L487" s="5">
        <v>0</v>
      </c>
      <c r="M487" s="5">
        <v>162500</v>
      </c>
      <c r="N487" s="5">
        <v>2020400</v>
      </c>
      <c r="O487" s="5">
        <v>82408.33</v>
      </c>
      <c r="P487" s="5">
        <v>120903.54</v>
      </c>
      <c r="Q487" s="5">
        <v>2223711.87</v>
      </c>
      <c r="R487" s="1" t="s">
        <v>1114</v>
      </c>
      <c r="S487" s="1" t="s">
        <v>124</v>
      </c>
      <c r="T487" s="4">
        <v>45292</v>
      </c>
      <c r="U487" s="4">
        <v>45657</v>
      </c>
      <c r="V487" s="1" t="s">
        <v>125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2223711.87</v>
      </c>
      <c r="AH487" s="5">
        <v>469613.56</v>
      </c>
      <c r="AI487" s="5">
        <v>0</v>
      </c>
      <c r="AJ487" s="5">
        <v>470131.65</v>
      </c>
      <c r="AK487" s="5">
        <v>0</v>
      </c>
      <c r="AL487" s="5">
        <v>0</v>
      </c>
      <c r="AM487" s="5">
        <v>518.09</v>
      </c>
      <c r="AN487" s="5">
        <v>469613.56</v>
      </c>
      <c r="AO487" s="1" t="s">
        <v>434</v>
      </c>
    </row>
    <row r="488" spans="1:41" x14ac:dyDescent="0.25">
      <c r="A488" s="1">
        <f t="shared" si="2"/>
        <v>472</v>
      </c>
      <c r="B488" s="1" t="s">
        <v>776</v>
      </c>
      <c r="C488" s="1" t="s">
        <v>123</v>
      </c>
      <c r="D488" s="1" t="s">
        <v>815</v>
      </c>
      <c r="E488" s="4">
        <v>45292</v>
      </c>
      <c r="F488" s="4">
        <v>45657</v>
      </c>
      <c r="G488" s="1" t="s">
        <v>125</v>
      </c>
      <c r="H488" s="5">
        <v>961116.16000000003</v>
      </c>
      <c r="I488" s="5">
        <v>70000</v>
      </c>
      <c r="J488" s="5">
        <v>28050</v>
      </c>
      <c r="K488" s="5">
        <v>39500</v>
      </c>
      <c r="L488" s="5">
        <v>15975</v>
      </c>
      <c r="M488" s="5">
        <v>153525</v>
      </c>
      <c r="N488" s="5">
        <v>800500</v>
      </c>
      <c r="O488" s="5">
        <v>0</v>
      </c>
      <c r="P488" s="5">
        <v>7091.16</v>
      </c>
      <c r="Q488" s="5">
        <v>807591.16</v>
      </c>
      <c r="R488" s="1" t="s">
        <v>1115</v>
      </c>
      <c r="S488" s="1" t="s">
        <v>124</v>
      </c>
      <c r="T488" s="4">
        <v>45292</v>
      </c>
      <c r="U488" s="4">
        <v>45657</v>
      </c>
      <c r="V488" s="1" t="s">
        <v>125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807591.16</v>
      </c>
      <c r="AH488" s="5">
        <v>104397.79</v>
      </c>
      <c r="AI488" s="5">
        <v>0</v>
      </c>
      <c r="AJ488" s="5">
        <v>104836.39</v>
      </c>
      <c r="AK488" s="5">
        <v>0</v>
      </c>
      <c r="AL488" s="5">
        <v>0</v>
      </c>
      <c r="AM488" s="5">
        <v>438.6</v>
      </c>
      <c r="AN488" s="5">
        <v>104397.79</v>
      </c>
      <c r="AO488" s="1" t="s">
        <v>434</v>
      </c>
    </row>
    <row r="489" spans="1:41" x14ac:dyDescent="0.25">
      <c r="A489" s="1">
        <f t="shared" si="2"/>
        <v>473</v>
      </c>
      <c r="B489" s="1" t="s">
        <v>777</v>
      </c>
      <c r="C489" s="1" t="s">
        <v>123</v>
      </c>
      <c r="D489" s="1" t="s">
        <v>815</v>
      </c>
      <c r="E489" s="4">
        <v>45292</v>
      </c>
      <c r="F489" s="4">
        <v>45657</v>
      </c>
      <c r="G489" s="1" t="s">
        <v>125</v>
      </c>
      <c r="H489" s="5">
        <v>1206368.97</v>
      </c>
      <c r="I489" s="5">
        <v>88620.69</v>
      </c>
      <c r="J489" s="5">
        <v>33300</v>
      </c>
      <c r="K489" s="5">
        <v>45500</v>
      </c>
      <c r="L489" s="5">
        <v>12000</v>
      </c>
      <c r="M489" s="5">
        <v>179420.69</v>
      </c>
      <c r="N489" s="5">
        <v>1017948.28</v>
      </c>
      <c r="O489" s="5">
        <v>0</v>
      </c>
      <c r="P489" s="5">
        <v>9000</v>
      </c>
      <c r="Q489" s="5">
        <v>1026948.28</v>
      </c>
      <c r="R489" s="1" t="s">
        <v>1116</v>
      </c>
      <c r="S489" s="1" t="s">
        <v>124</v>
      </c>
      <c r="T489" s="4">
        <v>45292</v>
      </c>
      <c r="U489" s="4">
        <v>45657</v>
      </c>
      <c r="V489" s="1" t="s">
        <v>125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1026948.28</v>
      </c>
      <c r="AH489" s="5">
        <v>159237.07</v>
      </c>
      <c r="AI489" s="5">
        <v>0</v>
      </c>
      <c r="AJ489" s="5">
        <v>159235.88</v>
      </c>
      <c r="AK489" s="5">
        <v>0</v>
      </c>
      <c r="AL489" s="5">
        <v>1.19</v>
      </c>
      <c r="AM489" s="5">
        <v>0</v>
      </c>
      <c r="AN489" s="5">
        <v>159237.07</v>
      </c>
      <c r="AO489" s="1" t="s">
        <v>434</v>
      </c>
    </row>
    <row r="490" spans="1:41" x14ac:dyDescent="0.25">
      <c r="A490" s="1">
        <f t="shared" si="2"/>
        <v>474</v>
      </c>
      <c r="B490" s="1" t="s">
        <v>778</v>
      </c>
      <c r="C490" s="1" t="s">
        <v>123</v>
      </c>
      <c r="D490" s="1" t="s">
        <v>815</v>
      </c>
      <c r="E490" s="4">
        <v>45292</v>
      </c>
      <c r="F490" s="4">
        <v>45657</v>
      </c>
      <c r="G490" s="1" t="s">
        <v>125</v>
      </c>
      <c r="H490" s="5">
        <v>1062351.21</v>
      </c>
      <c r="I490" s="5">
        <v>74137.929999999993</v>
      </c>
      <c r="J490" s="5">
        <v>28050</v>
      </c>
      <c r="K490" s="5">
        <v>41000</v>
      </c>
      <c r="L490" s="5">
        <v>43275</v>
      </c>
      <c r="M490" s="5">
        <v>186462.93</v>
      </c>
      <c r="N490" s="5">
        <v>848655.16</v>
      </c>
      <c r="O490" s="5">
        <v>0</v>
      </c>
      <c r="P490" s="5">
        <v>27233.119999999999</v>
      </c>
      <c r="Q490" s="5">
        <v>875888.28</v>
      </c>
      <c r="R490" s="1" t="s">
        <v>1117</v>
      </c>
      <c r="S490" s="1" t="s">
        <v>124</v>
      </c>
      <c r="T490" s="4">
        <v>45292</v>
      </c>
      <c r="U490" s="4">
        <v>45657</v>
      </c>
      <c r="V490" s="1" t="s">
        <v>125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875888.28</v>
      </c>
      <c r="AH490" s="5">
        <v>121472.07</v>
      </c>
      <c r="AI490" s="5">
        <v>0</v>
      </c>
      <c r="AJ490" s="5">
        <v>121615.86</v>
      </c>
      <c r="AK490" s="5">
        <v>0</v>
      </c>
      <c r="AL490" s="5">
        <v>0</v>
      </c>
      <c r="AM490" s="5">
        <v>143.79</v>
      </c>
      <c r="AN490" s="5">
        <v>121472.07</v>
      </c>
      <c r="AO490" s="1" t="s">
        <v>434</v>
      </c>
    </row>
    <row r="491" spans="1:41" x14ac:dyDescent="0.25">
      <c r="A491" s="1">
        <f t="shared" si="2"/>
        <v>475</v>
      </c>
      <c r="B491" s="1" t="s">
        <v>779</v>
      </c>
      <c r="C491" s="1" t="s">
        <v>123</v>
      </c>
      <c r="D491" s="1" t="s">
        <v>815</v>
      </c>
      <c r="E491" s="4">
        <v>45292</v>
      </c>
      <c r="F491" s="4">
        <v>45657</v>
      </c>
      <c r="G491" s="1" t="s">
        <v>125</v>
      </c>
      <c r="H491" s="5">
        <v>1243513.33</v>
      </c>
      <c r="I491" s="5">
        <v>90000</v>
      </c>
      <c r="J491" s="5">
        <v>33300</v>
      </c>
      <c r="K491" s="5">
        <v>45500</v>
      </c>
      <c r="L491" s="5">
        <v>10000</v>
      </c>
      <c r="M491" s="5">
        <v>178800</v>
      </c>
      <c r="N491" s="5">
        <v>1034500</v>
      </c>
      <c r="O491" s="5">
        <v>0</v>
      </c>
      <c r="P491" s="5">
        <v>30213.33</v>
      </c>
      <c r="Q491" s="5">
        <v>1064713.33</v>
      </c>
      <c r="R491" s="1" t="s">
        <v>1118</v>
      </c>
      <c r="S491" s="1" t="s">
        <v>124</v>
      </c>
      <c r="T491" s="4">
        <v>45292</v>
      </c>
      <c r="U491" s="4">
        <v>45657</v>
      </c>
      <c r="V491" s="1" t="s">
        <v>125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1064713.33</v>
      </c>
      <c r="AH491" s="5">
        <v>168678.33</v>
      </c>
      <c r="AI491" s="5">
        <v>0</v>
      </c>
      <c r="AJ491" s="5">
        <v>168677.14</v>
      </c>
      <c r="AK491" s="5">
        <v>0</v>
      </c>
      <c r="AL491" s="5">
        <v>1.19</v>
      </c>
      <c r="AM491" s="5">
        <v>0</v>
      </c>
      <c r="AN491" s="5">
        <v>168678.33</v>
      </c>
      <c r="AO491" s="1" t="s">
        <v>434</v>
      </c>
    </row>
    <row r="492" spans="1:41" x14ac:dyDescent="0.25">
      <c r="A492" s="1">
        <f t="shared" si="2"/>
        <v>476</v>
      </c>
      <c r="B492" s="1" t="s">
        <v>780</v>
      </c>
      <c r="C492" s="1" t="s">
        <v>123</v>
      </c>
      <c r="D492" s="1" t="s">
        <v>815</v>
      </c>
      <c r="E492" s="4">
        <v>45292</v>
      </c>
      <c r="F492" s="4">
        <v>45657</v>
      </c>
      <c r="G492" s="1" t="s">
        <v>125</v>
      </c>
      <c r="H492" s="5">
        <v>1558616.0349999999</v>
      </c>
      <c r="I492" s="5">
        <v>90000</v>
      </c>
      <c r="J492" s="5">
        <v>33300</v>
      </c>
      <c r="K492" s="5">
        <v>47000</v>
      </c>
      <c r="L492" s="5">
        <v>23200</v>
      </c>
      <c r="M492" s="5">
        <v>193500</v>
      </c>
      <c r="N492" s="5">
        <v>1088632.18</v>
      </c>
      <c r="O492" s="5">
        <v>4636.0200000000004</v>
      </c>
      <c r="P492" s="5">
        <v>271847.84000000003</v>
      </c>
      <c r="Q492" s="5">
        <v>1365116.04</v>
      </c>
      <c r="R492" s="1" t="s">
        <v>1119</v>
      </c>
      <c r="S492" s="1" t="s">
        <v>124</v>
      </c>
      <c r="T492" s="4">
        <v>45292</v>
      </c>
      <c r="U492" s="4">
        <v>45657</v>
      </c>
      <c r="V492" s="1" t="s">
        <v>125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1365116.04</v>
      </c>
      <c r="AH492" s="5">
        <v>243779.01</v>
      </c>
      <c r="AI492" s="5">
        <v>0</v>
      </c>
      <c r="AJ492" s="5">
        <v>244653.72</v>
      </c>
      <c r="AK492" s="5">
        <v>0</v>
      </c>
      <c r="AL492" s="5">
        <v>0</v>
      </c>
      <c r="AM492" s="5">
        <v>874.71</v>
      </c>
      <c r="AN492" s="5">
        <v>243779.01</v>
      </c>
      <c r="AO492" s="1" t="s">
        <v>434</v>
      </c>
    </row>
    <row r="493" spans="1:41" x14ac:dyDescent="0.25">
      <c r="A493" s="1">
        <f t="shared" si="2"/>
        <v>477</v>
      </c>
      <c r="B493" s="1" t="s">
        <v>781</v>
      </c>
      <c r="C493" s="1" t="s">
        <v>123</v>
      </c>
      <c r="D493" s="1" t="s">
        <v>815</v>
      </c>
      <c r="E493" s="4">
        <v>45292</v>
      </c>
      <c r="F493" s="4">
        <v>45657</v>
      </c>
      <c r="G493" s="1" t="s">
        <v>125</v>
      </c>
      <c r="H493" s="5">
        <v>955548.37</v>
      </c>
      <c r="I493" s="5">
        <v>70000</v>
      </c>
      <c r="J493" s="5">
        <v>28050</v>
      </c>
      <c r="K493" s="5">
        <v>39500</v>
      </c>
      <c r="L493" s="5">
        <v>17375</v>
      </c>
      <c r="M493" s="5">
        <v>154925</v>
      </c>
      <c r="N493" s="5">
        <v>800500</v>
      </c>
      <c r="O493" s="5">
        <v>0</v>
      </c>
      <c r="P493" s="5">
        <v>123.37</v>
      </c>
      <c r="Q493" s="5">
        <v>800623.37</v>
      </c>
      <c r="R493" s="1" t="s">
        <v>1120</v>
      </c>
      <c r="S493" s="1" t="s">
        <v>124</v>
      </c>
      <c r="T493" s="4">
        <v>45292</v>
      </c>
      <c r="U493" s="4">
        <v>45657</v>
      </c>
      <c r="V493" s="1" t="s">
        <v>125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800623.37</v>
      </c>
      <c r="AH493" s="5">
        <v>102655.84</v>
      </c>
      <c r="AI493" s="5">
        <v>0</v>
      </c>
      <c r="AJ493" s="5">
        <v>103091.6</v>
      </c>
      <c r="AK493" s="5">
        <v>0</v>
      </c>
      <c r="AL493" s="5">
        <v>0</v>
      </c>
      <c r="AM493" s="5">
        <v>435.76</v>
      </c>
      <c r="AN493" s="5">
        <v>102655.84</v>
      </c>
      <c r="AO493" s="1" t="s">
        <v>434</v>
      </c>
    </row>
    <row r="494" spans="1:41" x14ac:dyDescent="0.25">
      <c r="A494" s="1">
        <f t="shared" si="2"/>
        <v>478</v>
      </c>
      <c r="B494" s="1" t="s">
        <v>782</v>
      </c>
      <c r="C494" s="1" t="s">
        <v>123</v>
      </c>
      <c r="D494" s="1" t="s">
        <v>815</v>
      </c>
      <c r="E494" s="4">
        <v>45292</v>
      </c>
      <c r="F494" s="4">
        <v>45657</v>
      </c>
      <c r="G494" s="1" t="s">
        <v>125</v>
      </c>
      <c r="H494" s="5">
        <v>1060353.74</v>
      </c>
      <c r="I494" s="5">
        <v>74425.289999999994</v>
      </c>
      <c r="J494" s="5">
        <v>28050</v>
      </c>
      <c r="K494" s="5">
        <v>41000</v>
      </c>
      <c r="L494" s="5">
        <v>39275</v>
      </c>
      <c r="M494" s="5">
        <v>182750.29</v>
      </c>
      <c r="N494" s="5">
        <v>852103.45</v>
      </c>
      <c r="O494" s="5">
        <v>0</v>
      </c>
      <c r="P494" s="5">
        <v>25500</v>
      </c>
      <c r="Q494" s="5">
        <v>877603.45</v>
      </c>
      <c r="R494" s="1" t="s">
        <v>1121</v>
      </c>
      <c r="S494" s="1" t="s">
        <v>124</v>
      </c>
      <c r="T494" s="4">
        <v>45292</v>
      </c>
      <c r="U494" s="4">
        <v>45657</v>
      </c>
      <c r="V494" s="1" t="s">
        <v>125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877603.45</v>
      </c>
      <c r="AH494" s="5">
        <v>121900.86</v>
      </c>
      <c r="AI494" s="5">
        <v>0</v>
      </c>
      <c r="AJ494" s="5">
        <v>122155.58</v>
      </c>
      <c r="AK494" s="5">
        <v>0</v>
      </c>
      <c r="AL494" s="5">
        <v>0</v>
      </c>
      <c r="AM494" s="5">
        <v>254.72</v>
      </c>
      <c r="AN494" s="5">
        <v>121900.86</v>
      </c>
      <c r="AO494" s="1" t="s">
        <v>434</v>
      </c>
    </row>
    <row r="495" spans="1:41" x14ac:dyDescent="0.25">
      <c r="A495" s="1">
        <f t="shared" si="2"/>
        <v>479</v>
      </c>
      <c r="B495" s="1" t="s">
        <v>783</v>
      </c>
      <c r="C495" s="1" t="s">
        <v>123</v>
      </c>
      <c r="D495" s="1" t="s">
        <v>815</v>
      </c>
      <c r="E495" s="4">
        <v>45292</v>
      </c>
      <c r="F495" s="4">
        <v>45657</v>
      </c>
      <c r="G495" s="1" t="s">
        <v>125</v>
      </c>
      <c r="H495" s="5">
        <v>1100093.3900000001</v>
      </c>
      <c r="I495" s="5">
        <v>80000</v>
      </c>
      <c r="J495" s="5">
        <v>28050</v>
      </c>
      <c r="K495" s="5">
        <v>42500</v>
      </c>
      <c r="L495" s="5">
        <v>21025</v>
      </c>
      <c r="M495" s="5">
        <v>171575</v>
      </c>
      <c r="N495" s="5">
        <v>917500</v>
      </c>
      <c r="O495" s="5">
        <v>0</v>
      </c>
      <c r="P495" s="5">
        <v>11018.39</v>
      </c>
      <c r="Q495" s="5">
        <v>928518.39</v>
      </c>
      <c r="R495" s="1" t="s">
        <v>1122</v>
      </c>
      <c r="S495" s="1" t="s">
        <v>124</v>
      </c>
      <c r="T495" s="4">
        <v>45292</v>
      </c>
      <c r="U495" s="4">
        <v>45657</v>
      </c>
      <c r="V495" s="1" t="s">
        <v>125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928518.39</v>
      </c>
      <c r="AH495" s="5">
        <v>134629.6</v>
      </c>
      <c r="AI495" s="5">
        <v>0</v>
      </c>
      <c r="AJ495" s="5">
        <v>134628.4</v>
      </c>
      <c r="AK495" s="5">
        <v>0</v>
      </c>
      <c r="AL495" s="5">
        <v>1.2</v>
      </c>
      <c r="AM495" s="5">
        <v>0</v>
      </c>
      <c r="AN495" s="5">
        <v>134629.6</v>
      </c>
      <c r="AO495" s="1" t="s">
        <v>434</v>
      </c>
    </row>
    <row r="496" spans="1:41" x14ac:dyDescent="0.25">
      <c r="A496" s="1">
        <f t="shared" si="2"/>
        <v>480</v>
      </c>
      <c r="B496" s="1" t="s">
        <v>784</v>
      </c>
      <c r="C496" s="1" t="s">
        <v>123</v>
      </c>
      <c r="D496" s="1" t="s">
        <v>815</v>
      </c>
      <c r="E496" s="4">
        <v>45292</v>
      </c>
      <c r="F496" s="4">
        <v>45657</v>
      </c>
      <c r="G496" s="1" t="s">
        <v>125</v>
      </c>
      <c r="H496" s="5">
        <v>1057628.73</v>
      </c>
      <c r="I496" s="5">
        <v>74425.289999999994</v>
      </c>
      <c r="J496" s="5">
        <v>28050</v>
      </c>
      <c r="K496" s="5">
        <v>41000</v>
      </c>
      <c r="L496" s="5">
        <v>36550</v>
      </c>
      <c r="M496" s="5">
        <v>180025.29</v>
      </c>
      <c r="N496" s="5">
        <v>852103.44</v>
      </c>
      <c r="O496" s="5">
        <v>0</v>
      </c>
      <c r="P496" s="5">
        <v>25500</v>
      </c>
      <c r="Q496" s="5">
        <v>877603.44</v>
      </c>
      <c r="R496" s="1" t="s">
        <v>1123</v>
      </c>
      <c r="S496" s="1" t="s">
        <v>124</v>
      </c>
      <c r="T496" s="4">
        <v>45292</v>
      </c>
      <c r="U496" s="4">
        <v>45657</v>
      </c>
      <c r="V496" s="1" t="s">
        <v>125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877603.44</v>
      </c>
      <c r="AH496" s="5">
        <v>121900.86</v>
      </c>
      <c r="AI496" s="5">
        <v>0</v>
      </c>
      <c r="AJ496" s="5">
        <v>122071.59</v>
      </c>
      <c r="AK496" s="5">
        <v>0</v>
      </c>
      <c r="AL496" s="5">
        <v>0</v>
      </c>
      <c r="AM496" s="5">
        <v>170.73</v>
      </c>
      <c r="AN496" s="5">
        <v>121900.86</v>
      </c>
      <c r="AO496" s="1" t="s">
        <v>434</v>
      </c>
    </row>
    <row r="497" spans="1:41" x14ac:dyDescent="0.25">
      <c r="A497" s="1">
        <f t="shared" si="2"/>
        <v>481</v>
      </c>
      <c r="B497" s="1" t="s">
        <v>785</v>
      </c>
      <c r="C497" s="1" t="s">
        <v>123</v>
      </c>
      <c r="D497" s="1" t="s">
        <v>815</v>
      </c>
      <c r="E497" s="4">
        <v>45292</v>
      </c>
      <c r="F497" s="4">
        <v>45657</v>
      </c>
      <c r="G497" s="1" t="s">
        <v>125</v>
      </c>
      <c r="H497" s="5">
        <v>987640.22</v>
      </c>
      <c r="I497" s="5">
        <v>70000</v>
      </c>
      <c r="J497" s="5">
        <v>28050</v>
      </c>
      <c r="K497" s="5">
        <v>39500</v>
      </c>
      <c r="L497" s="5">
        <v>16725</v>
      </c>
      <c r="M497" s="5">
        <v>154275</v>
      </c>
      <c r="N497" s="5">
        <v>800500</v>
      </c>
      <c r="O497" s="5">
        <v>0</v>
      </c>
      <c r="P497" s="5">
        <v>32865.22</v>
      </c>
      <c r="Q497" s="5">
        <v>833365.22</v>
      </c>
      <c r="R497" s="1" t="s">
        <v>1124</v>
      </c>
      <c r="S497" s="1" t="s">
        <v>124</v>
      </c>
      <c r="T497" s="4">
        <v>45292</v>
      </c>
      <c r="U497" s="4">
        <v>45657</v>
      </c>
      <c r="V497" s="1" t="s">
        <v>125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833365.22</v>
      </c>
      <c r="AH497" s="5">
        <v>110841.31</v>
      </c>
      <c r="AI497" s="5">
        <v>0</v>
      </c>
      <c r="AJ497" s="5">
        <v>111062.48</v>
      </c>
      <c r="AK497" s="5">
        <v>0</v>
      </c>
      <c r="AL497" s="5">
        <v>0</v>
      </c>
      <c r="AM497" s="5">
        <v>221.18</v>
      </c>
      <c r="AN497" s="5">
        <v>110841.31</v>
      </c>
      <c r="AO497" s="1" t="s">
        <v>434</v>
      </c>
    </row>
    <row r="498" spans="1:41" x14ac:dyDescent="0.25">
      <c r="A498" s="1">
        <f t="shared" si="2"/>
        <v>482</v>
      </c>
      <c r="B498" s="1" t="s">
        <v>786</v>
      </c>
      <c r="C498" s="1" t="s">
        <v>123</v>
      </c>
      <c r="D498" s="1" t="s">
        <v>815</v>
      </c>
      <c r="E498" s="4">
        <v>45292</v>
      </c>
      <c r="F498" s="4">
        <v>45657</v>
      </c>
      <c r="G498" s="1" t="s">
        <v>125</v>
      </c>
      <c r="H498" s="5">
        <v>2746038.3166666669</v>
      </c>
      <c r="I498" s="5">
        <v>90000</v>
      </c>
      <c r="J498" s="5">
        <v>24000</v>
      </c>
      <c r="K498" s="5">
        <v>48500</v>
      </c>
      <c r="L498" s="5">
        <v>0</v>
      </c>
      <c r="M498" s="5">
        <v>162500</v>
      </c>
      <c r="N498" s="5">
        <v>2342304.6</v>
      </c>
      <c r="O498" s="5">
        <v>109233.72</v>
      </c>
      <c r="P498" s="5">
        <v>132000</v>
      </c>
      <c r="Q498" s="5">
        <v>2583538.3199999998</v>
      </c>
      <c r="R498" s="1" t="s">
        <v>1125</v>
      </c>
      <c r="S498" s="1" t="s">
        <v>124</v>
      </c>
      <c r="T498" s="4">
        <v>45292</v>
      </c>
      <c r="U498" s="4">
        <v>45657</v>
      </c>
      <c r="V498" s="1" t="s">
        <v>125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2583538.3199999998</v>
      </c>
      <c r="AH498" s="5">
        <v>577561.5</v>
      </c>
      <c r="AI498" s="5">
        <v>0</v>
      </c>
      <c r="AJ498" s="5">
        <v>577560.69999999995</v>
      </c>
      <c r="AK498" s="5">
        <v>0</v>
      </c>
      <c r="AL498" s="5">
        <v>0.8</v>
      </c>
      <c r="AM498" s="5">
        <v>0</v>
      </c>
      <c r="AN498" s="5">
        <v>577561.5</v>
      </c>
      <c r="AO498" s="1" t="s">
        <v>434</v>
      </c>
    </row>
    <row r="499" spans="1:41" x14ac:dyDescent="0.25">
      <c r="A499" s="1">
        <f t="shared" si="2"/>
        <v>483</v>
      </c>
      <c r="B499" s="1" t="s">
        <v>787</v>
      </c>
      <c r="C499" s="1" t="s">
        <v>123</v>
      </c>
      <c r="D499" s="1" t="s">
        <v>815</v>
      </c>
      <c r="E499" s="4">
        <v>45292</v>
      </c>
      <c r="F499" s="4">
        <v>45657</v>
      </c>
      <c r="G499" s="1" t="s">
        <v>125</v>
      </c>
      <c r="H499" s="5">
        <v>1064000</v>
      </c>
      <c r="I499" s="5">
        <v>80000</v>
      </c>
      <c r="J499" s="5">
        <v>0</v>
      </c>
      <c r="K499" s="5">
        <v>42500</v>
      </c>
      <c r="L499" s="5">
        <v>24000</v>
      </c>
      <c r="M499" s="5">
        <v>146500</v>
      </c>
      <c r="N499" s="5">
        <v>917500</v>
      </c>
      <c r="O499" s="5">
        <v>0</v>
      </c>
      <c r="P499" s="5">
        <v>0</v>
      </c>
      <c r="Q499" s="5">
        <v>917500</v>
      </c>
      <c r="R499" s="1" t="s">
        <v>1126</v>
      </c>
      <c r="S499" s="1" t="s">
        <v>124</v>
      </c>
      <c r="T499" s="4">
        <v>45292</v>
      </c>
      <c r="U499" s="4">
        <v>45657</v>
      </c>
      <c r="V499" s="1" t="s">
        <v>125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917500</v>
      </c>
      <c r="AH499" s="5">
        <v>131875</v>
      </c>
      <c r="AI499" s="5">
        <v>0</v>
      </c>
      <c r="AJ499" s="5">
        <v>131873.79999999999</v>
      </c>
      <c r="AK499" s="5">
        <v>0</v>
      </c>
      <c r="AL499" s="5">
        <v>1.2</v>
      </c>
      <c r="AM499" s="5">
        <v>0</v>
      </c>
      <c r="AN499" s="5">
        <v>131875</v>
      </c>
      <c r="AO499" s="1" t="s">
        <v>434</v>
      </c>
    </row>
    <row r="500" spans="1:41" x14ac:dyDescent="0.25">
      <c r="A500" s="1">
        <f t="shared" si="2"/>
        <v>484</v>
      </c>
      <c r="B500" s="1" t="s">
        <v>788</v>
      </c>
      <c r="C500" s="1" t="s">
        <v>123</v>
      </c>
      <c r="D500" s="1" t="s">
        <v>815</v>
      </c>
      <c r="E500" s="4">
        <v>45292</v>
      </c>
      <c r="F500" s="4">
        <v>45657</v>
      </c>
      <c r="G500" s="1" t="s">
        <v>125</v>
      </c>
      <c r="H500" s="5">
        <v>1240820.69</v>
      </c>
      <c r="I500" s="5">
        <v>89827.59</v>
      </c>
      <c r="J500" s="5">
        <v>18000</v>
      </c>
      <c r="K500" s="5">
        <v>45500</v>
      </c>
      <c r="L500" s="5">
        <v>36200</v>
      </c>
      <c r="M500" s="5">
        <v>189527.59</v>
      </c>
      <c r="N500" s="5">
        <v>1028293.1</v>
      </c>
      <c r="O500" s="5">
        <v>0</v>
      </c>
      <c r="P500" s="5">
        <v>23000</v>
      </c>
      <c r="Q500" s="5">
        <v>1051293.1000000001</v>
      </c>
      <c r="R500" s="1" t="s">
        <v>1127</v>
      </c>
      <c r="S500" s="1" t="s">
        <v>124</v>
      </c>
      <c r="T500" s="4">
        <v>45292</v>
      </c>
      <c r="U500" s="4">
        <v>45657</v>
      </c>
      <c r="V500" s="1" t="s">
        <v>125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1051293.1000000001</v>
      </c>
      <c r="AH500" s="5">
        <v>165323.28</v>
      </c>
      <c r="AI500" s="5">
        <v>0</v>
      </c>
      <c r="AJ500" s="5">
        <v>165322.07999999999</v>
      </c>
      <c r="AK500" s="5">
        <v>0</v>
      </c>
      <c r="AL500" s="5">
        <v>1.19</v>
      </c>
      <c r="AM500" s="5">
        <v>0</v>
      </c>
      <c r="AN500" s="5">
        <v>165323.28</v>
      </c>
      <c r="AO500" s="1" t="s">
        <v>434</v>
      </c>
    </row>
    <row r="501" spans="1:41" x14ac:dyDescent="0.25">
      <c r="A501" s="1">
        <f t="shared" si="2"/>
        <v>485</v>
      </c>
      <c r="B501" s="1" t="s">
        <v>789</v>
      </c>
      <c r="C501" s="1" t="s">
        <v>123</v>
      </c>
      <c r="D501" s="1" t="s">
        <v>815</v>
      </c>
      <c r="E501" s="4">
        <v>45292</v>
      </c>
      <c r="F501" s="4">
        <v>45657</v>
      </c>
      <c r="G501" s="1" t="s">
        <v>125</v>
      </c>
      <c r="H501" s="5">
        <v>1188000</v>
      </c>
      <c r="I501" s="5">
        <v>90000</v>
      </c>
      <c r="J501" s="5">
        <v>18000</v>
      </c>
      <c r="K501" s="5">
        <v>45500</v>
      </c>
      <c r="L501" s="5">
        <v>0</v>
      </c>
      <c r="M501" s="5">
        <v>153500</v>
      </c>
      <c r="N501" s="5">
        <v>1034500</v>
      </c>
      <c r="O501" s="5">
        <v>0</v>
      </c>
      <c r="P501" s="5">
        <v>0</v>
      </c>
      <c r="Q501" s="5">
        <v>1034500</v>
      </c>
      <c r="R501" s="1" t="s">
        <v>1128</v>
      </c>
      <c r="S501" s="1" t="s">
        <v>124</v>
      </c>
      <c r="T501" s="4">
        <v>45292</v>
      </c>
      <c r="U501" s="4">
        <v>45657</v>
      </c>
      <c r="V501" s="1" t="s">
        <v>125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1034500</v>
      </c>
      <c r="AH501" s="5">
        <v>161125</v>
      </c>
      <c r="AI501" s="5">
        <v>0</v>
      </c>
      <c r="AJ501" s="5">
        <v>161123.79999999999</v>
      </c>
      <c r="AK501" s="5">
        <v>0</v>
      </c>
      <c r="AL501" s="5">
        <v>1.2</v>
      </c>
      <c r="AM501" s="5">
        <v>0</v>
      </c>
      <c r="AN501" s="5">
        <v>161125</v>
      </c>
      <c r="AO501" s="1" t="s">
        <v>434</v>
      </c>
    </row>
    <row r="502" spans="1:41" x14ac:dyDescent="0.25">
      <c r="A502" s="1">
        <f t="shared" si="2"/>
        <v>486</v>
      </c>
      <c r="B502" s="1" t="s">
        <v>790</v>
      </c>
      <c r="C502" s="1" t="s">
        <v>123</v>
      </c>
      <c r="D502" s="1" t="s">
        <v>815</v>
      </c>
      <c r="E502" s="4">
        <v>45292</v>
      </c>
      <c r="F502" s="4">
        <v>45657</v>
      </c>
      <c r="G502" s="1" t="s">
        <v>125</v>
      </c>
      <c r="H502" s="5">
        <v>1509000</v>
      </c>
      <c r="I502" s="5">
        <v>90000</v>
      </c>
      <c r="J502" s="5">
        <v>24000</v>
      </c>
      <c r="K502" s="5">
        <v>48500</v>
      </c>
      <c r="L502" s="5">
        <v>0</v>
      </c>
      <c r="M502" s="5">
        <v>162500</v>
      </c>
      <c r="N502" s="5">
        <v>1211500</v>
      </c>
      <c r="O502" s="5">
        <v>15000</v>
      </c>
      <c r="P502" s="5">
        <v>120000</v>
      </c>
      <c r="Q502" s="5">
        <v>1346500</v>
      </c>
      <c r="R502" s="1" t="s">
        <v>1129</v>
      </c>
      <c r="S502" s="1" t="s">
        <v>124</v>
      </c>
      <c r="T502" s="4">
        <v>45292</v>
      </c>
      <c r="U502" s="4">
        <v>45657</v>
      </c>
      <c r="V502" s="1" t="s">
        <v>125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1346500</v>
      </c>
      <c r="AH502" s="5">
        <v>239125</v>
      </c>
      <c r="AI502" s="5">
        <v>0</v>
      </c>
      <c r="AJ502" s="5">
        <v>239123.8</v>
      </c>
      <c r="AK502" s="5">
        <v>0</v>
      </c>
      <c r="AL502" s="5">
        <v>1.2</v>
      </c>
      <c r="AM502" s="5">
        <v>0</v>
      </c>
      <c r="AN502" s="5">
        <v>239125</v>
      </c>
      <c r="AO502" s="1" t="s">
        <v>434</v>
      </c>
    </row>
    <row r="503" spans="1:41" x14ac:dyDescent="0.25">
      <c r="A503" s="1">
        <f t="shared" si="2"/>
        <v>487</v>
      </c>
      <c r="B503" s="1" t="s">
        <v>791</v>
      </c>
      <c r="C503" s="1" t="s">
        <v>123</v>
      </c>
      <c r="D503" s="1" t="s">
        <v>815</v>
      </c>
      <c r="E503" s="4">
        <v>45292</v>
      </c>
      <c r="F503" s="4">
        <v>45657</v>
      </c>
      <c r="G503" s="1" t="s">
        <v>125</v>
      </c>
      <c r="H503" s="5">
        <v>2875540.2324999999</v>
      </c>
      <c r="I503" s="5">
        <v>90000</v>
      </c>
      <c r="J503" s="5">
        <v>24000</v>
      </c>
      <c r="K503" s="5">
        <v>48500</v>
      </c>
      <c r="L503" s="5">
        <v>0</v>
      </c>
      <c r="M503" s="5">
        <v>162500</v>
      </c>
      <c r="N503" s="5">
        <v>2461844.83</v>
      </c>
      <c r="O503" s="5">
        <v>119195.4</v>
      </c>
      <c r="P503" s="5">
        <v>132000</v>
      </c>
      <c r="Q503" s="5">
        <v>2713040.23</v>
      </c>
      <c r="R503" s="1" t="s">
        <v>1130</v>
      </c>
      <c r="S503" s="1" t="s">
        <v>124</v>
      </c>
      <c r="T503" s="4">
        <v>45292</v>
      </c>
      <c r="U503" s="4">
        <v>45657</v>
      </c>
      <c r="V503" s="1" t="s">
        <v>125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2713040.23</v>
      </c>
      <c r="AH503" s="5">
        <v>616412.06999999995</v>
      </c>
      <c r="AI503" s="5">
        <v>0</v>
      </c>
      <c r="AJ503" s="5">
        <v>616411.27</v>
      </c>
      <c r="AK503" s="5">
        <v>0</v>
      </c>
      <c r="AL503" s="5">
        <v>0.8</v>
      </c>
      <c r="AM503" s="5">
        <v>0</v>
      </c>
      <c r="AN503" s="5">
        <v>616412.06999999995</v>
      </c>
      <c r="AO503" s="1" t="s">
        <v>434</v>
      </c>
    </row>
    <row r="504" spans="1:41" x14ac:dyDescent="0.25">
      <c r="A504" s="1">
        <f t="shared" si="2"/>
        <v>488</v>
      </c>
      <c r="B504" s="1" t="s">
        <v>792</v>
      </c>
      <c r="C504" s="1" t="s">
        <v>123</v>
      </c>
      <c r="D504" s="1" t="s">
        <v>815</v>
      </c>
      <c r="E504" s="4">
        <v>45292</v>
      </c>
      <c r="F504" s="4">
        <v>45657</v>
      </c>
      <c r="G504" s="1" t="s">
        <v>125</v>
      </c>
      <c r="H504" s="5">
        <v>1284322.97</v>
      </c>
      <c r="I504" s="5">
        <v>90000</v>
      </c>
      <c r="J504" s="5">
        <v>18000</v>
      </c>
      <c r="K504" s="5">
        <v>45500</v>
      </c>
      <c r="L504" s="5">
        <v>17400</v>
      </c>
      <c r="M504" s="5">
        <v>170900</v>
      </c>
      <c r="N504" s="5">
        <v>1034500</v>
      </c>
      <c r="O504" s="5">
        <v>0</v>
      </c>
      <c r="P504" s="5">
        <v>78922.97</v>
      </c>
      <c r="Q504" s="5">
        <v>1113422.97</v>
      </c>
      <c r="R504" s="1" t="s">
        <v>1131</v>
      </c>
      <c r="S504" s="1" t="s">
        <v>124</v>
      </c>
      <c r="T504" s="4">
        <v>45292</v>
      </c>
      <c r="U504" s="4">
        <v>45657</v>
      </c>
      <c r="V504" s="1" t="s">
        <v>125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1113422.97</v>
      </c>
      <c r="AH504" s="5">
        <v>180855.74</v>
      </c>
      <c r="AI504" s="5">
        <v>0</v>
      </c>
      <c r="AJ504" s="5">
        <v>180854.56</v>
      </c>
      <c r="AK504" s="5">
        <v>0</v>
      </c>
      <c r="AL504" s="5">
        <v>1.18</v>
      </c>
      <c r="AM504" s="5">
        <v>0</v>
      </c>
      <c r="AN504" s="5">
        <v>180855.74</v>
      </c>
      <c r="AO504" s="1" t="s">
        <v>434</v>
      </c>
    </row>
    <row r="505" spans="1:41" x14ac:dyDescent="0.25">
      <c r="A505" s="1">
        <f t="shared" si="2"/>
        <v>489</v>
      </c>
      <c r="B505" s="1" t="s">
        <v>793</v>
      </c>
      <c r="C505" s="1" t="s">
        <v>123</v>
      </c>
      <c r="D505" s="1" t="s">
        <v>815</v>
      </c>
      <c r="E505" s="4">
        <v>45292</v>
      </c>
      <c r="F505" s="4">
        <v>45657</v>
      </c>
      <c r="G505" s="1" t="s">
        <v>125</v>
      </c>
      <c r="H505" s="5">
        <v>2470551.7275</v>
      </c>
      <c r="I505" s="5">
        <v>90000</v>
      </c>
      <c r="J505" s="5">
        <v>24000</v>
      </c>
      <c r="K505" s="5">
        <v>48500</v>
      </c>
      <c r="L505" s="5">
        <v>0</v>
      </c>
      <c r="M505" s="5">
        <v>162500</v>
      </c>
      <c r="N505" s="5">
        <v>2099086.21</v>
      </c>
      <c r="O505" s="5">
        <v>88965.52</v>
      </c>
      <c r="P505" s="5">
        <v>120000</v>
      </c>
      <c r="Q505" s="5">
        <v>2308051.73</v>
      </c>
      <c r="R505" s="1" t="s">
        <v>1132</v>
      </c>
      <c r="S505" s="1" t="s">
        <v>124</v>
      </c>
      <c r="T505" s="4">
        <v>45292</v>
      </c>
      <c r="U505" s="4">
        <v>45657</v>
      </c>
      <c r="V505" s="1" t="s">
        <v>125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2308051.73</v>
      </c>
      <c r="AH505" s="5">
        <v>494915.52</v>
      </c>
      <c r="AI505" s="5">
        <v>0</v>
      </c>
      <c r="AJ505" s="5">
        <v>494914.72</v>
      </c>
      <c r="AK505" s="5">
        <v>0</v>
      </c>
      <c r="AL505" s="5">
        <v>0.8</v>
      </c>
      <c r="AM505" s="5">
        <v>0</v>
      </c>
      <c r="AN505" s="5">
        <v>494915.52</v>
      </c>
      <c r="AO505" s="1" t="s">
        <v>434</v>
      </c>
    </row>
    <row r="506" spans="1:41" x14ac:dyDescent="0.25">
      <c r="A506" s="1">
        <f t="shared" si="2"/>
        <v>490</v>
      </c>
      <c r="B506" s="1" t="s">
        <v>794</v>
      </c>
      <c r="C506" s="1" t="s">
        <v>123</v>
      </c>
      <c r="D506" s="1" t="s">
        <v>815</v>
      </c>
      <c r="E506" s="4">
        <v>45306</v>
      </c>
      <c r="F506" s="4">
        <v>45657</v>
      </c>
      <c r="G506" s="1" t="s">
        <v>125</v>
      </c>
      <c r="H506" s="5">
        <v>689503.44000000006</v>
      </c>
      <c r="I506" s="5">
        <v>51681.03</v>
      </c>
      <c r="J506" s="5">
        <v>17250</v>
      </c>
      <c r="K506" s="5">
        <v>33229.31</v>
      </c>
      <c r="L506" s="5">
        <v>400</v>
      </c>
      <c r="M506" s="5">
        <v>102560.34</v>
      </c>
      <c r="N506" s="5">
        <v>586943.1</v>
      </c>
      <c r="O506" s="5">
        <v>0</v>
      </c>
      <c r="P506" s="5">
        <v>0</v>
      </c>
      <c r="Q506" s="5">
        <v>586943.1</v>
      </c>
      <c r="R506" s="1" t="s">
        <v>1133</v>
      </c>
      <c r="S506" s="1" t="s">
        <v>124</v>
      </c>
      <c r="T506" s="4">
        <v>45306</v>
      </c>
      <c r="U506" s="4">
        <v>45657</v>
      </c>
      <c r="V506" s="1" t="s">
        <v>125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586943.1</v>
      </c>
      <c r="AH506" s="5">
        <v>59888.62</v>
      </c>
      <c r="AI506" s="5">
        <v>0</v>
      </c>
      <c r="AJ506" s="5">
        <v>62410.37</v>
      </c>
      <c r="AK506" s="5">
        <v>0</v>
      </c>
      <c r="AL506" s="5">
        <v>0</v>
      </c>
      <c r="AM506" s="5">
        <v>2521.75</v>
      </c>
      <c r="AN506" s="5">
        <v>59888.62</v>
      </c>
      <c r="AO506" s="1" t="s">
        <v>434</v>
      </c>
    </row>
    <row r="507" spans="1:41" x14ac:dyDescent="0.25">
      <c r="A507" s="1">
        <f t="shared" si="2"/>
        <v>491</v>
      </c>
      <c r="B507" s="1" t="s">
        <v>795</v>
      </c>
      <c r="C507" s="1" t="s">
        <v>123</v>
      </c>
      <c r="D507" s="1" t="s">
        <v>815</v>
      </c>
      <c r="E507" s="4">
        <v>45306</v>
      </c>
      <c r="F507" s="4">
        <v>45657</v>
      </c>
      <c r="G507" s="1" t="s">
        <v>125</v>
      </c>
      <c r="H507" s="5">
        <v>2361630.271666667</v>
      </c>
      <c r="I507" s="5">
        <v>90000</v>
      </c>
      <c r="J507" s="5">
        <v>23000</v>
      </c>
      <c r="K507" s="5">
        <v>47150</v>
      </c>
      <c r="L507" s="5">
        <v>5000</v>
      </c>
      <c r="M507" s="5">
        <v>165150</v>
      </c>
      <c r="N507" s="5">
        <v>2010436.21</v>
      </c>
      <c r="O507" s="5">
        <v>71044.06</v>
      </c>
      <c r="P507" s="5">
        <v>115000</v>
      </c>
      <c r="Q507" s="5">
        <v>2196480.27</v>
      </c>
      <c r="R507" s="1" t="s">
        <v>1134</v>
      </c>
      <c r="S507" s="1" t="s">
        <v>124</v>
      </c>
      <c r="T507" s="4">
        <v>45306</v>
      </c>
      <c r="U507" s="4">
        <v>45657</v>
      </c>
      <c r="V507" s="1" t="s">
        <v>125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2196480.27</v>
      </c>
      <c r="AH507" s="5">
        <v>461444.08</v>
      </c>
      <c r="AI507" s="5">
        <v>0</v>
      </c>
      <c r="AJ507" s="5">
        <v>472670.8</v>
      </c>
      <c r="AK507" s="5">
        <v>0</v>
      </c>
      <c r="AL507" s="5">
        <v>0</v>
      </c>
      <c r="AM507" s="5">
        <v>11226.72</v>
      </c>
      <c r="AN507" s="5">
        <v>461444.08</v>
      </c>
      <c r="AO507" s="1" t="s">
        <v>434</v>
      </c>
    </row>
    <row r="508" spans="1:41" x14ac:dyDescent="0.25">
      <c r="A508" s="1">
        <f t="shared" si="2"/>
        <v>492</v>
      </c>
      <c r="B508" s="1" t="s">
        <v>796</v>
      </c>
      <c r="C508" s="1" t="s">
        <v>123</v>
      </c>
      <c r="D508" s="1" t="s">
        <v>815</v>
      </c>
      <c r="E508" s="4">
        <v>45320</v>
      </c>
      <c r="F508" s="4">
        <v>45657</v>
      </c>
      <c r="G508" s="1" t="s">
        <v>125</v>
      </c>
      <c r="H508" s="5">
        <v>895735.05999999994</v>
      </c>
      <c r="I508" s="5">
        <v>67923.850000000006</v>
      </c>
      <c r="J508" s="5">
        <v>0</v>
      </c>
      <c r="K508" s="5">
        <v>37427.15</v>
      </c>
      <c r="L508" s="5">
        <v>12725</v>
      </c>
      <c r="M508" s="5">
        <v>118076</v>
      </c>
      <c r="N508" s="5">
        <v>777659.06</v>
      </c>
      <c r="O508" s="5">
        <v>0</v>
      </c>
      <c r="P508" s="5">
        <v>0</v>
      </c>
      <c r="Q508" s="5">
        <v>777659.06</v>
      </c>
      <c r="R508" s="1" t="s">
        <v>1135</v>
      </c>
      <c r="S508" s="1" t="s">
        <v>124</v>
      </c>
      <c r="T508" s="4">
        <v>45320</v>
      </c>
      <c r="U508" s="4">
        <v>45657</v>
      </c>
      <c r="V508" s="1" t="s">
        <v>125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777659.06</v>
      </c>
      <c r="AH508" s="5">
        <v>98031.81</v>
      </c>
      <c r="AI508" s="5">
        <v>0</v>
      </c>
      <c r="AJ508" s="5">
        <v>105432.41</v>
      </c>
      <c r="AK508" s="5">
        <v>0</v>
      </c>
      <c r="AL508" s="5">
        <v>0</v>
      </c>
      <c r="AM508" s="5">
        <v>7400.6</v>
      </c>
      <c r="AN508" s="5">
        <v>98031.81</v>
      </c>
      <c r="AO508" s="1" t="s">
        <v>434</v>
      </c>
    </row>
    <row r="509" spans="1:41" x14ac:dyDescent="0.25">
      <c r="A509" s="1">
        <f t="shared" si="2"/>
        <v>493</v>
      </c>
      <c r="B509" s="1" t="s">
        <v>797</v>
      </c>
      <c r="C509" s="1" t="s">
        <v>123</v>
      </c>
      <c r="D509" s="1" t="s">
        <v>815</v>
      </c>
      <c r="E509" s="4">
        <v>45334</v>
      </c>
      <c r="F509" s="4">
        <v>45657</v>
      </c>
      <c r="G509" s="1" t="s">
        <v>125</v>
      </c>
      <c r="H509" s="5">
        <v>1154110.92</v>
      </c>
      <c r="I509" s="5">
        <v>86781.61</v>
      </c>
      <c r="J509" s="5">
        <v>15750</v>
      </c>
      <c r="K509" s="5">
        <v>43100</v>
      </c>
      <c r="L509" s="5">
        <v>10200</v>
      </c>
      <c r="M509" s="5">
        <v>155831.60999999999</v>
      </c>
      <c r="N509" s="5">
        <v>998279.31</v>
      </c>
      <c r="O509" s="5">
        <v>0</v>
      </c>
      <c r="P509" s="5">
        <v>0</v>
      </c>
      <c r="Q509" s="5">
        <v>998279.31</v>
      </c>
      <c r="R509" s="1" t="s">
        <v>1136</v>
      </c>
      <c r="S509" s="1" t="s">
        <v>124</v>
      </c>
      <c r="T509" s="4">
        <v>45334</v>
      </c>
      <c r="U509" s="4">
        <v>45657</v>
      </c>
      <c r="V509" s="1" t="s">
        <v>125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998279.31</v>
      </c>
      <c r="AH509" s="5">
        <v>152069.82999999999</v>
      </c>
      <c r="AI509" s="5">
        <v>0</v>
      </c>
      <c r="AJ509" s="5">
        <v>164256.28</v>
      </c>
      <c r="AK509" s="5">
        <v>0</v>
      </c>
      <c r="AL509" s="5">
        <v>0</v>
      </c>
      <c r="AM509" s="5">
        <v>12186.45</v>
      </c>
      <c r="AN509" s="5">
        <v>152069.82999999999</v>
      </c>
      <c r="AO509" s="1" t="s">
        <v>434</v>
      </c>
    </row>
    <row r="510" spans="1:41" x14ac:dyDescent="0.25">
      <c r="A510" s="1">
        <f t="shared" si="2"/>
        <v>494</v>
      </c>
      <c r="B510" s="1" t="s">
        <v>798</v>
      </c>
      <c r="C510" s="1" t="s">
        <v>123</v>
      </c>
      <c r="D510" s="1" t="s">
        <v>815</v>
      </c>
      <c r="E510" s="4">
        <v>45348</v>
      </c>
      <c r="F510" s="4">
        <v>45657</v>
      </c>
      <c r="G510" s="1" t="s">
        <v>125</v>
      </c>
      <c r="H510" s="5">
        <v>1518591.9491666667</v>
      </c>
      <c r="I510" s="5">
        <v>90000</v>
      </c>
      <c r="J510" s="5">
        <v>15000</v>
      </c>
      <c r="K510" s="5">
        <v>40500</v>
      </c>
      <c r="L510" s="5">
        <v>0</v>
      </c>
      <c r="M510" s="5">
        <v>145500</v>
      </c>
      <c r="N510" s="5">
        <v>1347431.03</v>
      </c>
      <c r="O510" s="5">
        <v>25660.92</v>
      </c>
      <c r="P510" s="5">
        <v>0</v>
      </c>
      <c r="Q510" s="5">
        <v>1373091.95</v>
      </c>
      <c r="R510" s="1" t="s">
        <v>1137</v>
      </c>
      <c r="S510" s="1" t="s">
        <v>124</v>
      </c>
      <c r="T510" s="4">
        <v>45348</v>
      </c>
      <c r="U510" s="4">
        <v>45657</v>
      </c>
      <c r="V510" s="1" t="s">
        <v>125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1373091.95</v>
      </c>
      <c r="AH510" s="5">
        <v>245772.99</v>
      </c>
      <c r="AI510" s="5">
        <v>0</v>
      </c>
      <c r="AJ510" s="5">
        <v>262021.99</v>
      </c>
      <c r="AK510" s="5">
        <v>0</v>
      </c>
      <c r="AL510" s="5">
        <v>0</v>
      </c>
      <c r="AM510" s="5">
        <v>16249</v>
      </c>
      <c r="AN510" s="5">
        <v>245772.99</v>
      </c>
      <c r="AO510" s="1" t="s">
        <v>434</v>
      </c>
    </row>
    <row r="511" spans="1:41" x14ac:dyDescent="0.25">
      <c r="A511" s="1">
        <f t="shared" si="2"/>
        <v>495</v>
      </c>
      <c r="B511" s="1" t="s">
        <v>799</v>
      </c>
      <c r="C511" s="1" t="s">
        <v>123</v>
      </c>
      <c r="D511" s="1" t="s">
        <v>815</v>
      </c>
      <c r="E511" s="4">
        <v>45348</v>
      </c>
      <c r="F511" s="4">
        <v>45657</v>
      </c>
      <c r="G511" s="1" t="s">
        <v>125</v>
      </c>
      <c r="H511" s="5">
        <v>762424.80999999994</v>
      </c>
      <c r="I511" s="5">
        <v>57830.46</v>
      </c>
      <c r="J511" s="5">
        <v>0</v>
      </c>
      <c r="K511" s="5">
        <v>32849.14</v>
      </c>
      <c r="L511" s="5">
        <v>10425</v>
      </c>
      <c r="M511" s="5">
        <v>101104.6</v>
      </c>
      <c r="N511" s="5">
        <v>661116.38</v>
      </c>
      <c r="O511" s="5">
        <v>0</v>
      </c>
      <c r="P511" s="5">
        <v>203.83</v>
      </c>
      <c r="Q511" s="5">
        <v>661320.21</v>
      </c>
      <c r="R511" s="1" t="s">
        <v>1138</v>
      </c>
      <c r="S511" s="1" t="s">
        <v>124</v>
      </c>
      <c r="T511" s="4">
        <v>45348</v>
      </c>
      <c r="U511" s="4">
        <v>45657</v>
      </c>
      <c r="V511" s="1" t="s">
        <v>125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661320.21</v>
      </c>
      <c r="AH511" s="5">
        <v>74764.039999999994</v>
      </c>
      <c r="AI511" s="5">
        <v>0</v>
      </c>
      <c r="AJ511" s="5">
        <v>84739.99</v>
      </c>
      <c r="AK511" s="5">
        <v>0</v>
      </c>
      <c r="AL511" s="5">
        <v>0</v>
      </c>
      <c r="AM511" s="5">
        <v>9975.9500000000007</v>
      </c>
      <c r="AN511" s="5">
        <v>74764.039999999994</v>
      </c>
      <c r="AO511" s="1" t="s">
        <v>434</v>
      </c>
    </row>
    <row r="512" spans="1:41" x14ac:dyDescent="0.25">
      <c r="A512" s="1">
        <f t="shared" si="2"/>
        <v>496</v>
      </c>
      <c r="B512" s="1" t="s">
        <v>800</v>
      </c>
      <c r="C512" s="1" t="s">
        <v>123</v>
      </c>
      <c r="D512" s="1" t="s">
        <v>815</v>
      </c>
      <c r="E512" s="4">
        <v>45453</v>
      </c>
      <c r="F512" s="4">
        <v>45657</v>
      </c>
      <c r="G512" s="1" t="s">
        <v>125</v>
      </c>
      <c r="H512" s="5">
        <v>1394168.5783333334</v>
      </c>
      <c r="I512" s="5">
        <v>90000</v>
      </c>
      <c r="J512" s="5">
        <v>13000</v>
      </c>
      <c r="K512" s="5">
        <v>26900</v>
      </c>
      <c r="L512" s="5">
        <v>0</v>
      </c>
      <c r="M512" s="5">
        <v>129900</v>
      </c>
      <c r="N512" s="5">
        <v>1187352.8700000001</v>
      </c>
      <c r="O512" s="5">
        <v>11915.71</v>
      </c>
      <c r="P512" s="5">
        <v>65000</v>
      </c>
      <c r="Q512" s="5">
        <v>1264268.58</v>
      </c>
      <c r="R512" s="1" t="s">
        <v>1139</v>
      </c>
      <c r="S512" s="1" t="s">
        <v>124</v>
      </c>
      <c r="T512" s="4">
        <v>45453</v>
      </c>
      <c r="U512" s="4">
        <v>45657</v>
      </c>
      <c r="V512" s="1" t="s">
        <v>125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1264268.58</v>
      </c>
      <c r="AH512" s="5">
        <v>218567.14</v>
      </c>
      <c r="AI512" s="5">
        <v>0</v>
      </c>
      <c r="AJ512" s="5">
        <v>271705.19</v>
      </c>
      <c r="AK512" s="5">
        <v>0</v>
      </c>
      <c r="AL512" s="5">
        <v>0</v>
      </c>
      <c r="AM512" s="5">
        <v>53138.05</v>
      </c>
      <c r="AN512" s="5">
        <v>218567.14</v>
      </c>
      <c r="AO512" s="1" t="s">
        <v>434</v>
      </c>
    </row>
    <row r="513" spans="1:41" x14ac:dyDescent="0.25">
      <c r="A513" s="1">
        <f t="shared" si="2"/>
        <v>497</v>
      </c>
      <c r="B513" s="1" t="s">
        <v>801</v>
      </c>
      <c r="C513" s="1" t="s">
        <v>123</v>
      </c>
      <c r="D513" s="1" t="s">
        <v>816</v>
      </c>
      <c r="E513" s="4">
        <v>45551</v>
      </c>
      <c r="F513" s="4">
        <v>45657</v>
      </c>
      <c r="G513" s="1" t="s">
        <v>125</v>
      </c>
      <c r="H513" s="5">
        <v>1179188.6900000002</v>
      </c>
      <c r="I513" s="5">
        <v>0</v>
      </c>
      <c r="J513" s="5">
        <v>7000</v>
      </c>
      <c r="K513" s="5">
        <v>14750</v>
      </c>
      <c r="L513" s="5">
        <v>0</v>
      </c>
      <c r="M513" s="5">
        <v>21750</v>
      </c>
      <c r="N513" s="5">
        <v>1034962.64</v>
      </c>
      <c r="O513" s="5">
        <v>87476.05</v>
      </c>
      <c r="P513" s="5">
        <v>35000</v>
      </c>
      <c r="Q513" s="5">
        <v>1157438.69</v>
      </c>
      <c r="R513" s="1" t="s">
        <v>1140</v>
      </c>
      <c r="S513" s="1" t="s">
        <v>124</v>
      </c>
      <c r="T513" s="4">
        <v>45551</v>
      </c>
      <c r="U513" s="4">
        <v>45657</v>
      </c>
      <c r="V513" s="1" t="s">
        <v>125</v>
      </c>
      <c r="W513" s="5">
        <v>1595913.51</v>
      </c>
      <c r="X513" s="5">
        <v>90000</v>
      </c>
      <c r="Y513" s="5">
        <v>0</v>
      </c>
      <c r="Z513" s="5">
        <v>16100</v>
      </c>
      <c r="AA513" s="5">
        <v>59096.73</v>
      </c>
      <c r="AB513" s="5">
        <v>165196.73000000001</v>
      </c>
      <c r="AC513" s="5">
        <v>963900</v>
      </c>
      <c r="AD513" s="5">
        <v>346046.49</v>
      </c>
      <c r="AE513" s="5">
        <v>120770.29</v>
      </c>
      <c r="AF513" s="5">
        <v>1430716.78</v>
      </c>
      <c r="AG513" s="5">
        <v>2588155.4700000002</v>
      </c>
      <c r="AH513" s="5">
        <v>578946.64</v>
      </c>
      <c r="AI513" s="5">
        <v>260179.20000000001</v>
      </c>
      <c r="AJ513" s="5">
        <v>257695.41</v>
      </c>
      <c r="AK513" s="5">
        <v>0</v>
      </c>
      <c r="AL513" s="5">
        <v>61072.03</v>
      </c>
      <c r="AM513" s="5">
        <v>0</v>
      </c>
      <c r="AN513" s="5">
        <v>578946.64</v>
      </c>
      <c r="AO513" s="1" t="s">
        <v>434</v>
      </c>
    </row>
    <row r="514" spans="1:41" x14ac:dyDescent="0.25">
      <c r="A514" s="1">
        <f t="shared" si="2"/>
        <v>498</v>
      </c>
      <c r="B514" s="1" t="s">
        <v>802</v>
      </c>
      <c r="C514" s="1" t="s">
        <v>123</v>
      </c>
      <c r="D514" s="1" t="s">
        <v>816</v>
      </c>
      <c r="E514" s="4">
        <v>45579</v>
      </c>
      <c r="F514" s="4">
        <v>45657</v>
      </c>
      <c r="G514" s="1" t="s">
        <v>125</v>
      </c>
      <c r="H514" s="5">
        <v>501637.93</v>
      </c>
      <c r="I514" s="5">
        <v>34741.379999999997</v>
      </c>
      <c r="J514" s="5">
        <v>5000</v>
      </c>
      <c r="K514" s="5">
        <v>11950</v>
      </c>
      <c r="L514" s="5">
        <v>0</v>
      </c>
      <c r="M514" s="5">
        <v>51691.38</v>
      </c>
      <c r="N514" s="5">
        <v>404946.55</v>
      </c>
      <c r="O514" s="5">
        <v>0</v>
      </c>
      <c r="P514" s="5">
        <v>45000</v>
      </c>
      <c r="Q514" s="5">
        <v>449946.55</v>
      </c>
      <c r="R514" s="1" t="s">
        <v>1141</v>
      </c>
      <c r="S514" s="1" t="s">
        <v>124</v>
      </c>
      <c r="T514" s="4">
        <v>45579</v>
      </c>
      <c r="U514" s="4">
        <v>45657</v>
      </c>
      <c r="V514" s="1" t="s">
        <v>125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449946.55</v>
      </c>
      <c r="AH514" s="5">
        <v>32489.31</v>
      </c>
      <c r="AI514" s="5">
        <v>0</v>
      </c>
      <c r="AJ514" s="5">
        <v>95077.29</v>
      </c>
      <c r="AK514" s="5">
        <v>0</v>
      </c>
      <c r="AL514" s="5">
        <v>0</v>
      </c>
      <c r="AM514" s="5">
        <v>62587.98</v>
      </c>
      <c r="AN514" s="5">
        <v>32489.31</v>
      </c>
      <c r="AO514" s="1" t="s">
        <v>434</v>
      </c>
    </row>
    <row r="515" spans="1:41" x14ac:dyDescent="0.25">
      <c r="A515" s="1">
        <f t="shared" si="2"/>
        <v>499</v>
      </c>
      <c r="B515" s="1" t="s">
        <v>803</v>
      </c>
      <c r="C515" s="1" t="s">
        <v>123</v>
      </c>
      <c r="D515" s="1" t="s">
        <v>816</v>
      </c>
      <c r="E515" s="4">
        <v>45600</v>
      </c>
      <c r="F515" s="4">
        <v>45657</v>
      </c>
      <c r="G515" s="1" t="s">
        <v>125</v>
      </c>
      <c r="H515" s="5">
        <v>193794.535</v>
      </c>
      <c r="I515" s="5">
        <v>14734.2</v>
      </c>
      <c r="J515" s="5">
        <v>2250</v>
      </c>
      <c r="K515" s="5">
        <v>6850</v>
      </c>
      <c r="L515" s="5">
        <v>0</v>
      </c>
      <c r="M515" s="5">
        <v>23834.2</v>
      </c>
      <c r="N515" s="5">
        <v>169960.34</v>
      </c>
      <c r="O515" s="5">
        <v>0</v>
      </c>
      <c r="P515" s="5">
        <v>0</v>
      </c>
      <c r="Q515" s="5">
        <v>169960.34</v>
      </c>
      <c r="R515" s="1" t="s">
        <v>1142</v>
      </c>
      <c r="S515" s="1" t="s">
        <v>124</v>
      </c>
      <c r="T515" s="4">
        <v>45600</v>
      </c>
      <c r="U515" s="4">
        <v>45657</v>
      </c>
      <c r="V515" s="1" t="s">
        <v>125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169960.34</v>
      </c>
      <c r="AH515" s="5">
        <v>0</v>
      </c>
      <c r="AI515" s="5">
        <v>0</v>
      </c>
      <c r="AJ515" s="5">
        <v>30302.43</v>
      </c>
      <c r="AK515" s="5">
        <v>0</v>
      </c>
      <c r="AL515" s="5">
        <v>0</v>
      </c>
      <c r="AM515" s="5">
        <v>30302.43</v>
      </c>
      <c r="AN515" s="5">
        <v>0</v>
      </c>
      <c r="AO515" s="1" t="s">
        <v>434</v>
      </c>
    </row>
    <row r="516" spans="1:41" x14ac:dyDescent="0.25">
      <c r="A516" s="1">
        <f t="shared" si="2"/>
        <v>500</v>
      </c>
      <c r="B516" s="1" t="s">
        <v>804</v>
      </c>
      <c r="C516" s="1" t="s">
        <v>123</v>
      </c>
      <c r="D516" s="1" t="s">
        <v>816</v>
      </c>
      <c r="E516" s="4">
        <v>45600</v>
      </c>
      <c r="F516" s="4">
        <v>45657</v>
      </c>
      <c r="G516" s="1" t="s">
        <v>125</v>
      </c>
      <c r="H516" s="5">
        <v>86635.531666666677</v>
      </c>
      <c r="I516" s="5">
        <v>6664.27</v>
      </c>
      <c r="J516" s="5">
        <v>0</v>
      </c>
      <c r="K516" s="5">
        <v>4937.5</v>
      </c>
      <c r="L516" s="5">
        <v>0</v>
      </c>
      <c r="M516" s="5">
        <v>11601.77</v>
      </c>
      <c r="N516" s="5">
        <v>75033.759999999995</v>
      </c>
      <c r="O516" s="5">
        <v>0</v>
      </c>
      <c r="P516" s="5">
        <v>0</v>
      </c>
      <c r="Q516" s="5">
        <v>75033.759999999995</v>
      </c>
      <c r="R516" s="1" t="s">
        <v>1143</v>
      </c>
      <c r="S516" s="1" t="s">
        <v>124</v>
      </c>
      <c r="T516" s="4">
        <v>45600</v>
      </c>
      <c r="U516" s="4">
        <v>45657</v>
      </c>
      <c r="V516" s="1" t="s">
        <v>125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75033.759999999995</v>
      </c>
      <c r="AH516" s="5">
        <v>0</v>
      </c>
      <c r="AI516" s="5">
        <v>0</v>
      </c>
      <c r="AJ516" s="5">
        <v>7819.05</v>
      </c>
      <c r="AK516" s="5">
        <v>0</v>
      </c>
      <c r="AL516" s="5">
        <v>0</v>
      </c>
      <c r="AM516" s="5">
        <v>7819.05</v>
      </c>
      <c r="AN516" s="5">
        <v>0</v>
      </c>
      <c r="AO516" s="1" t="s">
        <v>434</v>
      </c>
    </row>
    <row r="517" spans="1:41" x14ac:dyDescent="0.25">
      <c r="A517" s="1">
        <f t="shared" si="2"/>
        <v>501</v>
      </c>
      <c r="B517" s="1" t="s">
        <v>805</v>
      </c>
      <c r="C517" s="1" t="s">
        <v>123</v>
      </c>
      <c r="D517" s="1" t="s">
        <v>816</v>
      </c>
      <c r="E517" s="4">
        <v>45628</v>
      </c>
      <c r="F517" s="4">
        <v>45657</v>
      </c>
      <c r="G517" s="1" t="s">
        <v>125</v>
      </c>
      <c r="H517" s="5">
        <v>106500</v>
      </c>
      <c r="I517" s="5">
        <v>0</v>
      </c>
      <c r="J517" s="5">
        <v>1500</v>
      </c>
      <c r="K517" s="5">
        <v>4050</v>
      </c>
      <c r="L517" s="5">
        <v>0</v>
      </c>
      <c r="M517" s="5">
        <v>5550</v>
      </c>
      <c r="N517" s="5">
        <v>100950</v>
      </c>
      <c r="O517" s="5">
        <v>0</v>
      </c>
      <c r="P517" s="5">
        <v>0</v>
      </c>
      <c r="Q517" s="5">
        <v>100950</v>
      </c>
      <c r="R517" s="1" t="s">
        <v>1144</v>
      </c>
      <c r="S517" s="1" t="s">
        <v>124</v>
      </c>
      <c r="T517" s="4">
        <v>45628</v>
      </c>
      <c r="U517" s="4">
        <v>45657</v>
      </c>
      <c r="V517" s="1" t="s">
        <v>125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100950</v>
      </c>
      <c r="AH517" s="5">
        <v>0</v>
      </c>
      <c r="AI517" s="5">
        <v>0</v>
      </c>
      <c r="AJ517" s="5">
        <v>17112.400000000001</v>
      </c>
      <c r="AK517" s="5">
        <v>0</v>
      </c>
      <c r="AL517" s="5">
        <v>0</v>
      </c>
      <c r="AM517" s="5">
        <v>17112.400000000001</v>
      </c>
      <c r="AN517" s="5">
        <v>0</v>
      </c>
      <c r="AO517" s="1" t="s">
        <v>434</v>
      </c>
    </row>
    <row r="518" spans="1:41" x14ac:dyDescent="0.25">
      <c r="A518" s="1">
        <f t="shared" si="2"/>
        <v>502</v>
      </c>
      <c r="B518" s="1" t="s">
        <v>806</v>
      </c>
      <c r="C518" s="1" t="s">
        <v>123</v>
      </c>
      <c r="D518" s="1" t="s">
        <v>816</v>
      </c>
      <c r="E518" s="4">
        <v>45635</v>
      </c>
      <c r="F518" s="4">
        <v>45657</v>
      </c>
      <c r="G518" s="1" t="s">
        <v>125</v>
      </c>
      <c r="H518" s="5">
        <v>40750</v>
      </c>
      <c r="I518" s="5">
        <v>0</v>
      </c>
      <c r="J518" s="5">
        <v>750</v>
      </c>
      <c r="K518" s="5">
        <v>2550</v>
      </c>
      <c r="L518" s="5">
        <v>0</v>
      </c>
      <c r="M518" s="5">
        <v>3300</v>
      </c>
      <c r="N518" s="5">
        <v>37450</v>
      </c>
      <c r="O518" s="5">
        <v>0</v>
      </c>
      <c r="P518" s="5">
        <v>0</v>
      </c>
      <c r="Q518" s="5">
        <v>37450</v>
      </c>
      <c r="R518" s="1" t="s">
        <v>1145</v>
      </c>
      <c r="S518" s="1" t="s">
        <v>124</v>
      </c>
      <c r="T518" s="4">
        <v>45635</v>
      </c>
      <c r="U518" s="4">
        <v>45657</v>
      </c>
      <c r="V518" s="1" t="s">
        <v>125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37450</v>
      </c>
      <c r="AH518" s="5">
        <v>0</v>
      </c>
      <c r="AI518" s="5">
        <v>0</v>
      </c>
      <c r="AJ518" s="5">
        <v>5299.95</v>
      </c>
      <c r="AK518" s="5">
        <v>0</v>
      </c>
      <c r="AL518" s="5">
        <v>0</v>
      </c>
      <c r="AM518" s="5">
        <v>5299.95</v>
      </c>
      <c r="AN518" s="5">
        <v>0</v>
      </c>
      <c r="AO518" s="1" t="s">
        <v>434</v>
      </c>
    </row>
    <row r="519" spans="1:41" x14ac:dyDescent="0.25">
      <c r="A519" s="1">
        <f t="shared" si="2"/>
        <v>503</v>
      </c>
      <c r="B519" s="1" t="s">
        <v>807</v>
      </c>
      <c r="C519" s="1" t="s">
        <v>123</v>
      </c>
      <c r="D519" s="1" t="s">
        <v>816</v>
      </c>
      <c r="E519" s="4">
        <v>45635</v>
      </c>
      <c r="F519" s="4">
        <v>45657</v>
      </c>
      <c r="G519" s="1" t="s">
        <v>125</v>
      </c>
      <c r="H519" s="5">
        <v>11000</v>
      </c>
      <c r="I519" s="5">
        <v>0</v>
      </c>
      <c r="J519" s="5">
        <v>0</v>
      </c>
      <c r="K519" s="5">
        <v>970</v>
      </c>
      <c r="L519" s="5">
        <v>0</v>
      </c>
      <c r="M519" s="5">
        <v>970</v>
      </c>
      <c r="N519" s="5">
        <v>10030</v>
      </c>
      <c r="O519" s="5">
        <v>0</v>
      </c>
      <c r="P519" s="5">
        <v>0</v>
      </c>
      <c r="Q519" s="5">
        <v>10030</v>
      </c>
      <c r="R519" s="1" t="s">
        <v>1146</v>
      </c>
      <c r="S519" s="1" t="s">
        <v>124</v>
      </c>
      <c r="T519" s="4">
        <v>45635</v>
      </c>
      <c r="U519" s="4">
        <v>45657</v>
      </c>
      <c r="V519" s="1" t="s">
        <v>125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10030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1" t="s">
        <v>434</v>
      </c>
    </row>
    <row r="520" spans="1:41" x14ac:dyDescent="0.25">
      <c r="A520" s="1">
        <f t="shared" si="2"/>
        <v>504</v>
      </c>
      <c r="B520" s="1" t="s">
        <v>808</v>
      </c>
      <c r="C520" s="1" t="s">
        <v>123</v>
      </c>
      <c r="D520" s="1" t="s">
        <v>816</v>
      </c>
      <c r="E520" s="4">
        <v>45635</v>
      </c>
      <c r="F520" s="4">
        <v>45657</v>
      </c>
      <c r="G520" s="1" t="s">
        <v>125</v>
      </c>
      <c r="H520" s="5">
        <v>11000</v>
      </c>
      <c r="I520" s="5">
        <v>0</v>
      </c>
      <c r="J520" s="5">
        <v>0</v>
      </c>
      <c r="K520" s="5">
        <v>970</v>
      </c>
      <c r="L520" s="5">
        <v>0</v>
      </c>
      <c r="M520" s="5">
        <v>970</v>
      </c>
      <c r="N520" s="5">
        <v>10030</v>
      </c>
      <c r="O520" s="5">
        <v>0</v>
      </c>
      <c r="P520" s="5">
        <v>0</v>
      </c>
      <c r="Q520" s="5">
        <v>10030</v>
      </c>
      <c r="R520" s="1" t="s">
        <v>1146</v>
      </c>
      <c r="S520" s="1" t="s">
        <v>124</v>
      </c>
      <c r="T520" s="4">
        <v>45635</v>
      </c>
      <c r="U520" s="4">
        <v>45657</v>
      </c>
      <c r="V520" s="1" t="s">
        <v>125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10030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1" t="s">
        <v>434</v>
      </c>
    </row>
    <row r="521" spans="1:41" x14ac:dyDescent="0.25">
      <c r="A521" s="1">
        <f t="shared" si="2"/>
        <v>505</v>
      </c>
      <c r="B521" s="1" t="s">
        <v>809</v>
      </c>
      <c r="C521" s="1" t="s">
        <v>123</v>
      </c>
      <c r="D521" s="1" t="s">
        <v>816</v>
      </c>
      <c r="E521" s="4">
        <v>45635</v>
      </c>
      <c r="F521" s="4">
        <v>45657</v>
      </c>
      <c r="G521" s="1" t="s">
        <v>125</v>
      </c>
      <c r="H521" s="5">
        <v>11000</v>
      </c>
      <c r="I521" s="5">
        <v>0</v>
      </c>
      <c r="J521" s="5">
        <v>0</v>
      </c>
      <c r="K521" s="5">
        <v>970</v>
      </c>
      <c r="L521" s="5">
        <v>0</v>
      </c>
      <c r="M521" s="5">
        <v>970</v>
      </c>
      <c r="N521" s="5">
        <v>10030</v>
      </c>
      <c r="O521" s="5">
        <v>0</v>
      </c>
      <c r="P521" s="5">
        <v>0</v>
      </c>
      <c r="Q521" s="5">
        <v>10030</v>
      </c>
      <c r="R521" s="1" t="s">
        <v>1147</v>
      </c>
      <c r="S521" s="1" t="s">
        <v>124</v>
      </c>
      <c r="T521" s="4">
        <v>45635</v>
      </c>
      <c r="U521" s="4">
        <v>45657</v>
      </c>
      <c r="V521" s="1" t="s">
        <v>125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10030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1" t="s">
        <v>434</v>
      </c>
    </row>
    <row r="522" spans="1:41" x14ac:dyDescent="0.25">
      <c r="A522" s="1">
        <f t="shared" si="2"/>
        <v>506</v>
      </c>
      <c r="B522" s="1" t="s">
        <v>810</v>
      </c>
      <c r="C522" s="1" t="s">
        <v>123</v>
      </c>
      <c r="D522" s="1" t="s">
        <v>815</v>
      </c>
      <c r="E522" s="4">
        <v>45292</v>
      </c>
      <c r="F522" s="4">
        <v>45657</v>
      </c>
      <c r="G522" s="1" t="s">
        <v>125</v>
      </c>
      <c r="H522" s="5">
        <v>783077.02</v>
      </c>
      <c r="I522" s="5">
        <v>57304.17</v>
      </c>
      <c r="J522" s="5">
        <v>26400</v>
      </c>
      <c r="K522" s="5">
        <v>29470</v>
      </c>
      <c r="L522" s="5">
        <v>8975</v>
      </c>
      <c r="M522" s="5">
        <v>122149.17</v>
      </c>
      <c r="N522" s="5">
        <v>658180</v>
      </c>
      <c r="O522" s="5">
        <v>0</v>
      </c>
      <c r="P522" s="5">
        <v>2747.85</v>
      </c>
      <c r="Q522" s="5">
        <v>660927.85</v>
      </c>
      <c r="R522" s="1" t="s">
        <v>1148</v>
      </c>
      <c r="S522" s="1" t="s">
        <v>124</v>
      </c>
      <c r="T522" s="4">
        <v>45292</v>
      </c>
      <c r="U522" s="4">
        <v>45657</v>
      </c>
      <c r="V522" s="1" t="s">
        <v>125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660927.85</v>
      </c>
      <c r="AH522" s="5">
        <v>74685.570000000007</v>
      </c>
      <c r="AI522" s="5">
        <v>0</v>
      </c>
      <c r="AJ522" s="5">
        <v>100231.17</v>
      </c>
      <c r="AK522" s="5">
        <v>0</v>
      </c>
      <c r="AL522" s="5">
        <v>0</v>
      </c>
      <c r="AM522" s="5">
        <v>25545.599999999999</v>
      </c>
      <c r="AN522" s="5">
        <v>74685.570000000007</v>
      </c>
      <c r="AO522" s="1" t="s">
        <v>434</v>
      </c>
    </row>
    <row r="523" spans="1:41" x14ac:dyDescent="0.25">
      <c r="A523" s="1">
        <f t="shared" si="2"/>
        <v>507</v>
      </c>
      <c r="B523" s="1" t="s">
        <v>811</v>
      </c>
      <c r="C523" s="1" t="s">
        <v>123</v>
      </c>
      <c r="D523" s="1" t="s">
        <v>815</v>
      </c>
      <c r="E523" s="4">
        <v>45292</v>
      </c>
      <c r="F523" s="4">
        <v>45657</v>
      </c>
      <c r="G523" s="1" t="s">
        <v>125</v>
      </c>
      <c r="H523" s="5">
        <v>494489.39</v>
      </c>
      <c r="I523" s="5">
        <v>35374.33</v>
      </c>
      <c r="J523" s="5">
        <v>26400</v>
      </c>
      <c r="K523" s="5">
        <v>23162</v>
      </c>
      <c r="L523" s="5">
        <v>7950</v>
      </c>
      <c r="M523" s="5">
        <v>92886.33</v>
      </c>
      <c r="N523" s="5">
        <v>401329.95</v>
      </c>
      <c r="O523" s="5">
        <v>0</v>
      </c>
      <c r="P523" s="5">
        <v>273.11</v>
      </c>
      <c r="Q523" s="5">
        <v>401603.06</v>
      </c>
      <c r="R523" s="1" t="s">
        <v>1149</v>
      </c>
      <c r="S523" s="1" t="s">
        <v>124</v>
      </c>
      <c r="T523" s="4">
        <v>45292</v>
      </c>
      <c r="U523" s="4">
        <v>45657</v>
      </c>
      <c r="V523" s="1" t="s">
        <v>125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401603.06</v>
      </c>
      <c r="AH523" s="5">
        <v>22820.61</v>
      </c>
      <c r="AI523" s="5">
        <v>0</v>
      </c>
      <c r="AJ523" s="5">
        <v>42001.9</v>
      </c>
      <c r="AK523" s="5">
        <v>0</v>
      </c>
      <c r="AL523" s="5">
        <v>0</v>
      </c>
      <c r="AM523" s="5">
        <v>19181.29</v>
      </c>
      <c r="AN523" s="5">
        <v>22820.61</v>
      </c>
      <c r="AO523" s="1" t="s">
        <v>434</v>
      </c>
    </row>
    <row r="524" spans="1:41" x14ac:dyDescent="0.25">
      <c r="A524" s="1">
        <f t="shared" si="2"/>
        <v>508</v>
      </c>
      <c r="B524" s="1" t="s">
        <v>812</v>
      </c>
      <c r="C524" s="1" t="s">
        <v>123</v>
      </c>
      <c r="D524" s="1" t="s">
        <v>815</v>
      </c>
      <c r="E524" s="4">
        <v>45292</v>
      </c>
      <c r="F524" s="4">
        <v>45657</v>
      </c>
      <c r="G524" s="1" t="s">
        <v>125</v>
      </c>
      <c r="H524" s="5">
        <v>911622.13</v>
      </c>
      <c r="I524" s="5">
        <v>77663.03</v>
      </c>
      <c r="J524" s="5">
        <v>28050</v>
      </c>
      <c r="K524" s="5">
        <v>31350</v>
      </c>
      <c r="L524" s="5">
        <v>10000</v>
      </c>
      <c r="M524" s="5">
        <v>147063.03</v>
      </c>
      <c r="N524" s="5">
        <v>709109.77</v>
      </c>
      <c r="O524" s="5">
        <v>0</v>
      </c>
      <c r="P524" s="5">
        <v>55449.33</v>
      </c>
      <c r="Q524" s="5">
        <v>764559.1</v>
      </c>
      <c r="R524" s="1" t="s">
        <v>1150</v>
      </c>
      <c r="S524" s="1" t="s">
        <v>124</v>
      </c>
      <c r="T524" s="4">
        <v>45292</v>
      </c>
      <c r="U524" s="4">
        <v>45657</v>
      </c>
      <c r="V524" s="1" t="s">
        <v>125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764559.1</v>
      </c>
      <c r="AH524" s="5">
        <v>95411.82</v>
      </c>
      <c r="AI524" s="5">
        <v>0</v>
      </c>
      <c r="AJ524" s="5">
        <v>122148.52</v>
      </c>
      <c r="AK524" s="5">
        <v>0</v>
      </c>
      <c r="AL524" s="5">
        <v>0</v>
      </c>
      <c r="AM524" s="5">
        <v>26736.7</v>
      </c>
      <c r="AN524" s="5">
        <v>95411.82</v>
      </c>
      <c r="AO524" s="1" t="s">
        <v>434</v>
      </c>
    </row>
    <row r="525" spans="1:41" x14ac:dyDescent="0.25">
      <c r="A525" s="1">
        <f t="shared" ref="A525:A526" si="5">A524+1</f>
        <v>509</v>
      </c>
      <c r="B525" s="1" t="s">
        <v>813</v>
      </c>
      <c r="C525" s="1" t="s">
        <v>123</v>
      </c>
      <c r="D525" s="1" t="s">
        <v>815</v>
      </c>
      <c r="E525" s="4">
        <v>45292</v>
      </c>
      <c r="F525" s="4">
        <v>45657</v>
      </c>
      <c r="G525" s="1" t="s">
        <v>125</v>
      </c>
      <c r="H525" s="5">
        <v>418906.83</v>
      </c>
      <c r="I525" s="5">
        <v>33037.75</v>
      </c>
      <c r="J525" s="5">
        <v>28050</v>
      </c>
      <c r="K525" s="5">
        <v>21547.5</v>
      </c>
      <c r="L525" s="5">
        <v>10000</v>
      </c>
      <c r="M525" s="5">
        <v>92635.25</v>
      </c>
      <c r="N525" s="5">
        <v>305252.5</v>
      </c>
      <c r="O525" s="5">
        <v>0</v>
      </c>
      <c r="P525" s="5">
        <v>21019.08</v>
      </c>
      <c r="Q525" s="5">
        <v>326271.58</v>
      </c>
      <c r="R525" s="1" t="s">
        <v>1151</v>
      </c>
      <c r="S525" s="1" t="s">
        <v>124</v>
      </c>
      <c r="T525" s="4">
        <v>45292</v>
      </c>
      <c r="U525" s="4">
        <v>45657</v>
      </c>
      <c r="V525" s="1" t="s">
        <v>125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326271.58</v>
      </c>
      <c r="AH525" s="5">
        <v>11440.74</v>
      </c>
      <c r="AI525" s="5">
        <v>0</v>
      </c>
      <c r="AJ525" s="5">
        <v>24524.02</v>
      </c>
      <c r="AK525" s="5">
        <v>0</v>
      </c>
      <c r="AL525" s="5">
        <v>0</v>
      </c>
      <c r="AM525" s="5">
        <v>13083.28</v>
      </c>
      <c r="AN525" s="5">
        <v>11440.74</v>
      </c>
      <c r="AO525" s="1" t="s">
        <v>434</v>
      </c>
    </row>
    <row r="526" spans="1:41" x14ac:dyDescent="0.25">
      <c r="A526" s="1">
        <f t="shared" si="5"/>
        <v>510</v>
      </c>
      <c r="B526" s="1" t="s">
        <v>814</v>
      </c>
      <c r="C526" s="1" t="s">
        <v>123</v>
      </c>
      <c r="D526" s="1" t="s">
        <v>815</v>
      </c>
      <c r="E526" s="4">
        <v>45292</v>
      </c>
      <c r="F526" s="4">
        <v>45657</v>
      </c>
      <c r="G526" s="1" t="s">
        <v>125</v>
      </c>
      <c r="H526" s="5">
        <v>1084536.4950000001</v>
      </c>
      <c r="I526" s="5">
        <v>90000</v>
      </c>
      <c r="J526" s="5">
        <v>28050</v>
      </c>
      <c r="K526" s="5">
        <v>35100</v>
      </c>
      <c r="L526" s="5">
        <v>10400</v>
      </c>
      <c r="M526" s="5">
        <v>163550</v>
      </c>
      <c r="N526" s="5">
        <v>905741.38</v>
      </c>
      <c r="O526" s="5">
        <v>15245.12</v>
      </c>
      <c r="P526" s="5">
        <v>0</v>
      </c>
      <c r="Q526" s="5">
        <v>920986.5</v>
      </c>
      <c r="R526" s="1" t="s">
        <v>1152</v>
      </c>
      <c r="S526" s="1" t="s">
        <v>124</v>
      </c>
      <c r="T526" s="4">
        <v>45292</v>
      </c>
      <c r="U526" s="4">
        <v>45657</v>
      </c>
      <c r="V526" s="1" t="s">
        <v>125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920986.5</v>
      </c>
      <c r="AH526" s="5">
        <v>132746.62</v>
      </c>
      <c r="AI526" s="5">
        <v>0</v>
      </c>
      <c r="AJ526" s="5">
        <v>161183.28</v>
      </c>
      <c r="AK526" s="5">
        <v>0</v>
      </c>
      <c r="AL526" s="5">
        <v>0</v>
      </c>
      <c r="AM526" s="5">
        <v>28436.66</v>
      </c>
      <c r="AN526" s="5">
        <v>132746.62</v>
      </c>
      <c r="AO526" s="1" t="s">
        <v>434</v>
      </c>
    </row>
    <row r="527" spans="1:41" x14ac:dyDescent="0.25">
      <c r="H527" s="3" t="s">
        <v>476</v>
      </c>
      <c r="I527" s="3" t="s">
        <v>476</v>
      </c>
      <c r="J527" s="3" t="s">
        <v>476</v>
      </c>
      <c r="K527" s="3" t="s">
        <v>476</v>
      </c>
      <c r="L527" s="3" t="s">
        <v>476</v>
      </c>
      <c r="M527" s="3" t="s">
        <v>476</v>
      </c>
      <c r="N527" s="3" t="s">
        <v>476</v>
      </c>
      <c r="O527" s="3" t="s">
        <v>476</v>
      </c>
      <c r="P527" s="3" t="s">
        <v>476</v>
      </c>
      <c r="Q527" s="3" t="s">
        <v>476</v>
      </c>
      <c r="W527" s="3" t="s">
        <v>476</v>
      </c>
      <c r="X527" s="3" t="s">
        <v>476</v>
      </c>
      <c r="Y527" s="3" t="s">
        <v>476</v>
      </c>
      <c r="Z527" s="3" t="s">
        <v>476</v>
      </c>
      <c r="AA527" s="3" t="s">
        <v>476</v>
      </c>
      <c r="AB527" s="3" t="s">
        <v>476</v>
      </c>
      <c r="AC527" s="3" t="s">
        <v>476</v>
      </c>
      <c r="AD527" s="3" t="s">
        <v>476</v>
      </c>
      <c r="AE527" s="3" t="s">
        <v>476</v>
      </c>
      <c r="AF527" s="3" t="s">
        <v>476</v>
      </c>
      <c r="AG527" s="3" t="s">
        <v>476</v>
      </c>
      <c r="AH527" s="3" t="s">
        <v>476</v>
      </c>
      <c r="AI527" s="3" t="s">
        <v>476</v>
      </c>
      <c r="AJ527" s="3" t="s">
        <v>476</v>
      </c>
      <c r="AK527" s="3" t="s">
        <v>476</v>
      </c>
      <c r="AL527" s="3" t="s">
        <v>476</v>
      </c>
      <c r="AM527" s="3" t="s">
        <v>476</v>
      </c>
      <c r="AN527" s="3" t="s">
        <v>476</v>
      </c>
    </row>
    <row r="528" spans="1:41" x14ac:dyDescent="0.25">
      <c r="A528" s="2" t="s">
        <v>474</v>
      </c>
      <c r="H528" s="6">
        <f t="shared" ref="H528:Q528" si="6">SUM(H17:H526)</f>
        <v>497112675.53916699</v>
      </c>
      <c r="I528" s="6">
        <f t="shared" si="6"/>
        <v>28763477.710000012</v>
      </c>
      <c r="J528" s="6">
        <f t="shared" si="6"/>
        <v>14298010.720000001</v>
      </c>
      <c r="K528" s="6">
        <f t="shared" si="6"/>
        <v>16063263.429999994</v>
      </c>
      <c r="L528" s="6">
        <f t="shared" si="6"/>
        <v>4317011.8599999994</v>
      </c>
      <c r="M528" s="6">
        <f t="shared" si="6"/>
        <v>63441763.720000014</v>
      </c>
      <c r="N528" s="6">
        <f t="shared" si="6"/>
        <v>405915837.51999998</v>
      </c>
      <c r="O528" s="6">
        <f t="shared" si="6"/>
        <v>6713662.9999999981</v>
      </c>
      <c r="P528" s="6">
        <f t="shared" si="6"/>
        <v>21041411.309999987</v>
      </c>
      <c r="Q528" s="6">
        <f t="shared" si="6"/>
        <v>433670911.83000034</v>
      </c>
      <c r="W528" s="6">
        <f t="shared" ref="W528:AN528" si="7">SUM(W17:W526)</f>
        <v>1595913.51</v>
      </c>
      <c r="X528" s="6">
        <f t="shared" si="7"/>
        <v>90000</v>
      </c>
      <c r="Y528" s="6">
        <f t="shared" si="7"/>
        <v>0</v>
      </c>
      <c r="Z528" s="6">
        <f t="shared" si="7"/>
        <v>16100</v>
      </c>
      <c r="AA528" s="6">
        <f t="shared" si="7"/>
        <v>59096.73</v>
      </c>
      <c r="AB528" s="6">
        <f t="shared" si="7"/>
        <v>165196.73000000001</v>
      </c>
      <c r="AC528" s="6">
        <f t="shared" si="7"/>
        <v>963900</v>
      </c>
      <c r="AD528" s="6">
        <f t="shared" si="7"/>
        <v>346046.49</v>
      </c>
      <c r="AE528" s="6">
        <f t="shared" si="7"/>
        <v>120770.29</v>
      </c>
      <c r="AF528" s="6">
        <f t="shared" si="7"/>
        <v>1430716.78</v>
      </c>
      <c r="AG528" s="6">
        <f t="shared" si="7"/>
        <v>435101628.61000037</v>
      </c>
      <c r="AH528" s="6">
        <f t="shared" si="7"/>
        <v>68585090.929999962</v>
      </c>
      <c r="AI528" s="6">
        <f t="shared" si="7"/>
        <v>260179.20000000001</v>
      </c>
      <c r="AJ528" s="6">
        <f t="shared" si="7"/>
        <v>56081231.109999992</v>
      </c>
      <c r="AK528" s="6">
        <f t="shared" si="7"/>
        <v>0</v>
      </c>
      <c r="AL528" s="6">
        <f t="shared" si="7"/>
        <v>12776840.339999981</v>
      </c>
      <c r="AM528" s="6">
        <f t="shared" si="7"/>
        <v>533159.92000000004</v>
      </c>
      <c r="AN528" s="6">
        <f t="shared" si="7"/>
        <v>68585090.929999962</v>
      </c>
    </row>
    <row r="529" spans="1:40" x14ac:dyDescent="0.25">
      <c r="H529" s="3" t="s">
        <v>475</v>
      </c>
      <c r="I529" s="3" t="s">
        <v>475</v>
      </c>
      <c r="J529" s="3" t="s">
        <v>475</v>
      </c>
      <c r="K529" s="3" t="s">
        <v>475</v>
      </c>
      <c r="L529" s="3" t="s">
        <v>475</v>
      </c>
      <c r="M529" s="3" t="s">
        <v>475</v>
      </c>
      <c r="N529" s="3" t="s">
        <v>475</v>
      </c>
      <c r="O529" s="3" t="s">
        <v>475</v>
      </c>
      <c r="P529" s="3" t="s">
        <v>475</v>
      </c>
      <c r="Q529" s="3" t="s">
        <v>475</v>
      </c>
      <c r="W529" s="3" t="s">
        <v>475</v>
      </c>
      <c r="X529" s="3" t="s">
        <v>475</v>
      </c>
      <c r="Y529" s="3" t="s">
        <v>475</v>
      </c>
      <c r="Z529" s="3" t="s">
        <v>475</v>
      </c>
      <c r="AA529" s="3" t="s">
        <v>475</v>
      </c>
      <c r="AB529" s="3" t="s">
        <v>475</v>
      </c>
      <c r="AC529" s="3" t="s">
        <v>475</v>
      </c>
      <c r="AD529" s="3" t="s">
        <v>475</v>
      </c>
      <c r="AE529" s="3" t="s">
        <v>475</v>
      </c>
      <c r="AF529" s="3" t="s">
        <v>475</v>
      </c>
      <c r="AG529" s="3" t="s">
        <v>475</v>
      </c>
      <c r="AH529" s="3" t="s">
        <v>475</v>
      </c>
      <c r="AI529" s="3" t="s">
        <v>475</v>
      </c>
      <c r="AJ529" s="3" t="s">
        <v>475</v>
      </c>
      <c r="AK529" s="3" t="s">
        <v>475</v>
      </c>
      <c r="AL529" s="3" t="s">
        <v>475</v>
      </c>
      <c r="AM529" s="3" t="s">
        <v>475</v>
      </c>
      <c r="AN529" s="3" t="s">
        <v>475</v>
      </c>
    </row>
    <row r="530" spans="1:40" x14ac:dyDescent="0.25">
      <c r="A530" s="2" t="s">
        <v>477</v>
      </c>
    </row>
  </sheetData>
  <autoFilter ref="A16:AO16" xr:uid="{DD13AEAE-420F-4820-A0E3-9B661C01C01E}"/>
  <conditionalFormatting sqref="B17:B5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 Novare HR</dc:creator>
  <cp:lastModifiedBy>Regulus Berdin</cp:lastModifiedBy>
  <dcterms:created xsi:type="dcterms:W3CDTF">2025-01-31T00:41:16Z</dcterms:created>
  <dcterms:modified xsi:type="dcterms:W3CDTF">2025-01-31T08:18:29Z</dcterms:modified>
</cp:coreProperties>
</file>