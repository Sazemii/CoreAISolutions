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8001_{801EE5A9-8A8D-4C07-BA7C-394DDC968630}" xr6:coauthVersionLast="47" xr6:coauthVersionMax="47" xr10:uidLastSave="{00000000-0000-0000-0000-000000000000}"/>
  <bookViews>
    <workbookView xWindow="-24360" yWindow="848" windowWidth="23857" windowHeight="13829" xr2:uid="{9B46A796-9ADD-4DBB-95CD-83FB7B350D0A}"/>
  </bookViews>
  <sheets>
    <sheet name="Sheet1" sheetId="1" r:id="rId1"/>
  </sheets>
  <definedNames>
    <definedName name="_xlnm._FilterDatabase" localSheetId="0" hidden="1">Sheet1!$A$16:$AO$16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BN8" i="1" s="1"/>
  <c r="BO8" i="1" s="1"/>
  <c r="BP8" i="1" s="1"/>
  <c r="BQ8" i="1" s="1"/>
  <c r="BR8" i="1" s="1"/>
  <c r="BS8" i="1" s="1"/>
  <c r="BT8" i="1" s="1"/>
  <c r="BU8" i="1" s="1"/>
  <c r="BV8" i="1" s="1"/>
  <c r="BW8" i="1" s="1"/>
  <c r="BX8" i="1" s="1"/>
  <c r="BY8" i="1" s="1"/>
  <c r="BZ8" i="1" s="1"/>
  <c r="CA8" i="1" s="1"/>
  <c r="B8" i="1"/>
  <c r="Q543" i="1"/>
  <c r="P543" i="1"/>
  <c r="O543" i="1"/>
  <c r="N543" i="1"/>
  <c r="M543" i="1"/>
  <c r="L543" i="1"/>
  <c r="K543" i="1"/>
  <c r="J543" i="1"/>
  <c r="I543" i="1"/>
  <c r="H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l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</calcChain>
</file>

<file path=xl/sharedStrings.xml><?xml version="1.0" encoding="utf-8"?>
<sst xmlns="http://schemas.openxmlformats.org/spreadsheetml/2006/main" count="3571" uniqueCount="1181">
  <si>
    <t>BIR FORM 1604C - SCHEDULE 1</t>
  </si>
  <si>
    <t>ALPHABETICAL LIST EMPLOYEES (Declared and Certified using BIR Form No. 2316)</t>
  </si>
  <si>
    <t>AS OF DECEMBER 31,2024</t>
  </si>
  <si>
    <t>P   R   E   S   E   N   T     E   M   P   L   O   Y   E   R</t>
  </si>
  <si>
    <t>SEQ</t>
  </si>
  <si>
    <t>NO</t>
  </si>
  <si>
    <t>(1)</t>
  </si>
  <si>
    <t>NAME OF EMPLOYEES</t>
  </si>
  <si>
    <t>(Last Name, First Name, Middle Name)</t>
  </si>
  <si>
    <t>(2a)(2b)(2c)</t>
  </si>
  <si>
    <t>NATIONALITY/</t>
  </si>
  <si>
    <t>RESIDENT</t>
  </si>
  <si>
    <t>(for foreigners only)</t>
  </si>
  <si>
    <t>(3)</t>
  </si>
  <si>
    <t xml:space="preserve">CURRENT EMPLOYMENT </t>
  </si>
  <si>
    <t>STATUS (*)</t>
  </si>
  <si>
    <t>(4)</t>
  </si>
  <si>
    <t>EMPLOYMENT</t>
  </si>
  <si>
    <t>From</t>
  </si>
  <si>
    <t>To</t>
  </si>
  <si>
    <t>(5a)</t>
  </si>
  <si>
    <t>(5b)</t>
  </si>
  <si>
    <t>REASON OF</t>
  </si>
  <si>
    <t>SEPARATION (**)</t>
  </si>
  <si>
    <t>(6)</t>
  </si>
  <si>
    <t>GROSS</t>
  </si>
  <si>
    <t>COMPENSATION</t>
  </si>
  <si>
    <t>INCOME</t>
  </si>
  <si>
    <t>(present employer)</t>
  </si>
  <si>
    <t>7a=(7f+7j)</t>
  </si>
  <si>
    <t>N  O  N    -   T  A  X  A  B  L  E</t>
  </si>
  <si>
    <t>13th MONTH PAY</t>
  </si>
  <si>
    <t>&amp; OTHER BENEFITS</t>
  </si>
  <si>
    <t>(7b)</t>
  </si>
  <si>
    <t>DE MINIMIS</t>
  </si>
  <si>
    <t>BENEFITS</t>
  </si>
  <si>
    <t>(7c)</t>
  </si>
  <si>
    <t>SSS, GSIS, PHIC &amp;</t>
  </si>
  <si>
    <t>PAG-IBIG CONTRIBUTIONS</t>
  </si>
  <si>
    <t>AND UNION DUES</t>
  </si>
  <si>
    <t>(employees share only)</t>
  </si>
  <si>
    <t>(7d)</t>
  </si>
  <si>
    <t xml:space="preserve">SALARIES (P250K &amp; below) &amp; </t>
  </si>
  <si>
    <t>OTHER FORMS OF</t>
  </si>
  <si>
    <t>(7e)</t>
  </si>
  <si>
    <t>TOTAL</t>
  </si>
  <si>
    <t>NON-TAXABLE/EXEMPT</t>
  </si>
  <si>
    <t>COMPENSATION INCOME</t>
  </si>
  <si>
    <t>7f=(7b+7c+7d+7e)</t>
  </si>
  <si>
    <t>T  A  X  A  B  L  E</t>
  </si>
  <si>
    <t>BASIC SALARY</t>
  </si>
  <si>
    <t>(Net of SSS,GSIS,PHIC,</t>
  </si>
  <si>
    <t>HDMF Contri &amp; Union Dues)</t>
  </si>
  <si>
    <t>(7g)</t>
  </si>
  <si>
    <t>(In excess of Threshold)</t>
  </si>
  <si>
    <t>(7h)</t>
  </si>
  <si>
    <t>SALARIES &amp; OTHER</t>
  </si>
  <si>
    <t>FORMS OF</t>
  </si>
  <si>
    <t>(7i)</t>
  </si>
  <si>
    <t>TOTAL TAXABLE</t>
  </si>
  <si>
    <t>7j=(7g+7h+7i)</t>
  </si>
  <si>
    <t>P   R   E   V   I   O   U   S     E   M   P   L   O   Y   E   R</t>
  </si>
  <si>
    <t>TAXPAYER</t>
  </si>
  <si>
    <t>IDENTIFICATION</t>
  </si>
  <si>
    <t>NUMBER</t>
  </si>
  <si>
    <t>(8)</t>
  </si>
  <si>
    <t xml:space="preserve">EMPLOYMENT </t>
  </si>
  <si>
    <t>(9)</t>
  </si>
  <si>
    <t>PERIOD OF</t>
  </si>
  <si>
    <t>(10a)</t>
  </si>
  <si>
    <t>(10b)</t>
  </si>
  <si>
    <t>SEPARATION, if applicable (**)</t>
  </si>
  <si>
    <t>(11)</t>
  </si>
  <si>
    <t>PREVIOUS EMPLOYER</t>
  </si>
  <si>
    <t>12a=(12f+12j)</t>
  </si>
  <si>
    <t>(12b)</t>
  </si>
  <si>
    <t>(12c)</t>
  </si>
  <si>
    <t>(12d)</t>
  </si>
  <si>
    <t>(12e)</t>
  </si>
  <si>
    <t>TOTAL NON-TAXABLE/</t>
  </si>
  <si>
    <t>EXEMPT COMPENSATION(Previous Employer)</t>
  </si>
  <si>
    <t>12f=(12b+12c+12d+12e)</t>
  </si>
  <si>
    <t>(12g)</t>
  </si>
  <si>
    <t>(12h)</t>
  </si>
  <si>
    <t>(12i)</t>
  </si>
  <si>
    <t>(previous employer)</t>
  </si>
  <si>
    <t>12j=(12g+12h+12i)</t>
  </si>
  <si>
    <t>(Present and</t>
  </si>
  <si>
    <t>Previous Employer)</t>
  </si>
  <si>
    <t>13=(7j+12j)</t>
  </si>
  <si>
    <t>TAX DUE</t>
  </si>
  <si>
    <t>(Jan. - Dec.)</t>
  </si>
  <si>
    <t>(14)</t>
  </si>
  <si>
    <t>TAX WITHHELD</t>
  </si>
  <si>
    <t>(Jan. - Nov.)</t>
  </si>
  <si>
    <t>(15a)</t>
  </si>
  <si>
    <t>PRESENT EMPLOYER</t>
  </si>
  <si>
    <t>(15b)</t>
  </si>
  <si>
    <t>5% Tax Credit</t>
  </si>
  <si>
    <t>(PERA Act of 2008)</t>
  </si>
  <si>
    <t>(16)</t>
  </si>
  <si>
    <t>Y E A R - E N D   A D J U S T M E N T (16a or 16b)</t>
  </si>
  <si>
    <t>AMT WITHHELD AND PAID FOR IN DECEMBER OR LAST SALARY</t>
  </si>
  <si>
    <t>&amp; PAID FOR IN</t>
  </si>
  <si>
    <t>DECEMBER or Last Salary</t>
  </si>
  <si>
    <t>17a=14-(15a+15b)-16</t>
  </si>
  <si>
    <t>OVER</t>
  </si>
  <si>
    <t>WITHHELD TAX</t>
  </si>
  <si>
    <t>REFUNDED TO</t>
  </si>
  <si>
    <t>EMPLOYEE</t>
  </si>
  <si>
    <t>17b=(15a+15b)-14</t>
  </si>
  <si>
    <t>AMOUNT OF TAX</t>
  </si>
  <si>
    <t>WITHHELD AS</t>
  </si>
  <si>
    <t>ADJUSTED</t>
  </si>
  <si>
    <t>18=(15a+15b+16+17a)</t>
  </si>
  <si>
    <t>OR (15a+15b+16-17b)</t>
  </si>
  <si>
    <t>SUBSTITUTED FILING</t>
  </si>
  <si>
    <t>YES/NO</t>
  </si>
  <si>
    <t>***</t>
  </si>
  <si>
    <t>(19)</t>
  </si>
  <si>
    <t>------------------------------</t>
  </si>
  <si>
    <t xml:space="preserve">ODULIO, EDMUND JR. RUFLO                                                                     </t>
  </si>
  <si>
    <t xml:space="preserve">FILIPINO                      </t>
  </si>
  <si>
    <t xml:space="preserve">R </t>
  </si>
  <si>
    <t xml:space="preserve">T </t>
  </si>
  <si>
    <t>196-129-580-0000</t>
  </si>
  <si>
    <t>N</t>
  </si>
  <si>
    <t xml:space="preserve">CATALAN, DARWIN ROI HERNANDEZ                                                                </t>
  </si>
  <si>
    <t>212-124-703-0000</t>
  </si>
  <si>
    <t xml:space="preserve">SALVADOR, LIAM AMABUAG                                                                       </t>
  </si>
  <si>
    <t xml:space="preserve">P </t>
  </si>
  <si>
    <t>427-540-180-0000</t>
  </si>
  <si>
    <t xml:space="preserve">GIMENA, GERALD GABUYA                                                                        </t>
  </si>
  <si>
    <t>347-211-242-0000</t>
  </si>
  <si>
    <t xml:space="preserve">VILLAVICENCIO, KEVIN KYLE RIVERA                                                             </t>
  </si>
  <si>
    <t>633-730-647-0000</t>
  </si>
  <si>
    <t xml:space="preserve">OYAO, RATCHEL YBANEZ                                                                         </t>
  </si>
  <si>
    <t>338-906-227-0000</t>
  </si>
  <si>
    <t xml:space="preserve">GUEVARRA, ALVIN SANTIAGO                                                                     </t>
  </si>
  <si>
    <t>490-223-560-0000</t>
  </si>
  <si>
    <t xml:space="preserve">REYES, JOSE MIGUEL CO                                                                        </t>
  </si>
  <si>
    <t>402-229-684-0000</t>
  </si>
  <si>
    <t xml:space="preserve">GEROBIN, CHRISTOPHER BAMBE                                                                   </t>
  </si>
  <si>
    <t>336-861-165-0000</t>
  </si>
  <si>
    <t xml:space="preserve">DELA CRUZ, JEROME ANGELES                                                                    </t>
  </si>
  <si>
    <t>500-222-361-0000</t>
  </si>
  <si>
    <t xml:space="preserve">TAYAG, PETER DON RAYMUNDO                                                                    </t>
  </si>
  <si>
    <t>277-297-539-0000</t>
  </si>
  <si>
    <t xml:space="preserve">ALBARACIN, ALLAN ROY CRUZ                                                                    </t>
  </si>
  <si>
    <t>246-285-750-0000</t>
  </si>
  <si>
    <t xml:space="preserve">PASAY, JERBIE LAURENTE                                                                       </t>
  </si>
  <si>
    <t>238-710-581-0000</t>
  </si>
  <si>
    <t xml:space="preserve">PIMENTEL, JOHN DAVE RIOVEROS                                                                 </t>
  </si>
  <si>
    <t>454-801-351-0000</t>
  </si>
  <si>
    <t xml:space="preserve">ESTANISLAO, REGINA MACALE                                                                    </t>
  </si>
  <si>
    <t>240-220-582-0000</t>
  </si>
  <si>
    <t xml:space="preserve">EUCOGCO, ALDRIN EDQUILA                                                                      </t>
  </si>
  <si>
    <t>172-104-514-0000</t>
  </si>
  <si>
    <t xml:space="preserve">MOLINA, DOMINADOR JR. TIPON                                                                  </t>
  </si>
  <si>
    <t>340-414-952-0000</t>
  </si>
  <si>
    <t xml:space="preserve">DOCENA, CHRISTOPHER DISTOR                                                                   </t>
  </si>
  <si>
    <t>307-001-335-0000</t>
  </si>
  <si>
    <t xml:space="preserve">PINUELA, ANDREA MARIE CASES                                                                  </t>
  </si>
  <si>
    <t>746-023-024-0000</t>
  </si>
  <si>
    <t xml:space="preserve">ARABIS, ARNE PAALISBO                                                                        </t>
  </si>
  <si>
    <t>473-191-012-0000</t>
  </si>
  <si>
    <t xml:space="preserve">GETURBOS, ELMANUEL MENDIOLA                                                                  </t>
  </si>
  <si>
    <t>338-236-921-0000</t>
  </si>
  <si>
    <t xml:space="preserve">BESANA, JAN BENEDICT HIZON                                                                   </t>
  </si>
  <si>
    <t>253-330-382-0000</t>
  </si>
  <si>
    <t xml:space="preserve">DE GUZMAN, JOHN KENNETH MITRA                                                                </t>
  </si>
  <si>
    <t>445-336-412-0000</t>
  </si>
  <si>
    <t xml:space="preserve">SY, PEARL JR. ATIENZA                                                                        </t>
  </si>
  <si>
    <t>301-273-369-0000</t>
  </si>
  <si>
    <t xml:space="preserve">ESTACIO, DIANNE CAMELLO                                                                      </t>
  </si>
  <si>
    <t>313-389-087-0000</t>
  </si>
  <si>
    <t xml:space="preserve">SAYEN, JOIE                                                                                  </t>
  </si>
  <si>
    <t>352-489-980-0000</t>
  </si>
  <si>
    <t xml:space="preserve">LOZANO, BON LOUISE FLORES                                                                    </t>
  </si>
  <si>
    <t>490-181-162-0000</t>
  </si>
  <si>
    <t xml:space="preserve">JAMILLA, NEIL BAYONON                                                                        </t>
  </si>
  <si>
    <t>425-758-489-0000</t>
  </si>
  <si>
    <t xml:space="preserve">NUQUI, ALDOUS CALMA                                                                          </t>
  </si>
  <si>
    <t>356-453-241-0000</t>
  </si>
  <si>
    <t xml:space="preserve">ESPINA, JOBERT REGALARIO                                                                     </t>
  </si>
  <si>
    <t>382-191-176-0000</t>
  </si>
  <si>
    <t xml:space="preserve">AGALOOS, JHON PAUL MATA                                                                      </t>
  </si>
  <si>
    <t>481-490-544-0000</t>
  </si>
  <si>
    <t xml:space="preserve">CADAY, MARK ANGELO TOTTO                                                                     </t>
  </si>
  <si>
    <t>253-612-398-0000</t>
  </si>
  <si>
    <t xml:space="preserve">FLORES, LESLIE BALBAS                                                                        </t>
  </si>
  <si>
    <t>437-907-845-0000</t>
  </si>
  <si>
    <t xml:space="preserve">ALIA, ARGEL SARUEDA                                                                          </t>
  </si>
  <si>
    <t>323-949-968-0000</t>
  </si>
  <si>
    <t xml:space="preserve">PESQUIRA, KENT DEPP ANG                                                                      </t>
  </si>
  <si>
    <t>349-051-209-0000</t>
  </si>
  <si>
    <t xml:space="preserve">GARCIA, EMMANUEL ADVINCULA                                                                   </t>
  </si>
  <si>
    <t>216-905-099-0000</t>
  </si>
  <si>
    <t xml:space="preserve">LANDINGIN, ROSSA VICTORIA MANGAHAS                                                           </t>
  </si>
  <si>
    <t>260-300-730-0000</t>
  </si>
  <si>
    <t xml:space="preserve">MONTEJO, RENZO LOUIS FAJILA                                                                  </t>
  </si>
  <si>
    <t>323-375-578-0000</t>
  </si>
  <si>
    <t xml:space="preserve">RODRIGUEZ, BEA PAULINA SAMBAT                                                                </t>
  </si>
  <si>
    <t>337-408-456-0000</t>
  </si>
  <si>
    <t xml:space="preserve">PANILAGAO, AL REY GUTIERREZ                                                                  </t>
  </si>
  <si>
    <t>357-946-503-0000</t>
  </si>
  <si>
    <t xml:space="preserve">VICENCIO, CELESTE SANTIAGO                                                                   </t>
  </si>
  <si>
    <t>209-643-853-0000</t>
  </si>
  <si>
    <t xml:space="preserve">VARGAS, JON-PAUL ERNEST BACAY                                                                </t>
  </si>
  <si>
    <t>346-623-081-0000</t>
  </si>
  <si>
    <t xml:space="preserve">SOCITO, CHRISTOPHER ESGRINA                                                                  </t>
  </si>
  <si>
    <t>236-943-620-0000</t>
  </si>
  <si>
    <t xml:space="preserve">CASTILLA, KRISTEL JANN GOMEZ                                                                 </t>
  </si>
  <si>
    <t>413-398-759-0000</t>
  </si>
  <si>
    <t xml:space="preserve">ALCANTARA, JOSHUA LEONEL ALVAREZ                                                             </t>
  </si>
  <si>
    <t>395-838-471-0000</t>
  </si>
  <si>
    <t xml:space="preserve">QUISMUNDO, JAY MAE ANN MARGALLO                                                              </t>
  </si>
  <si>
    <t>322-795-607-0000</t>
  </si>
  <si>
    <t xml:space="preserve">VILLANGCA, PATRICK ANDAN                                                                     </t>
  </si>
  <si>
    <t>341-912-751-0000</t>
  </si>
  <si>
    <t xml:space="preserve">CUNANAN, JONATHAN PRYCE PARAS                                                                </t>
  </si>
  <si>
    <t>355-115-339-0000</t>
  </si>
  <si>
    <t xml:space="preserve">GUINTO, GARRIE CASIM                                                                         </t>
  </si>
  <si>
    <t>349-767-505-0000</t>
  </si>
  <si>
    <t xml:space="preserve">CALLOS, REINIER JOHN DELA ROSA                                                               </t>
  </si>
  <si>
    <t>446-032-157-0000</t>
  </si>
  <si>
    <t xml:space="preserve">PASCUAL, ALLEN REY ASUNCION                                                                  </t>
  </si>
  <si>
    <t>200-884-089-0000</t>
  </si>
  <si>
    <t xml:space="preserve">TORRES, RAYVEN CAYABYAB                                                                      </t>
  </si>
  <si>
    <t>352-930-947-0000</t>
  </si>
  <si>
    <t xml:space="preserve">PARIS, RICHARD DATALIS                                                                       </t>
  </si>
  <si>
    <t>733-905-431-0000</t>
  </si>
  <si>
    <t xml:space="preserve">QUINTO, JOHN CALVIN LAYUG                                                                    </t>
  </si>
  <si>
    <t>621-771-894-0000</t>
  </si>
  <si>
    <t xml:space="preserve">VALDEPENA, JOHN PAULO SUALIBIO                                                               </t>
  </si>
  <si>
    <t>421-925-839-0000</t>
  </si>
  <si>
    <t xml:space="preserve">VILLARUZ, ANALOU ACUB                                                                        </t>
  </si>
  <si>
    <t>926-024-671-0000</t>
  </si>
  <si>
    <t xml:space="preserve">CONEJO, AARON KYLE TAPADO                                                                    </t>
  </si>
  <si>
    <t>383-000-605-0000</t>
  </si>
  <si>
    <t xml:space="preserve">VICEO, MANUEL DOMINIC BELGICA                                                                </t>
  </si>
  <si>
    <t>312-450-128-0000</t>
  </si>
  <si>
    <t xml:space="preserve">MANGUIAT, JIMUEL CANTERAS                                                                    </t>
  </si>
  <si>
    <t>347-621-624-0000</t>
  </si>
  <si>
    <t xml:space="preserve">VALENZUELA, VON ADRIAN GRATUITO                                                              </t>
  </si>
  <si>
    <t>352-409-634-0000</t>
  </si>
  <si>
    <t xml:space="preserve">DELA CRUZ, CHRISTIAN DALE SIGUA                                                              </t>
  </si>
  <si>
    <t>642-181-026-0000</t>
  </si>
  <si>
    <t xml:space="preserve">SERRANO, STEVEN DURAN                                                                        </t>
  </si>
  <si>
    <t>469-153-408-0000</t>
  </si>
  <si>
    <t xml:space="preserve">FELICIANO, KATRINA BALAS                                                                     </t>
  </si>
  <si>
    <t>317-500-275-0000</t>
  </si>
  <si>
    <t xml:space="preserve">SAMSON, SYBIL AUSTIN MAMURI                                                                  </t>
  </si>
  <si>
    <t>331-235-030-0000</t>
  </si>
  <si>
    <t xml:space="preserve">SACAREZ, IATIANA MENGUITO                                                                    </t>
  </si>
  <si>
    <t>292-508-242-0000</t>
  </si>
  <si>
    <t xml:space="preserve">BAGSIC, JOHN MARC CUARE                                                                      </t>
  </si>
  <si>
    <t>313-959-841-0000</t>
  </si>
  <si>
    <t xml:space="preserve">DORINGUEZ, JONATHAN NATAD                                                                    </t>
  </si>
  <si>
    <t>206-044-963-0000</t>
  </si>
  <si>
    <t xml:space="preserve">BONGHANOY, MICHELLE SABROSO                                                                  </t>
  </si>
  <si>
    <t>CP</t>
  </si>
  <si>
    <t>630-240-399-0000</t>
  </si>
  <si>
    <t xml:space="preserve">DE GUZMAN, JOHN KAIL SAMOY                                                                   </t>
  </si>
  <si>
    <t>386-321-635-0000</t>
  </si>
  <si>
    <t xml:space="preserve">SAJOL, LOUIE ALVIN BAJAO                                                                     </t>
  </si>
  <si>
    <t>612-757-985-0000</t>
  </si>
  <si>
    <t xml:space="preserve">INDINO, KATRINA DIONISIO                                                                     </t>
  </si>
  <si>
    <t>353-476-969-0000</t>
  </si>
  <si>
    <t xml:space="preserve">BAUTISTA, SHEMARIAH BAGALAWIS                                                                </t>
  </si>
  <si>
    <t>346-269-771-0000</t>
  </si>
  <si>
    <t xml:space="preserve">AVILA, FELIPE JR. GASCON                                                                     </t>
  </si>
  <si>
    <t>414-855-234-0000</t>
  </si>
  <si>
    <t xml:space="preserve">DARACAN, RON DANIELLE VILLANUEVA                                                             </t>
  </si>
  <si>
    <t>344-389-483-0000</t>
  </si>
  <si>
    <t xml:space="preserve">BANEZ, JHUN GINDOY                                                                           </t>
  </si>
  <si>
    <t>346-042-757-0000</t>
  </si>
  <si>
    <t xml:space="preserve">VILLARUZ, DORWARD FRANCISCO                                                                  </t>
  </si>
  <si>
    <t>000-000-000-0000</t>
  </si>
  <si>
    <t xml:space="preserve">WATANABE, TERUMI DEVESORA                                                                    </t>
  </si>
  <si>
    <t>323-339-819-0000</t>
  </si>
  <si>
    <t xml:space="preserve">RUEBENFELDT, NICOLE ANN HUERTAS                                                              </t>
  </si>
  <si>
    <t>199-202-494-0000</t>
  </si>
  <si>
    <t xml:space="preserve">DOYSABAS, LIMUEL RAMISO                                                                      </t>
  </si>
  <si>
    <t>720-936-756-0000</t>
  </si>
  <si>
    <t xml:space="preserve">NAZARIO, JOHN MAVERICK CASILA                                                                </t>
  </si>
  <si>
    <t>511-042-363-0000</t>
  </si>
  <si>
    <t>Grand Total :</t>
  </si>
  <si>
    <t>==================</t>
  </si>
  <si>
    <t>------------------</t>
  </si>
  <si>
    <t>END OF REPORT</t>
  </si>
  <si>
    <t>TIN : 000665304-0000</t>
  </si>
  <si>
    <t>WITHHOLDING AGENT'S NAME: NOVARE TECHNOLOGIES INC (FORMERLY MICRO-D INT INC)</t>
  </si>
  <si>
    <t>ABREA, JENNIFFER TOMANENG</t>
  </si>
  <si>
    <t>ALONZO, MAYNARD VILLAMARZO</t>
  </si>
  <si>
    <t>ANISLAG, MANOLITO BALINGCOS</t>
  </si>
  <si>
    <t>APOSTOL, MARK ANTHONY BUYCO</t>
  </si>
  <si>
    <t>ARANCILLO, MICHELLE RAMIREZ</t>
  </si>
  <si>
    <t>ARIZ, NICOLAS JR. REYES</t>
  </si>
  <si>
    <t>ARIZ, MA. CRISTINA BUENABAJO</t>
  </si>
  <si>
    <t>BALBIDO, RANDY LUCERNAS</t>
  </si>
  <si>
    <t>BUENAVENTURA, REYMON ALBEZA</t>
  </si>
  <si>
    <t>CARRIDO, JENNO OCTOBRE</t>
  </si>
  <si>
    <t>CRUZ, RAYMOND PARAFINA</t>
  </si>
  <si>
    <t>CODAL, RONIE DOLORITO</t>
  </si>
  <si>
    <t>DE GALA, EDUARDO RABARA</t>
  </si>
  <si>
    <t>DE GUZMAN, WILSON CAJUCOM</t>
  </si>
  <si>
    <t>NOYNAY, MICHAEL KEVIN DEL FIERRO</t>
  </si>
  <si>
    <t>DERECHO, TERESA PASQUIN</t>
  </si>
  <si>
    <t>ELLO, ANGELICA REJANO</t>
  </si>
  <si>
    <t>EPINO, BAYANI DEL VALLE</t>
  </si>
  <si>
    <t>ESTALANI, PAUL RYAN MACARIO</t>
  </si>
  <si>
    <t>GONZALES, TIMOTHY CAHATOL</t>
  </si>
  <si>
    <t>INTON, DEXTER ALEXANDER CASTELL</t>
  </si>
  <si>
    <t>LANDAGAN, ANGFE GODINEZ</t>
  </si>
  <si>
    <t>LAO, RIZELLE FERNANDEZ</t>
  </si>
  <si>
    <t>LEONARDO, MANOLITO ELUNA</t>
  </si>
  <si>
    <t>PARAS, RAISAN DE LA CUEVA</t>
  </si>
  <si>
    <t>MANZANO, APRIL GRACE SANIEL</t>
  </si>
  <si>
    <t>MANZON, EDITHA DE CHAVEZ</t>
  </si>
  <si>
    <t>MORELOS, ROVIC LAURENTE</t>
  </si>
  <si>
    <t>ONG, IVY CLARICE GUILLERMO</t>
  </si>
  <si>
    <t>PANGANDAMAN, CHARIZZE LOPEZ DE LEON</t>
  </si>
  <si>
    <t>PARAS, JOVENAL TAN</t>
  </si>
  <si>
    <t>PASCUBILLO, LEO ASUR</t>
  </si>
  <si>
    <t>PENAFLOR, ROBERTO JR. TRAMBULO</t>
  </si>
  <si>
    <t>QUINTOS, MARCIAL ABANES</t>
  </si>
  <si>
    <t>SALAMO, SUSAN VARGAS</t>
  </si>
  <si>
    <t>SIMON, KIMMUEL EZER AREVALO</t>
  </si>
  <si>
    <t>SUNGA, PAOLO ELIGIO LAGMAN</t>
  </si>
  <si>
    <t>VALENTINO, MICHAEL PATRICIO</t>
  </si>
  <si>
    <t>ESTRELLA, CATHERINE ETANG</t>
  </si>
  <si>
    <t>DACQUEL, IVORY SAMONTINA</t>
  </si>
  <si>
    <t>MONTALBAN, RAMEL MORADA</t>
  </si>
  <si>
    <t>SANTOS, JAYSON IGNACIO</t>
  </si>
  <si>
    <t>VASQUEZ, DIANA PENASY</t>
  </si>
  <si>
    <t>BRIGOLA, REANNE TACADENA</t>
  </si>
  <si>
    <t>BLAS, JOHN CARLO OCAMPO</t>
  </si>
  <si>
    <t>ALTUBAR, SHERYL LOU JAVIER</t>
  </si>
  <si>
    <t>VEROY, MARIA PAOLA FATIMA VILLARINO</t>
  </si>
  <si>
    <t>CANLAS, AARON JOHN SANCHEZ</t>
  </si>
  <si>
    <t>MAGOS, VALERIE MAE COFINO</t>
  </si>
  <si>
    <t>RAMOS, MARY GRACE CLAUDINE DE VIVAR</t>
  </si>
  <si>
    <t>MANALASTAS, MICHAEL ESPINEDA</t>
  </si>
  <si>
    <t>CRUZ, EUGENE DEXTER ATUEL</t>
  </si>
  <si>
    <t>SANTIAGO, JAMIE NETTE LEGASPI</t>
  </si>
  <si>
    <t>REGIO, EARLY MARIEH PUERTOLLANO</t>
  </si>
  <si>
    <t>DAMOLUAN, JHONALINE SANTOS</t>
  </si>
  <si>
    <t>TRINIDAD, RAMIL SANTIAGO</t>
  </si>
  <si>
    <t>CORRALES, MARK AARON AVINANTE</t>
  </si>
  <si>
    <t>BALAGAT, JOEL JEQUINTO</t>
  </si>
  <si>
    <t>SYPARRADO, PAUL BARANGAN</t>
  </si>
  <si>
    <t>BONDOC, RONA JOY LINSANGAN</t>
  </si>
  <si>
    <t>REYES, GIDEON ALEXANDER JOSEPH PALOMAR</t>
  </si>
  <si>
    <t>PADILLA, RYAN ARTHUR DE GUZMAN</t>
  </si>
  <si>
    <t>GARONG, JAMES IVAN SOLIS</t>
  </si>
  <si>
    <t>MANIGOS, REY ETANG</t>
  </si>
  <si>
    <t>SANTIAGO, MELISSA GUSTILO</t>
  </si>
  <si>
    <t>RESUELLO, CRIS LEAN MEJIA</t>
  </si>
  <si>
    <t>ROMERO, JHULIAN PATRICIA BALSACAO</t>
  </si>
  <si>
    <t>MARALLAG, NICOLO SAN PEDRO</t>
  </si>
  <si>
    <t>SARILLA, GERALDINE CARDONA</t>
  </si>
  <si>
    <t>LUCERO, CELESTE SANTOS</t>
  </si>
  <si>
    <t>ESCOSIA, LESTER ANSON ITALIA</t>
  </si>
  <si>
    <t>DE LAS ALAS, MARY JOY THERESE TIONG</t>
  </si>
  <si>
    <t>GONZALES, JOSEPH GABRIEL GARCIA</t>
  </si>
  <si>
    <t>FRANCO, MARK ANTHONY ELAMPARO</t>
  </si>
  <si>
    <t>RECTO, SHERRYL SAN JOSE</t>
  </si>
  <si>
    <t>PADILLA, MICHELLE MEDINA</t>
  </si>
  <si>
    <t>ABADILLA, MARIA ANDREA MIGNON SAN AGUSTIN</t>
  </si>
  <si>
    <t>PEREZ, JOHN NEIL BASMAYOR</t>
  </si>
  <si>
    <t>TUMANGDAY, RAMON BUYO</t>
  </si>
  <si>
    <t>DEL MUNDO, JAMES JR. BERDOS</t>
  </si>
  <si>
    <t>CONEJO, RODEL DELA CRUZ</t>
  </si>
  <si>
    <t>TOLETE, ROSALYN BEÑEGAS</t>
  </si>
  <si>
    <t>MOMO, LEIF DARELL RAMOS</t>
  </si>
  <si>
    <t>GALO, MARY GRACE TAGONG</t>
  </si>
  <si>
    <t>PITERO, NATHANIEL DE SAN JOSE</t>
  </si>
  <si>
    <t>GAN, LILY ANN TANDOC</t>
  </si>
  <si>
    <t>CUIZON, EUGENIO JR. BATOTO</t>
  </si>
  <si>
    <t>FABUNAN, BERNADETTE ALABAS</t>
  </si>
  <si>
    <t>SASAKI, DARREL LESCANO</t>
  </si>
  <si>
    <t>SACLAPUS, RONNEL TERETIT</t>
  </si>
  <si>
    <t>LABANDA, SATURN MERLEX BELARMA</t>
  </si>
  <si>
    <t>BACOLO, ARVYL PARAISO</t>
  </si>
  <si>
    <t>BELOSO, JOHN KARLO ALVAREZ</t>
  </si>
  <si>
    <t>QUANICO, VIRGILIO PAGADOR</t>
  </si>
  <si>
    <t>MENESES, JERICHO SAPORNA</t>
  </si>
  <si>
    <t>SEBUCAO, QUEENIE ROSE NAVAROZA</t>
  </si>
  <si>
    <t>EVANGELISTA, CRISTINE DELA CRUZ</t>
  </si>
  <si>
    <t>GOMEZ, JEFFREY ELLA</t>
  </si>
  <si>
    <t>ESCORPION, MA. AGNES LUHAN</t>
  </si>
  <si>
    <t>GELLAMUCHO, ROMAR AMBOY</t>
  </si>
  <si>
    <t>GUANZON, MATTHEW CLAVIO</t>
  </si>
  <si>
    <t>BAGAMASBAD, GABRIEL GONZALES</t>
  </si>
  <si>
    <t>MAGBOO, ROI MARVIN MERGINIO</t>
  </si>
  <si>
    <t>BERNARDINO, JOHN BOB TIMBULAN</t>
  </si>
  <si>
    <t>CARGULLO, FERLYN JOY CHAVEZ</t>
  </si>
  <si>
    <t>GADIA, JOHN JAPHETH MATIAS</t>
  </si>
  <si>
    <t>LITONJUA, RINA LADINES</t>
  </si>
  <si>
    <t>PRINCIPE, JOHN CHRISTOPHER TINA</t>
  </si>
  <si>
    <t>ORGA, PRECIOUS TICMAN</t>
  </si>
  <si>
    <t>VILLANUEVA, CEDRIC JOCSON</t>
  </si>
  <si>
    <t>LOPEZ, JENNIFER CLAVERIA</t>
  </si>
  <si>
    <t>TITONG, DEBBIE GRACE MERCURIO</t>
  </si>
  <si>
    <t>DUMAPIT, SARAH ARIELLE RAGASA</t>
  </si>
  <si>
    <t>SAMPANG, ALLEN JAY MARK FRANCO</t>
  </si>
  <si>
    <t>JIMENEZ, EUGENIO JR. DOCTOR</t>
  </si>
  <si>
    <t>CORDOVA, JEREMIAS GARAN</t>
  </si>
  <si>
    <t>DETITA, BARBARA JANE CABILUNA</t>
  </si>
  <si>
    <t>ARIZO, GLENN REJUSO</t>
  </si>
  <si>
    <t>DE GUIA, FRIEND SALVILLA</t>
  </si>
  <si>
    <t>MATELA, FRANCES ANNE REVANO</t>
  </si>
  <si>
    <t>CABUSLAY, MARY JOY LATE</t>
  </si>
  <si>
    <t>SILAHIS, ENRIQUETA PEREZ</t>
  </si>
  <si>
    <t>PINEDA, KIM REYNALD ARCENIO</t>
  </si>
  <si>
    <t>DE GUZMAN, RICHARD CASTEL</t>
  </si>
  <si>
    <t>CAGAOAN, KRISTIAN ANGELO AGUINALDO</t>
  </si>
  <si>
    <t>ZABALA, LOUIS ROMMEL BACERDO</t>
  </si>
  <si>
    <t>VALENCIA, MA. THERESA TIÑA</t>
  </si>
  <si>
    <t>DUCUT, MARVIN OLAZO</t>
  </si>
  <si>
    <t>DELA TORRE, ADRIAN COMPANERO</t>
  </si>
  <si>
    <t>MALUNES, PAULA TRIXIA AGABIN</t>
  </si>
  <si>
    <t>BIDUYA, NAPOLEON JR. ABEL</t>
  </si>
  <si>
    <t>ESPEJO, HANNAH MORALES</t>
  </si>
  <si>
    <t>ARNALDO, QUERUBIN GARLITOS</t>
  </si>
  <si>
    <t>SATOR, XERRNAN BARDINAS</t>
  </si>
  <si>
    <t>TOLENTINO, JEREMIAH SULIT</t>
  </si>
  <si>
    <t>JIMENEZ, VHALERY CASTRO</t>
  </si>
  <si>
    <t>BERNEL, KELVEN MOYA</t>
  </si>
  <si>
    <t>ABAQUITA, KENNETH CABUENAS</t>
  </si>
  <si>
    <t>EUGENIO, MARK CHRISTIAN SANCHEZ</t>
  </si>
  <si>
    <t>PEREZ, ANJON FRANZ DE LIRA</t>
  </si>
  <si>
    <t>YBANEZ, PAULREY RAYMUNDO</t>
  </si>
  <si>
    <t>ALVARADO, EDISON GAVIOLA</t>
  </si>
  <si>
    <t>AGPAOA, EMERALD ACERET</t>
  </si>
  <si>
    <t>PAUSA, JOSEPHINE MARIE JOSE</t>
  </si>
  <si>
    <t>SANTOS, RALPH ESTRADA</t>
  </si>
  <si>
    <t>ANISLAG, JOHN LOUIE SUMAPID</t>
  </si>
  <si>
    <t>ANGYANG, JULIE ANNE ABALOS</t>
  </si>
  <si>
    <t>BRAVO, RAYEL JOHN BEJERANO</t>
  </si>
  <si>
    <t>MANTICA, JASON DAVID PASCUAL</t>
  </si>
  <si>
    <t>LIRAY, JAMES BERLEY MAGDAONG</t>
  </si>
  <si>
    <t>HONRADO, MARIA JOE ANN JAYME</t>
  </si>
  <si>
    <t>DAAN, RIZA DELLOSA</t>
  </si>
  <si>
    <t>TORRES, ELMER ATENTO</t>
  </si>
  <si>
    <t>FLORES, MARKO YU</t>
  </si>
  <si>
    <t>REPUYAN, EROLL REMANDO</t>
  </si>
  <si>
    <t>MADAMBA, ARCELYN GARCIA</t>
  </si>
  <si>
    <t>CAANGAY, PAULO MIGUEL ALVARO</t>
  </si>
  <si>
    <t>MENDOZA, RICHARD LAYLAY</t>
  </si>
  <si>
    <t>REYES, SYMON CACHUELA</t>
  </si>
  <si>
    <t>DIONELA, MARIZ MIRAFLES</t>
  </si>
  <si>
    <t>SALANGSANG, LOUWELL KARL CHUATICO</t>
  </si>
  <si>
    <t>CALUPIG, JOUSSYD MENDOZA</t>
  </si>
  <si>
    <t>JARALBA, JOERIZA REAL</t>
  </si>
  <si>
    <t>EUGENIO, LUIJEN CRUZ</t>
  </si>
  <si>
    <t>AGUILANDO, PUBLIO JR. JUEGO</t>
  </si>
  <si>
    <t>ESCALANTE, HILMAR GACAYAN</t>
  </si>
  <si>
    <t>VEGA, NERILYN JOY DENOSO</t>
  </si>
  <si>
    <t>CAPARAS, CEDRIC LAYNO</t>
  </si>
  <si>
    <t>OÑAS, JENEVIEVE ORTEGA</t>
  </si>
  <si>
    <t>MIRA, QUEENA YINTEL GUMBAN</t>
  </si>
  <si>
    <t>VIVO, BERNADETTE REBUTIACO</t>
  </si>
  <si>
    <t>PEROY, JOHN KENNETH SEMERA</t>
  </si>
  <si>
    <t>DUMASING, BRYAN FAJARDO</t>
  </si>
  <si>
    <t>MEDEL, ALDRIN CAÑA</t>
  </si>
  <si>
    <t>MAGILLO, RAMIR JR. MENDEZ</t>
  </si>
  <si>
    <t>DAAN, MARVIE MALABATAN</t>
  </si>
  <si>
    <t>HALLIG, ROBIN FERDINAND BENITEZ</t>
  </si>
  <si>
    <t>REPOMPO, JESU REY BARRIGA</t>
  </si>
  <si>
    <t>CADANO  JR., CHARLITO CERRO</t>
  </si>
  <si>
    <t>GUILLERMO, ROMAR ALMENDRAL</t>
  </si>
  <si>
    <t>FERNANDEZ, ZANDER REIN IGNACIO</t>
  </si>
  <si>
    <t>GREZER, JAMES KENNETH ARCE</t>
  </si>
  <si>
    <t>CABRAL, JOSE PAULO CORDERO</t>
  </si>
  <si>
    <t>CEDO, LYKA CASIMIRO</t>
  </si>
  <si>
    <t>MONDIA, CINDY QUIJADA</t>
  </si>
  <si>
    <t>BENITEZ, RAY GUILLER CASAS</t>
  </si>
  <si>
    <t>BULTRON, JOVETTE ANGELO MONDIDO</t>
  </si>
  <si>
    <t>CABRIGAS, DARWIN BAAL</t>
  </si>
  <si>
    <t>MANSET, DENNIS BATI</t>
  </si>
  <si>
    <t xml:space="preserve">MACASPAC, JOHN KENNETH </t>
  </si>
  <si>
    <t>EVANGELISTA, ERICSON UY</t>
  </si>
  <si>
    <t>AGUILAR, REYNALDO JR. ORTEGA</t>
  </si>
  <si>
    <t>SUGANOB, CLARENCE NASH NICOLAS</t>
  </si>
  <si>
    <t>PASTOR, JERRY JR. ABES</t>
  </si>
  <si>
    <t>GOSGOLAN, RIEL JOSHUA JOSEPH</t>
  </si>
  <si>
    <t>GOMEZ, MA. LIZA DE GUZMAN</t>
  </si>
  <si>
    <t>ELBANBUENA, RONALD MISTULA</t>
  </si>
  <si>
    <t>RODRIGUEZ, MARK ERNIE SUSAS</t>
  </si>
  <si>
    <t>VILLACARLOS, JOVEN IGNACIO</t>
  </si>
  <si>
    <t>CAPIN, CRISNA AURORA</t>
  </si>
  <si>
    <t>DINEROS, NIXON REY BARRIENTOS</t>
  </si>
  <si>
    <t>CABIJE, PETER PAUL ENARIO</t>
  </si>
  <si>
    <t>BALAN, ALBERTO NUENA</t>
  </si>
  <si>
    <t>CRUZ, JOHNE EDZELLE BERSABAL</t>
  </si>
  <si>
    <t>DEOGRACIAS, REYMART MANLINCON</t>
  </si>
  <si>
    <t>CABRAL, EUGENIO GERALDO</t>
  </si>
  <si>
    <t>MANDANI, JOEL LARA</t>
  </si>
  <si>
    <t>ROCHA, FORTONATO JR. BABERA</t>
  </si>
  <si>
    <t>RAFAELA, KIMBERSON BATOMALAQUE</t>
  </si>
  <si>
    <t>LABOR, ALVIN REY JOHN SALCES</t>
  </si>
  <si>
    <t>ARE, ARVAN ESTEBAN</t>
  </si>
  <si>
    <t>MISA, ALJUN FLOYD EMNACEN</t>
  </si>
  <si>
    <t>RONDEZ, ROSEMARIE JAYME</t>
  </si>
  <si>
    <t>MENDOZA, JHENA LYN RAMIREZ</t>
  </si>
  <si>
    <t>SOROÑO, JIYU PANGATUNGAN</t>
  </si>
  <si>
    <t>JUSTINIANO, ARTHUR PEDROSA</t>
  </si>
  <si>
    <t>OREJUDOS, JOREL JALUAG</t>
  </si>
  <si>
    <t>ESTEVES, PIERCE BRYANT QUILLA</t>
  </si>
  <si>
    <t>HEMENTIZA, LOVITCH DICAH PABILLANO</t>
  </si>
  <si>
    <t>GAMAYA, DAN CHRISTIAN ARIT</t>
  </si>
  <si>
    <t>DELGADO, IFAN MANINGO</t>
  </si>
  <si>
    <t>GABONADA, ALDRICH MENDEZ</t>
  </si>
  <si>
    <t>BERNARDO, JAYMAR MUNSOD</t>
  </si>
  <si>
    <t>DE GUIA, ADRIELLE PANCHO</t>
  </si>
  <si>
    <t>LAPITAN, DOROTEO III NIOKO</t>
  </si>
  <si>
    <t>AQUINO, RODEL CHRISTIAN COMPERADA</t>
  </si>
  <si>
    <t>AUSTRIA, JOHN ALDRIN GAA</t>
  </si>
  <si>
    <t>NABOS, CRISTINE MAE ESPLANA</t>
  </si>
  <si>
    <t>URDANETA, DIONY LOUIE MANTUA</t>
  </si>
  <si>
    <t>LABONG, CHENEE ALVAREZ</t>
  </si>
  <si>
    <t>RALA, CHARISH JEN MENDEZABAL</t>
  </si>
  <si>
    <t>DASIG, CARL VICTOR BALUYUT</t>
  </si>
  <si>
    <t>DUMANGENG, KATHRINE JOY KITONG</t>
  </si>
  <si>
    <t>WONG, JAMES MATTHEW DONADO</t>
  </si>
  <si>
    <t>CORTUNA, IAN JAY MIRAFUENTES</t>
  </si>
  <si>
    <t>MOLE, NANETTE TABANAO</t>
  </si>
  <si>
    <t>MADRONA, FATIMA-Y PANTE</t>
  </si>
  <si>
    <t>LAUD, JERICO RAEL VILLANUEVA</t>
  </si>
  <si>
    <t>PORTILLO, YORADEL LASPRILLA</t>
  </si>
  <si>
    <t>MAZO, JOHN LEE FAA</t>
  </si>
  <si>
    <t xml:space="preserve">VICHOZO, MARK JOSEPH </t>
  </si>
  <si>
    <t>DIONISIO, JOHN ORLAND DELA CRUZ</t>
  </si>
  <si>
    <t>HERMOSURA, JOHN PAULO PILAPIL</t>
  </si>
  <si>
    <t>PARAISO, BENJIE PLACIDO</t>
  </si>
  <si>
    <t>LUNA, MARJORIE GASPAR</t>
  </si>
  <si>
    <t>DE GUZMAN, JEAN MATTHEW ERNEST ISLETA</t>
  </si>
  <si>
    <t>MICIANO, JOHN ERNEST RAYA</t>
  </si>
  <si>
    <t>SARMIENTO, JUNIEL ZIGS LAYESE</t>
  </si>
  <si>
    <t>DELOS SANTOS, JESSA BRAZIL</t>
  </si>
  <si>
    <t>BAGUIO, CHRISTINE MORCISA</t>
  </si>
  <si>
    <t>MEDRANA, BRYAN CABACUNGAN</t>
  </si>
  <si>
    <t>AUMAN, HARVEY PEPITO</t>
  </si>
  <si>
    <t>QUIRANTE, JANAH CELINE BALSACAO</t>
  </si>
  <si>
    <t>TAPALLA, CHRISTIAN JMHELLE CARLOTO</t>
  </si>
  <si>
    <t>DEOGRACIAS, RICARDO JR. MANLINCON</t>
  </si>
  <si>
    <t>CORTES, JOSEPH CAGATOLLA</t>
  </si>
  <si>
    <t>LAYSON, CHRISTIAN MCGYVER ENDAYA</t>
  </si>
  <si>
    <t>SAMONTE, APPLE LEA CADA</t>
  </si>
  <si>
    <t>CANTALEJO, MARY GRACE EBCAY</t>
  </si>
  <si>
    <t>HULAR, JUSTINE KENNETH HERNANDEZ</t>
  </si>
  <si>
    <t>PENULIAR, FRANCIS GENER FOGATA</t>
  </si>
  <si>
    <t>REYES, ELIEKA ELEZALDE</t>
  </si>
  <si>
    <t>DELOS REYES, MOISES REMORADO</t>
  </si>
  <si>
    <t>DOLOR, MARIONE QUIZON</t>
  </si>
  <si>
    <t>AMBRONA, KRISHA JANE VALENZUELA</t>
  </si>
  <si>
    <t>CUIZON, STEPHEN DE LA SERNA</t>
  </si>
  <si>
    <t>GUANZON, MARCO GERARD FOZ</t>
  </si>
  <si>
    <t>YAMBAO, CHRISTIAN ISRAEL SILVESTRE</t>
  </si>
  <si>
    <t>CABALLERO, ELAINE DIANE MANTAC</t>
  </si>
  <si>
    <t>VELASQUEZ, MA JESUSA CRISTINA EUGENIO</t>
  </si>
  <si>
    <t>CAMAGONG, JAMIE DE LUNA</t>
  </si>
  <si>
    <t>HUFANCIA, MARCO ALVAREZ</t>
  </si>
  <si>
    <t>GERONIMO, CHRIS JAMES RAYO</t>
  </si>
  <si>
    <t>COMON, JOHN ROEL LUMADA</t>
  </si>
  <si>
    <t>VILLANUEVA, ROBYSON ALMORO</t>
  </si>
  <si>
    <t>VALLESTERO, VOLTAIRE BERNARD DISTOR</t>
  </si>
  <si>
    <t>AYDALLA, TOMMY JR. TAROG</t>
  </si>
  <si>
    <t>PERALTA, RHONA MARIE CABALLAR</t>
  </si>
  <si>
    <t>RODRIGUEZ, RENEL MATTHEW TEC</t>
  </si>
  <si>
    <t>PAR, JOSHUA PAULO</t>
  </si>
  <si>
    <t>PASCUAL, GABRIELLE QUIRINO</t>
  </si>
  <si>
    <t>MALAQUE, RINO NOCOS</t>
  </si>
  <si>
    <t>ARANETA, NOAH DISTOR</t>
  </si>
  <si>
    <t>IZON, GRISELDA PACAÑA</t>
  </si>
  <si>
    <t>MANALO, ARISTOTLE JESUS RABANO</t>
  </si>
  <si>
    <t>SUMAMPONG, CHESTER PAUL PICARANA</t>
  </si>
  <si>
    <t>ROMERO, AILEEN MASANGYA</t>
  </si>
  <si>
    <t>GARCIA, JOHN JIREH BONGON</t>
  </si>
  <si>
    <t>BERMAL, EDWARD SIMON TARUC</t>
  </si>
  <si>
    <t>PURIFICACION, LUIS SOMERA</t>
  </si>
  <si>
    <t>OLE JR, NATHANIEL TAGANAS</t>
  </si>
  <si>
    <t>PARENAS, JHON RYAN MABALAY</t>
  </si>
  <si>
    <t>LOPEZ, MARK ANTHONY CAMARILLO</t>
  </si>
  <si>
    <t>BATALLONES, GERONIMO ABEL PAGCALIWAGAN</t>
  </si>
  <si>
    <t>ORIGENEZA, GERARDINE DAYO</t>
  </si>
  <si>
    <t>HISTORILLO, JHON RAFAEL GONZAGA</t>
  </si>
  <si>
    <t>SOHON, JERRY MIPARANUM</t>
  </si>
  <si>
    <t>ROM, FRANCIS LLOYD TUBOJAN</t>
  </si>
  <si>
    <t>BUE, LORENZ JOHN RIGO</t>
  </si>
  <si>
    <t>TAPAOAN, BRYAN DAVID PADUA</t>
  </si>
  <si>
    <t>CABUNGCAL, BENEDICT GONZALES</t>
  </si>
  <si>
    <t>TAPIA, EDRINEIL MIGUEL DEVERA</t>
  </si>
  <si>
    <t>DIONGLAY, GABRIEL LIZARDO</t>
  </si>
  <si>
    <t>CARLOS, CHARITO SAULOG</t>
  </si>
  <si>
    <t>TENA, RIESTER NICOLE VIDAL</t>
  </si>
  <si>
    <t>TRILLANA, JUSTIN SOLIVAR</t>
  </si>
  <si>
    <t>CRESENCIO, NICK CLARENCE PATUNGAN</t>
  </si>
  <si>
    <t>RAMOS, ERIC CONTILLO</t>
  </si>
  <si>
    <t>LAGUNDI, JOHNELLE CLARENCE GERALDEZ</t>
  </si>
  <si>
    <t>FARENAS, JOHN ROBERT FEGARIDO</t>
  </si>
  <si>
    <t>OROLFO, LITO CORDIS</t>
  </si>
  <si>
    <t>MENDOZA, JOSE CARLO TABERNILLA</t>
  </si>
  <si>
    <t>NAVALLO, JONATHAN BABAO</t>
  </si>
  <si>
    <t>TUGADE-OLAVIDES, RACHELL GRACE DOLLETE</t>
  </si>
  <si>
    <t>SULIT, WALTER FARRALES</t>
  </si>
  <si>
    <t>GO ROA, STEWART MAAGAD</t>
  </si>
  <si>
    <t>NIÑEL, MERLY ABASOLO</t>
  </si>
  <si>
    <t>ARCIPE, YANCY CAGATOLIA</t>
  </si>
  <si>
    <t>TANGONAN, JOEL MABANTA</t>
  </si>
  <si>
    <t>PAYLAGO, PATRICIA DE VILLA</t>
  </si>
  <si>
    <t>PAMO, JHEFERSON PANGLAO</t>
  </si>
  <si>
    <t>MANIMTIM, JOHN EDWARD MENDOZA</t>
  </si>
  <si>
    <t>YUMOL, YANCY TESTA</t>
  </si>
  <si>
    <t>PEREZ, DANIELLE ALYSSA DE GUIA</t>
  </si>
  <si>
    <t>CABOSOR, JOLLY JOY ADORABLE</t>
  </si>
  <si>
    <t>ONGSON, JERWAYNE LIM</t>
  </si>
  <si>
    <t>BAUTRO, KLIEN SANDREWH PORTILLO</t>
  </si>
  <si>
    <t>FUENTIVEROS, AILEEN ELPEDES</t>
  </si>
  <si>
    <t>CHAVEZ, ROGELIO  JR. TAGBAC</t>
  </si>
  <si>
    <t>ORPILLA, JOHN PAUL CASTILLO</t>
  </si>
  <si>
    <t>SANTIAGO, KYLE LEONARD DE JESUS</t>
  </si>
  <si>
    <t>ELLA, JOHN NOE TILAR</t>
  </si>
  <si>
    <t>MANUEL, LEO FRANCIS ARANA</t>
  </si>
  <si>
    <t>CABRERA, JANELLE SOLIS</t>
  </si>
  <si>
    <t>MIRANDA, RYAN GOZUN</t>
  </si>
  <si>
    <t>BAGTAS, PAUL ROMAN CRUZ</t>
  </si>
  <si>
    <t>STO. DOMINGO, JOEL CORTEZ</t>
  </si>
  <si>
    <t>DORADO, FERDINAND DUGAYO</t>
  </si>
  <si>
    <t>SAYLON, SHYMROCK DRAMAYO</t>
  </si>
  <si>
    <t>DEDICATORIA, JIMUEL ABRIAM</t>
  </si>
  <si>
    <t>GAYATGAY, MARK KENNETH RILLERA</t>
  </si>
  <si>
    <t>MENDOZA, AARON THOMAS SCHNEIDER</t>
  </si>
  <si>
    <t>BASILIO, JHYRRINE BAUTISTA</t>
  </si>
  <si>
    <t>EBIS, AELEEN MAE SALAZAR</t>
  </si>
  <si>
    <t>CARPIO, JANINA JASMIN ARSENIO</t>
  </si>
  <si>
    <t>GUBATON, RENIEL ARRIOLA</t>
  </si>
  <si>
    <t>NIANGAR, ADRIAN DE BELEN</t>
  </si>
  <si>
    <t>ALEJO, JONAH MAE VILDA</t>
  </si>
  <si>
    <t>RAQUEL, JERRICK NUNGAY</t>
  </si>
  <si>
    <t>LUGTU, IAN ROY BARRERAS</t>
  </si>
  <si>
    <t>GABRANG, CEDRIC ARCEGA</t>
  </si>
  <si>
    <t>CENTENO, MARISOL LUDOVICE</t>
  </si>
  <si>
    <t>BUGUINA, HONEY MAYE ALDERITE</t>
  </si>
  <si>
    <t>PANLILIO, EMMANUEL MIKEL ENRILE</t>
  </si>
  <si>
    <t>ALMEYDA, RONALYN DESEO</t>
  </si>
  <si>
    <t>CATALAN, ALEXIS JOHN BLAKE MAGAYON</t>
  </si>
  <si>
    <t>ILAC, GIANCARLO ABELLA</t>
  </si>
  <si>
    <t>IRAOLA, RYAN PONTILLAS</t>
  </si>
  <si>
    <t>UBAS, JAKE ANDREI PAROGINOG</t>
  </si>
  <si>
    <t>GUILLERMO, JARED LANDICHO</t>
  </si>
  <si>
    <t>CHUN, CHLOWIE ANNE CRISTE</t>
  </si>
  <si>
    <t>ROSALES, KIMBERLY MILAN</t>
  </si>
  <si>
    <t>ROBOSA, JEWEL CARANDO</t>
  </si>
  <si>
    <t>MIRANDA, STEVE MARK MUTYA</t>
  </si>
  <si>
    <t>BADILLO, MARY GRACE IBARRA</t>
  </si>
  <si>
    <t>REYES, ARVIN LOLO</t>
  </si>
  <si>
    <t>ROSARIO, EUNICE JANE UTANES</t>
  </si>
  <si>
    <t>MANALO, JEILEA MAE GUTIERREZ</t>
  </si>
  <si>
    <t>JARQUIO, JEREMIAH ALCANTARA</t>
  </si>
  <si>
    <t>TUPLANO, CARL JOECEL TAPEL</t>
  </si>
  <si>
    <t>BERNADOS, ROBIN GAPAYAO</t>
  </si>
  <si>
    <t>CASIGURAN, RODEL BACOSA</t>
  </si>
  <si>
    <t>TAMAYO, EMIL GLEN CABARDO</t>
  </si>
  <si>
    <t>CASIÑO, JURGYL BAHIAN</t>
  </si>
  <si>
    <t>JAILANI, AL-RADZMEL BAGUNDANG</t>
  </si>
  <si>
    <t>BROÑOLA, MARC GIAN DODOY</t>
  </si>
  <si>
    <t>NAVERA, ROBIN JOSEPH LOGENIO</t>
  </si>
  <si>
    <t>PAULE, ARTHUR KABILING</t>
  </si>
  <si>
    <t>AROZADO, ANTHONY POL ALMODIN</t>
  </si>
  <si>
    <t>GAJANA, KURTH ANTHONY LOPEZ</t>
  </si>
  <si>
    <t>MANGOMPIT, MICHAEL FABUGAIS</t>
  </si>
  <si>
    <t>FABREGAR, WINSON PAUL AIBANIA</t>
  </si>
  <si>
    <t>GASTON, JUAN AGOSTO GUADALUPE</t>
  </si>
  <si>
    <t>MORATALLA, MICHAEL TOMULTO</t>
  </si>
  <si>
    <t>VILLETE, MARY ROSE FEROLINO</t>
  </si>
  <si>
    <t xml:space="preserve">FLORES, SANDRA CHRISTINE  </t>
  </si>
  <si>
    <t>GRENGIN, JULIETO JR. MADELO</t>
  </si>
  <si>
    <t>CLEMENTE, ALVIN FLOYD CARLOS</t>
  </si>
  <si>
    <t>TAGATA, ELJAY RAMOS</t>
  </si>
  <si>
    <t>APOLINARIO, REY ANGELO LLOSA</t>
  </si>
  <si>
    <t>DELIMA, JED DENAYA</t>
  </si>
  <si>
    <t>ALSINO, ALVIN BELOKEN</t>
  </si>
  <si>
    <t>LAYAM, ANDREE JR. ENCLONAR</t>
  </si>
  <si>
    <t>ESTRADA, RAINER SABAL</t>
  </si>
  <si>
    <t>AMBROSIO, PHILIP JAMES ANDRADA</t>
  </si>
  <si>
    <t>LOPEZ, RENZ CARLO INTERIOR</t>
  </si>
  <si>
    <t>DAPAC, JENHEL REVELO</t>
  </si>
  <si>
    <t>ABAD, GENESIS REY MEDIJA</t>
  </si>
  <si>
    <t>DE CASTRO, FRANKLIN JOHN DARAY</t>
  </si>
  <si>
    <t>VICENTE, JOHN LORD SOLIS</t>
  </si>
  <si>
    <t>ROMERO, SAMANTHA BALSACAO</t>
  </si>
  <si>
    <t>ACUZAR, ROMMEL TAGA-AN</t>
  </si>
  <si>
    <t>CUERING, EDGAR TICON</t>
  </si>
  <si>
    <t>REBARBAS, ANDREW BARRAL</t>
  </si>
  <si>
    <t>MANGUSSAD, DAVID LYSEN CATALUÑA</t>
  </si>
  <si>
    <t>SAEL, ALJON FRED PEPE</t>
  </si>
  <si>
    <t>ALFORQUE, CARL SHEMRICK CADOSALES</t>
  </si>
  <si>
    <t>BACOTOT, EDD MYCON PEOPO ENTERINA</t>
  </si>
  <si>
    <t>EUGENIO, JOHN DANIEL TADEO</t>
  </si>
  <si>
    <t>SABATIN, MARK JOHN SORIA</t>
  </si>
  <si>
    <t>BENITEZ, JAMES RYAN VILLARIAS</t>
  </si>
  <si>
    <t>DOMINGO-ALEJO, PRINCESS ANN ROSELLE</t>
  </si>
  <si>
    <t>NAZARIO, JOHN MAVERICK CASILA</t>
  </si>
  <si>
    <t>WONG, WYNDALE PUA</t>
  </si>
  <si>
    <t>OGALE, RACHELLE GALLARDO</t>
  </si>
  <si>
    <t>REYES, VERNA BANAAG</t>
  </si>
  <si>
    <t>BARBON, DONNILLYN JOY JORDAN</t>
  </si>
  <si>
    <t>VENEZUELA, MA. VICTORIA JOSEFA MAGALLANES</t>
  </si>
  <si>
    <t>ESCASA, AL TORRES</t>
  </si>
  <si>
    <t>VENTOCILLA, MARIA ARIANE TABLANTE</t>
  </si>
  <si>
    <t>HERNANDEZ, VICTORIA PAULINE OCAMPO</t>
  </si>
  <si>
    <t>CEÑIDOZA, MALVIN RALPH NUÑEZ</t>
  </si>
  <si>
    <t>ARCILLA-ISIP, NICKLAUS CRISPINA LANUZO</t>
  </si>
  <si>
    <t>SORIANO, JOHN PAUL BERMUDEZ</t>
  </si>
  <si>
    <t>LOPEZ, MELVIN AGUILAR</t>
  </si>
  <si>
    <t>ABAD, GENEVIEVE DAULONG</t>
  </si>
  <si>
    <t>BERMUDEZ, CARIZZA GONZALES</t>
  </si>
  <si>
    <t>RANCES, PRINCESS DIANE APODACA</t>
  </si>
  <si>
    <t>LOTA, XYRENE BEROIN</t>
  </si>
  <si>
    <t>CO, LORETTA ERASGA</t>
  </si>
  <si>
    <t>VIERNES, KRISTIAN CEDRIK ALONZO</t>
  </si>
  <si>
    <t>LASCANO, RAYLA BEATRIZ BONSOL</t>
  </si>
  <si>
    <t>MANALO, JOSEPH BRIAN SIA</t>
  </si>
  <si>
    <t>BALOLONG, PETER JERICK JUSTINIANO</t>
  </si>
  <si>
    <t>ESCOBAR, CINDY TOMAS</t>
  </si>
  <si>
    <t>LAIG, JOANNE MARIE ENRIQUEZ</t>
  </si>
  <si>
    <t>LAIG, GERARDO MANUEL DE MESA</t>
  </si>
  <si>
    <t>MATEUM, KARLO VINCENZO SORIANO</t>
  </si>
  <si>
    <t>RAMIREZ, PHILLIP JOSEPH LAGO</t>
  </si>
  <si>
    <t>ONG, JESUS RECTER ADAMS</t>
  </si>
  <si>
    <t>MANALANG, MARIA CHRISTINA VICTORIA MORENO</t>
  </si>
  <si>
    <t>ABALOS, PAULO FRANCISCO FENIX</t>
  </si>
  <si>
    <t>R</t>
  </si>
  <si>
    <t>P</t>
  </si>
  <si>
    <t>940-124-250-0000</t>
  </si>
  <si>
    <t>223-308-275-0000</t>
  </si>
  <si>
    <t>151-485-940-0000</t>
  </si>
  <si>
    <t>221-532-983-0000</t>
  </si>
  <si>
    <t>238-194-345-0000</t>
  </si>
  <si>
    <t>172-077-315-0000</t>
  </si>
  <si>
    <t>149-325-165-0000</t>
  </si>
  <si>
    <t>198-762-610-0000</t>
  </si>
  <si>
    <t>200-492-044-0000</t>
  </si>
  <si>
    <t>314-437-691-0000</t>
  </si>
  <si>
    <t>912-210-164-0000</t>
  </si>
  <si>
    <t>247-055-195-0000</t>
  </si>
  <si>
    <t>160-922-798-0000</t>
  </si>
  <si>
    <t>219-556-507-0000</t>
  </si>
  <si>
    <t>272-029-672-0000</t>
  </si>
  <si>
    <t>154-208-398-0000</t>
  </si>
  <si>
    <t>453-128-412-0000</t>
  </si>
  <si>
    <t>198-435-000-0000</t>
  </si>
  <si>
    <t>256-025-494-0000</t>
  </si>
  <si>
    <t>202-363-832-0000</t>
  </si>
  <si>
    <t>172-608-921-0000</t>
  </si>
  <si>
    <t>912-200-009-0000</t>
  </si>
  <si>
    <t>932-920-706-0000</t>
  </si>
  <si>
    <t>170-157-958-0000</t>
  </si>
  <si>
    <t>412-506-747-0000</t>
  </si>
  <si>
    <t>239-321-507-0000</t>
  </si>
  <si>
    <t>147-297-230-0000</t>
  </si>
  <si>
    <t>324-962-767-0000</t>
  </si>
  <si>
    <t>449-483-951-0000</t>
  </si>
  <si>
    <t>308-526-906-0000</t>
  </si>
  <si>
    <t>206-327-702-0000</t>
  </si>
  <si>
    <t>205-344-552-0000</t>
  </si>
  <si>
    <t>156-116-141-0000</t>
  </si>
  <si>
    <t>910-177-014-0000</t>
  </si>
  <si>
    <t>159-702-150-0000</t>
  </si>
  <si>
    <t>227-140-977-0000</t>
  </si>
  <si>
    <t>201-399-254-0000</t>
  </si>
  <si>
    <t>196-741-400-0000</t>
  </si>
  <si>
    <t>278-153-358-0000</t>
  </si>
  <si>
    <t>247-068-546-0000</t>
  </si>
  <si>
    <t>912-320-353-0000</t>
  </si>
  <si>
    <t>280-237-130-0000</t>
  </si>
  <si>
    <t>303-176-769-0000</t>
  </si>
  <si>
    <t>328-730-002-0000</t>
  </si>
  <si>
    <t>433-694-220-0000</t>
  </si>
  <si>
    <t>209-085-901-0000</t>
  </si>
  <si>
    <t>259-304-367-0000</t>
  </si>
  <si>
    <t>332-815-413-0000</t>
  </si>
  <si>
    <t>279-291-437-0000</t>
  </si>
  <si>
    <t>263-349-043-0000</t>
  </si>
  <si>
    <t>210-773-992-0000</t>
  </si>
  <si>
    <t>271-508-529-0000</t>
  </si>
  <si>
    <t>246-439-193-0000</t>
  </si>
  <si>
    <t>718-193-951-0000</t>
  </si>
  <si>
    <t>303-024-846-0000</t>
  </si>
  <si>
    <t>221-008-902-0000</t>
  </si>
  <si>
    <t>273-297-445-0000</t>
  </si>
  <si>
    <t>189-857-075-0000</t>
  </si>
  <si>
    <t>912-516-993-0000</t>
  </si>
  <si>
    <t>232-927-786-0000</t>
  </si>
  <si>
    <t>318-148-525-0000</t>
  </si>
  <si>
    <t>208-994-125-0000</t>
  </si>
  <si>
    <t>946-487-638-0000</t>
  </si>
  <si>
    <t>271-249-137-0000</t>
  </si>
  <si>
    <t>946-413-982-0000</t>
  </si>
  <si>
    <t>220-111-161-0000</t>
  </si>
  <si>
    <t>400-062-067-0000</t>
  </si>
  <si>
    <t>926-144-452-0000</t>
  </si>
  <si>
    <t>171-707-254-0000</t>
  </si>
  <si>
    <t>251-173-408-0000</t>
  </si>
  <si>
    <t>284-893-722-0000</t>
  </si>
  <si>
    <t>331-336-991-0000</t>
  </si>
  <si>
    <t>321-033-757-0000</t>
  </si>
  <si>
    <t>500-290-213-0000</t>
  </si>
  <si>
    <t>303-548-115-0000</t>
  </si>
  <si>
    <t>248-813-185-0000</t>
  </si>
  <si>
    <t>302-765-532-0000</t>
  </si>
  <si>
    <t>318-756-770-0000</t>
  </si>
  <si>
    <t>206-328-384-0000</t>
  </si>
  <si>
    <t>277-859-249-0000</t>
  </si>
  <si>
    <t>184-619-904-0000</t>
  </si>
  <si>
    <t>314-324-512-0000</t>
  </si>
  <si>
    <t>421-565-046-0000</t>
  </si>
  <si>
    <t>294-125-128-0000</t>
  </si>
  <si>
    <t>326-776-111-0000</t>
  </si>
  <si>
    <t>212-827-671-0000</t>
  </si>
  <si>
    <t>227-875-894-0000</t>
  </si>
  <si>
    <t>297-620-015-0000</t>
  </si>
  <si>
    <t>312-826-995-0000</t>
  </si>
  <si>
    <t>309-842-430-0000</t>
  </si>
  <si>
    <t>217-177-139-0000</t>
  </si>
  <si>
    <t>341-831-010-0000</t>
  </si>
  <si>
    <t>431-734-057-0000</t>
  </si>
  <si>
    <t>459-884-092-0000</t>
  </si>
  <si>
    <t>713-709-526-0000</t>
  </si>
  <si>
    <t>362-348-144-0000</t>
  </si>
  <si>
    <t>260-896-398-0000</t>
  </si>
  <si>
    <t>310-195-490-0000</t>
  </si>
  <si>
    <t>146-703-420-0000</t>
  </si>
  <si>
    <t>401-568-085-0000</t>
  </si>
  <si>
    <t>301-058-363-0000</t>
  </si>
  <si>
    <t>444-390-064-0000</t>
  </si>
  <si>
    <t>725-638-399-0000</t>
  </si>
  <si>
    <t>414-338-995-0000</t>
  </si>
  <si>
    <t>312-700-698-0000</t>
  </si>
  <si>
    <t>294-188-348-0000</t>
  </si>
  <si>
    <t>444-363-358-0000</t>
  </si>
  <si>
    <t>341-946-584-0000</t>
  </si>
  <si>
    <t>704-022-481-0000</t>
  </si>
  <si>
    <t>420-832-526-0000</t>
  </si>
  <si>
    <t>706-798-200-0000</t>
  </si>
  <si>
    <t>301-931-518-0000</t>
  </si>
  <si>
    <t>327-695-301-0000</t>
  </si>
  <si>
    <t>317-484-105-0000</t>
  </si>
  <si>
    <t>345-500-691-0000</t>
  </si>
  <si>
    <t>308-531-764-0000</t>
  </si>
  <si>
    <t>260-716-678-0000</t>
  </si>
  <si>
    <t>305-355-900-0000</t>
  </si>
  <si>
    <t>312-553-196-0000</t>
  </si>
  <si>
    <t>486-373-070-0000</t>
  </si>
  <si>
    <t>349-199-377-0000</t>
  </si>
  <si>
    <t>475-235-548-0000</t>
  </si>
  <si>
    <t>315-180-869-0000</t>
  </si>
  <si>
    <t>917-995-614-0000</t>
  </si>
  <si>
    <t>318-908-455-0000</t>
  </si>
  <si>
    <t>321-276-299-0000</t>
  </si>
  <si>
    <t>726-080-468-0000</t>
  </si>
  <si>
    <t>319-789-372-0000</t>
  </si>
  <si>
    <t>713-607-231-0000</t>
  </si>
  <si>
    <t>384-927-257-0000</t>
  </si>
  <si>
    <t>473-773-729-0000</t>
  </si>
  <si>
    <t>273-274-762-0000</t>
  </si>
  <si>
    <t>331-890-004-0000</t>
  </si>
  <si>
    <t>320-399-311-0000</t>
  </si>
  <si>
    <t>381-981-343-0000</t>
  </si>
  <si>
    <t>724-027-934-0000</t>
  </si>
  <si>
    <t>423-289-885-0000</t>
  </si>
  <si>
    <t>239-107-696-0000</t>
  </si>
  <si>
    <t>669-093-853-0000</t>
  </si>
  <si>
    <t>343-308-453-0000</t>
  </si>
  <si>
    <t>488-605-599-0000</t>
  </si>
  <si>
    <t>414-740-030-0000</t>
  </si>
  <si>
    <t>408-820-528-0000</t>
  </si>
  <si>
    <t>443-598-197-0000</t>
  </si>
  <si>
    <t>448-887-289-0000</t>
  </si>
  <si>
    <t>608-834-185-0000</t>
  </si>
  <si>
    <t>319-117-238-0000</t>
  </si>
  <si>
    <t>506-594-230-0000</t>
  </si>
  <si>
    <t>506-592-769-0000</t>
  </si>
  <si>
    <t>327-898-007-0000</t>
  </si>
  <si>
    <t>912-890-848-0000</t>
  </si>
  <si>
    <t>317-906-158-0000</t>
  </si>
  <si>
    <t>203-826-665-0000</t>
  </si>
  <si>
    <t>500-488-254-0000</t>
  </si>
  <si>
    <t>243-894-291-0000</t>
  </si>
  <si>
    <t>213-418-669-0000</t>
  </si>
  <si>
    <t>327-917-207-0000</t>
  </si>
  <si>
    <t>409-013-096-0000</t>
  </si>
  <si>
    <t>293-632-448-0000</t>
  </si>
  <si>
    <t>317-185-870-0000</t>
  </si>
  <si>
    <t>465-583-854-0000</t>
  </si>
  <si>
    <t>470-635-731-0000</t>
  </si>
  <si>
    <t>400-233-369-0000</t>
  </si>
  <si>
    <t>298-499-981-0000</t>
  </si>
  <si>
    <t>341-478-972-0000</t>
  </si>
  <si>
    <t>743-814-645-0000</t>
  </si>
  <si>
    <t>353-692-532-0000</t>
  </si>
  <si>
    <t>454-815-606-0000</t>
  </si>
  <si>
    <t>242-628-921-0000</t>
  </si>
  <si>
    <t>462-414-275-0000</t>
  </si>
  <si>
    <t>303-813-690-0000</t>
  </si>
  <si>
    <t>328-099-272-0000</t>
  </si>
  <si>
    <t>340-683-126-0000</t>
  </si>
  <si>
    <t>309-553-568-0000</t>
  </si>
  <si>
    <t>747-494-388-0000</t>
  </si>
  <si>
    <t>340-828-186-0000</t>
  </si>
  <si>
    <t>317-728-198-0000</t>
  </si>
  <si>
    <t>435-545-400-0000</t>
  </si>
  <si>
    <t>613-855-687-0000</t>
  </si>
  <si>
    <t>489-193-821-0000</t>
  </si>
  <si>
    <t>510-553-332-0000</t>
  </si>
  <si>
    <t>363-650-734-0000</t>
  </si>
  <si>
    <t>447-225-286-0000</t>
  </si>
  <si>
    <t>620-881-002-0000</t>
  </si>
  <si>
    <t>328-664-560-0000</t>
  </si>
  <si>
    <t>620-134-522-0000</t>
  </si>
  <si>
    <t>509-433-147-0000</t>
  </si>
  <si>
    <t>308-586-095-0000</t>
  </si>
  <si>
    <t>452-238-564-0000</t>
  </si>
  <si>
    <t>247-995-848-0000</t>
  </si>
  <si>
    <t>600-127-382-0000</t>
  </si>
  <si>
    <t>292-187-524-0000</t>
  </si>
  <si>
    <t>224-967-571-0000</t>
  </si>
  <si>
    <t>315-299-436-0000</t>
  </si>
  <si>
    <t>216-973-370-0000</t>
  </si>
  <si>
    <t>754-305-312-0000</t>
  </si>
  <si>
    <t>317-634-159-0000</t>
  </si>
  <si>
    <t>318-824-891-0000</t>
  </si>
  <si>
    <t>347-631-683-0000</t>
  </si>
  <si>
    <t>274-269-755-0000</t>
  </si>
  <si>
    <t>480-026-165-0000</t>
  </si>
  <si>
    <t>308-270-812-0000</t>
  </si>
  <si>
    <t>373-085-272-0000</t>
  </si>
  <si>
    <t>342-539-958-0000</t>
  </si>
  <si>
    <t>327-671-927-0000</t>
  </si>
  <si>
    <t>315-350-864-0000</t>
  </si>
  <si>
    <t>232-485-927-0000</t>
  </si>
  <si>
    <t>736-129-843-0000</t>
  </si>
  <si>
    <t>250-675-862-0000</t>
  </si>
  <si>
    <t>381-773-641-0000</t>
  </si>
  <si>
    <t>436-900-294-0000</t>
  </si>
  <si>
    <t>500-056-444-0000</t>
  </si>
  <si>
    <t>619-814-327-0000</t>
  </si>
  <si>
    <t>333-793-410-0000</t>
  </si>
  <si>
    <t>381-435-973-0000</t>
  </si>
  <si>
    <t>714-530-549-0000</t>
  </si>
  <si>
    <t>345-622-312-0000</t>
  </si>
  <si>
    <t>619-815-481-0000</t>
  </si>
  <si>
    <t>418-041-110-0000</t>
  </si>
  <si>
    <t>353-877-201-0000</t>
  </si>
  <si>
    <t>247-311-597-0000</t>
  </si>
  <si>
    <t>626-215-456-0000</t>
  </si>
  <si>
    <t>511-587-418-0000</t>
  </si>
  <si>
    <t>609-330-218-0000</t>
  </si>
  <si>
    <t>909-369-282-0000</t>
  </si>
  <si>
    <t>433-882-274-0000</t>
  </si>
  <si>
    <t>623-777-539-0000</t>
  </si>
  <si>
    <t>615-040-953-0000</t>
  </si>
  <si>
    <t>384-306-106-0000</t>
  </si>
  <si>
    <t>395-845-037-0000</t>
  </si>
  <si>
    <t>502-030-897-0000</t>
  </si>
  <si>
    <t>474-173-581-0000</t>
  </si>
  <si>
    <t>627-154-897-0000</t>
  </si>
  <si>
    <t>615-981-497-0000</t>
  </si>
  <si>
    <t>468-292-143-0000</t>
  </si>
  <si>
    <t>320-105-529-0000</t>
  </si>
  <si>
    <t>500-342-918-0000</t>
  </si>
  <si>
    <t>392-987-642-0000</t>
  </si>
  <si>
    <t>261-611-555-0000</t>
  </si>
  <si>
    <t>276-489-145-0000</t>
  </si>
  <si>
    <t>511-110-047-0000</t>
  </si>
  <si>
    <t>263-066-749-0000</t>
  </si>
  <si>
    <t>636-499-719-0000</t>
  </si>
  <si>
    <t>619-843-278-0000</t>
  </si>
  <si>
    <t>632-125-958-0000</t>
  </si>
  <si>
    <t>636-501-844-0000</t>
  </si>
  <si>
    <t>633-035-199-0000</t>
  </si>
  <si>
    <t>632-405-406-0000</t>
  </si>
  <si>
    <t>633-034-294-0000</t>
  </si>
  <si>
    <t>636-506-495-0000</t>
  </si>
  <si>
    <t>325-008-695-0000</t>
  </si>
  <si>
    <t>242-548-599-0000</t>
  </si>
  <si>
    <t>319-231-099-0000</t>
  </si>
  <si>
    <t>437-953-917-0000</t>
  </si>
  <si>
    <t>321-532-180-0000</t>
  </si>
  <si>
    <t>636-513-678-0000</t>
  </si>
  <si>
    <t>634-633-638-0000</t>
  </si>
  <si>
    <t>505-671-835-0000</t>
  </si>
  <si>
    <t>249-902-310-0000</t>
  </si>
  <si>
    <t>746-138-468-0000</t>
  </si>
  <si>
    <t>350-822-881-0000</t>
  </si>
  <si>
    <t>511-486-766-0000</t>
  </si>
  <si>
    <t>394-010-123-0000</t>
  </si>
  <si>
    <t>642-180-937-0000</t>
  </si>
  <si>
    <t>642-259-267-0000</t>
  </si>
  <si>
    <t>248-045-869-0000</t>
  </si>
  <si>
    <t>469-106-969-0000</t>
  </si>
  <si>
    <t>622-564-498-0000</t>
  </si>
  <si>
    <t>237-234-253-0000</t>
  </si>
  <si>
    <t>641-974-835-0000</t>
  </si>
  <si>
    <t>358-141-969-0000</t>
  </si>
  <si>
    <t>638-729-738-0000</t>
  </si>
  <si>
    <t>321-163-711-0000</t>
  </si>
  <si>
    <t>638-619-807-0000</t>
  </si>
  <si>
    <t>315-495-415-0000</t>
  </si>
  <si>
    <t>773-331-312-0000</t>
  </si>
  <si>
    <t>339-303-702-0000</t>
  </si>
  <si>
    <t>181-365-806-0000</t>
  </si>
  <si>
    <t>229-038-080-0000</t>
  </si>
  <si>
    <t>750-153-868-0000</t>
  </si>
  <si>
    <t>451-259-839-0000</t>
  </si>
  <si>
    <t>307-055-452-0000</t>
  </si>
  <si>
    <t>394-678-840-0000</t>
  </si>
  <si>
    <t>338-148-339-0000</t>
  </si>
  <si>
    <t>941-447-960-0000</t>
  </si>
  <si>
    <t>344-346-765-0000</t>
  </si>
  <si>
    <t>101-522-823-0000</t>
  </si>
  <si>
    <t>648-082-356-0000</t>
  </si>
  <si>
    <t>439-901-978-0000</t>
  </si>
  <si>
    <t>215-111-377-0000</t>
  </si>
  <si>
    <t>631-336-226-0000</t>
  </si>
  <si>
    <t>616-344-351-0000</t>
  </si>
  <si>
    <t>178-659-032-0000</t>
  </si>
  <si>
    <t>624-208-224-0000</t>
  </si>
  <si>
    <t>361-997-312-0000</t>
  </si>
  <si>
    <t>724-697-573-0000</t>
  </si>
  <si>
    <t>275-358-580-0000</t>
  </si>
  <si>
    <t>712-339-723-0000</t>
  </si>
  <si>
    <t>351-286-405-0000</t>
  </si>
  <si>
    <t>333-435-702-0000</t>
  </si>
  <si>
    <t>327-907-199-0000</t>
  </si>
  <si>
    <t>770-060-198-0000</t>
  </si>
  <si>
    <t>320-105-658-0000</t>
  </si>
  <si>
    <t>511-160-672-0000</t>
  </si>
  <si>
    <t>633-674-477-0000</t>
  </si>
  <si>
    <t>458-599-501-0000</t>
  </si>
  <si>
    <t>204-991-255-0000</t>
  </si>
  <si>
    <t>352-723-191-0000</t>
  </si>
  <si>
    <t>329-287-694-0000</t>
  </si>
  <si>
    <t>603-427-916-0000</t>
  </si>
  <si>
    <t>484-218-031-0000</t>
  </si>
  <si>
    <t>641-333-671-0000</t>
  </si>
  <si>
    <t>423-137-968-0000</t>
  </si>
  <si>
    <t>452-170-851-0000</t>
  </si>
  <si>
    <t>292-719-728-0000</t>
  </si>
  <si>
    <t>175-165-756-0000</t>
  </si>
  <si>
    <t>904-905-970-0000</t>
  </si>
  <si>
    <t>214-940-391-0000</t>
  </si>
  <si>
    <t>340-018-577-0000</t>
  </si>
  <si>
    <t>660-639-860-0000</t>
  </si>
  <si>
    <t>286-492-429-0000</t>
  </si>
  <si>
    <t>182-623-225-0000</t>
  </si>
  <si>
    <t>443-439-913-0000</t>
  </si>
  <si>
    <t>451-794-624-0000</t>
  </si>
  <si>
    <t>509-514-579-0000</t>
  </si>
  <si>
    <t>658-379-626-0000</t>
  </si>
  <si>
    <t>658-655-250-0000</t>
  </si>
  <si>
    <t>511-971-259-0000</t>
  </si>
  <si>
    <t>223-832-304-0000</t>
  </si>
  <si>
    <t>747-805-021-0000</t>
  </si>
  <si>
    <t>447-240-775-0000</t>
  </si>
  <si>
    <t>754-342-729-0000</t>
  </si>
  <si>
    <t>229-014-831-0000</t>
  </si>
  <si>
    <t>657-850-829-0000</t>
  </si>
  <si>
    <t>-0000</t>
  </si>
  <si>
    <t>356-335-645-0000</t>
  </si>
  <si>
    <t>649-776-856-0000</t>
  </si>
  <si>
    <t>382-562-439-0000</t>
  </si>
  <si>
    <t>660-341-268-0000</t>
  </si>
  <si>
    <t>305-792-260-0000</t>
  </si>
  <si>
    <t>244-794-533-0000</t>
  </si>
  <si>
    <t>WIP-0000</t>
  </si>
  <si>
    <t>315-802-458-0000</t>
  </si>
  <si>
    <t>327-259-644-0000</t>
  </si>
  <si>
    <t>745-531-055-0000</t>
  </si>
  <si>
    <t>268-283-993-0000</t>
  </si>
  <si>
    <t>324-123-811-0000</t>
  </si>
  <si>
    <t>359-753-851-0000</t>
  </si>
  <si>
    <t>635-441-503-0000</t>
  </si>
  <si>
    <t>246-319-968-0000</t>
  </si>
  <si>
    <t>632-183-786-0000</t>
  </si>
  <si>
    <t>499-055-553-0000</t>
  </si>
  <si>
    <t>322-290-203-0000</t>
  </si>
  <si>
    <t>329-785-933-0000</t>
  </si>
  <si>
    <t>358-705-803-0000</t>
  </si>
  <si>
    <t>381-787-373-0000</t>
  </si>
  <si>
    <t>349-942-833-0000</t>
  </si>
  <si>
    <t>604-663-603-0000</t>
  </si>
  <si>
    <t>283-487-280-0000</t>
  </si>
  <si>
    <t>348-697-947-0000</t>
  </si>
  <si>
    <t>354-321-846-0000</t>
  </si>
  <si>
    <t>442-582-149-0000</t>
  </si>
  <si>
    <t>483-564-276-0000</t>
  </si>
  <si>
    <t>335-570-365-0000</t>
  </si>
  <si>
    <t>500-478-453-0000</t>
  </si>
  <si>
    <t>472-107-295-0000</t>
  </si>
  <si>
    <t>424-600-042-0000</t>
  </si>
  <si>
    <t>392-291-104-0000</t>
  </si>
  <si>
    <t>723-604-742-0000</t>
  </si>
  <si>
    <t>432-262-357-0000</t>
  </si>
  <si>
    <t>736-000-971-0000</t>
  </si>
  <si>
    <t>383-089-641-0000</t>
  </si>
  <si>
    <t>192-243-216-0000</t>
  </si>
  <si>
    <t>328-362-407-0000</t>
  </si>
  <si>
    <t>922-737-080-0000</t>
  </si>
  <si>
    <t>753-502-402-0000</t>
  </si>
  <si>
    <t>938-965-365-0000</t>
  </si>
  <si>
    <t>257-200-650-0000</t>
  </si>
  <si>
    <t>176-391-732-0000</t>
  </si>
  <si>
    <t>397-295-081-0000</t>
  </si>
  <si>
    <t>202-102-369-0000</t>
  </si>
  <si>
    <t>406-511-941-0000</t>
  </si>
  <si>
    <t>747-846-408-0000</t>
  </si>
  <si>
    <t>270-724-110-0000</t>
  </si>
  <si>
    <t>760-595-496-0000</t>
  </si>
  <si>
    <t>455-321-418-0000</t>
  </si>
  <si>
    <t>225-799-427-0000</t>
  </si>
  <si>
    <t>485-314-838-0000</t>
  </si>
  <si>
    <t>724-096-034-0000</t>
  </si>
  <si>
    <t>613-533-092-0000</t>
  </si>
  <si>
    <t>341-096-492-0000</t>
  </si>
  <si>
    <t>423-326-183-0000</t>
  </si>
  <si>
    <t>338-071-470-0000</t>
  </si>
  <si>
    <t>626-146-889-0000</t>
  </si>
  <si>
    <t>370-176-534-0000</t>
  </si>
  <si>
    <t>432-716-135-0000</t>
  </si>
  <si>
    <t>625-185-133-0000</t>
  </si>
  <si>
    <t>420-944-516-0000</t>
  </si>
  <si>
    <t>638-218-657-0000</t>
  </si>
  <si>
    <t>771-853-909-0000</t>
  </si>
  <si>
    <t>732-645-771-0000</t>
  </si>
  <si>
    <t>321-679-068-0000</t>
  </si>
  <si>
    <t>410-587-965-0000</t>
  </si>
  <si>
    <t>739-451-580-0000</t>
  </si>
  <si>
    <t>511-936-065-0000</t>
  </si>
  <si>
    <t>639-785-050-0000</t>
  </si>
  <si>
    <t>347-715-825-0000</t>
  </si>
  <si>
    <t>658-551-687-0000</t>
  </si>
  <si>
    <t>720-247-980-0000</t>
  </si>
  <si>
    <t>655-920-341-0000</t>
  </si>
  <si>
    <t>656-675-489-0000</t>
  </si>
  <si>
    <t>276-964-135-0000</t>
  </si>
  <si>
    <t>421-475-138-0000</t>
  </si>
  <si>
    <t>139-534-660-0000</t>
  </si>
  <si>
    <t>456-454-640-0000</t>
  </si>
  <si>
    <t>155-620-058-0000</t>
  </si>
  <si>
    <t>912-468-265-0000</t>
  </si>
  <si>
    <t>265-268-626-0000</t>
  </si>
  <si>
    <t>251-967-618-0000</t>
  </si>
  <si>
    <t>422-163-856-0000</t>
  </si>
  <si>
    <t>424-205-972-0000</t>
  </si>
  <si>
    <t>701-470-615-0000</t>
  </si>
  <si>
    <t>912-536-027-0000</t>
  </si>
  <si>
    <t>306-020-865-0000</t>
  </si>
  <si>
    <t>435-915-477-0000</t>
  </si>
  <si>
    <t>412-630-701-0000</t>
  </si>
  <si>
    <t>452-978-931-0000</t>
  </si>
  <si>
    <t>207-514-438-0000</t>
  </si>
  <si>
    <t>364-044-790-0000</t>
  </si>
  <si>
    <t>484-198-846-0000</t>
  </si>
  <si>
    <t>706-466-052-0000</t>
  </si>
  <si>
    <t>289-438-333-0000</t>
  </si>
  <si>
    <t>326-639-547-0000</t>
  </si>
  <si>
    <t>294-405-098-0000</t>
  </si>
  <si>
    <t>289-457-490-0000</t>
  </si>
  <si>
    <t>226-406-849-0000</t>
  </si>
  <si>
    <t>403-371-496-0000</t>
  </si>
  <si>
    <t>411-088-847-0000</t>
  </si>
  <si>
    <t>310-212-808-0000</t>
  </si>
  <si>
    <t>216-187-728-0000</t>
  </si>
  <si>
    <t>Y</t>
  </si>
  <si>
    <t>FALCULAN JR., ERMITO TESORO</t>
  </si>
  <si>
    <t xml:space="preserve">AMANCIO, DOMINIC JAYSON BETI </t>
  </si>
  <si>
    <t>BUTALID, GILBERT ANGOT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</si>
</sst>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0.0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14" fontId="1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1ECA-4D5F-447C-9743-23ED169DBD2D}">
  <dimension ref="A1:CA545"/>
  <sheetViews>
    <sheetView tabSelected="1" topLeftCell="A301" workbookViewId="0">
      <selection activeCell="C317" sqref="C317"/>
    </sheetView>
  </sheetViews>
  <sheetFormatPr defaultRowHeight="15" x14ac:dyDescent="0.25"/>
  <cols>
    <col min="1" max="41" width="25.85546875" style="1" customWidth="1"/>
  </cols>
  <sheetData>
    <row r="1" spans="1:7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7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7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7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79" x14ac:dyDescent="0.25">
      <c r="A5" s="2" t="s">
        <v>291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79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79" x14ac:dyDescent="0.25">
      <c r="A7" s="2" t="s">
        <v>292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79" x14ac:dyDescent="0.25">
      <c r="A8" s="2">
        <v>0</v>
      </c>
      <c r="B8" s="2">
        <f>A8+1</f>
        <v>1</v>
      </c>
      <c r="C8" s="2">
        <f t="shared" ref="C8:BN8" si="0">B8+1</f>
        <v>2</v>
      </c>
      <c r="D8" s="2">
        <f t="shared" si="0"/>
        <v>3</v>
      </c>
      <c r="E8" s="2">
        <f t="shared" si="0"/>
        <v>4</v>
      </c>
      <c r="F8" s="2">
        <f t="shared" si="0"/>
        <v>5</v>
      </c>
      <c r="G8" s="2">
        <f t="shared" si="0"/>
        <v>6</v>
      </c>
      <c r="H8" s="2">
        <f t="shared" si="0"/>
        <v>7</v>
      </c>
      <c r="I8" s="2">
        <f t="shared" si="0"/>
        <v>8</v>
      </c>
      <c r="J8" s="2">
        <f t="shared" si="0"/>
        <v>9</v>
      </c>
      <c r="K8" s="2">
        <f t="shared" si="0"/>
        <v>10</v>
      </c>
      <c r="L8" s="2">
        <f t="shared" si="0"/>
        <v>11</v>
      </c>
      <c r="M8" s="2">
        <f t="shared" si="0"/>
        <v>12</v>
      </c>
      <c r="N8" s="2">
        <f t="shared" si="0"/>
        <v>13</v>
      </c>
      <c r="O8" s="2">
        <f t="shared" si="0"/>
        <v>14</v>
      </c>
      <c r="P8" s="2">
        <f t="shared" si="0"/>
        <v>15</v>
      </c>
      <c r="Q8" s="2">
        <f t="shared" si="0"/>
        <v>16</v>
      </c>
      <c r="R8" s="2">
        <f t="shared" si="0"/>
        <v>17</v>
      </c>
      <c r="S8" s="2">
        <f t="shared" si="0"/>
        <v>18</v>
      </c>
      <c r="T8" s="2">
        <f t="shared" si="0"/>
        <v>19</v>
      </c>
      <c r="U8" s="2">
        <f t="shared" si="0"/>
        <v>20</v>
      </c>
      <c r="V8" s="2">
        <f t="shared" si="0"/>
        <v>21</v>
      </c>
      <c r="W8" s="2">
        <f t="shared" si="0"/>
        <v>22</v>
      </c>
      <c r="X8" s="2">
        <f t="shared" si="0"/>
        <v>23</v>
      </c>
      <c r="Y8" s="2">
        <f t="shared" si="0"/>
        <v>24</v>
      </c>
      <c r="Z8" s="2">
        <f t="shared" si="0"/>
        <v>25</v>
      </c>
      <c r="AA8" s="2">
        <f t="shared" si="0"/>
        <v>26</v>
      </c>
      <c r="AB8" s="2">
        <f t="shared" si="0"/>
        <v>27</v>
      </c>
      <c r="AC8" s="2">
        <f t="shared" si="0"/>
        <v>28</v>
      </c>
      <c r="AD8" s="2">
        <f t="shared" si="0"/>
        <v>29</v>
      </c>
      <c r="AE8" s="2">
        <f t="shared" si="0"/>
        <v>30</v>
      </c>
      <c r="AF8" s="2">
        <f t="shared" si="0"/>
        <v>31</v>
      </c>
      <c r="AG8" s="2">
        <f t="shared" si="0"/>
        <v>32</v>
      </c>
      <c r="AH8" s="2">
        <f t="shared" si="0"/>
        <v>33</v>
      </c>
      <c r="AI8" s="2">
        <f t="shared" si="0"/>
        <v>34</v>
      </c>
      <c r="AJ8" s="2">
        <f t="shared" si="0"/>
        <v>35</v>
      </c>
      <c r="AK8" s="2">
        <f t="shared" si="0"/>
        <v>36</v>
      </c>
      <c r="AL8" s="2">
        <f t="shared" si="0"/>
        <v>37</v>
      </c>
      <c r="AM8" s="2">
        <f t="shared" si="0"/>
        <v>38</v>
      </c>
      <c r="AN8" s="2">
        <f t="shared" si="0"/>
        <v>39</v>
      </c>
      <c r="AO8" s="2">
        <f t="shared" si="0"/>
        <v>40</v>
      </c>
      <c r="AP8" s="2">
        <f t="shared" si="0"/>
        <v>41</v>
      </c>
      <c r="AQ8" s="2">
        <f t="shared" si="0"/>
        <v>42</v>
      </c>
      <c r="AR8" s="2">
        <f t="shared" si="0"/>
        <v>43</v>
      </c>
      <c r="AS8" s="2">
        <f t="shared" si="0"/>
        <v>44</v>
      </c>
      <c r="AT8" s="2">
        <f t="shared" si="0"/>
        <v>45</v>
      </c>
      <c r="AU8" s="2">
        <f t="shared" si="0"/>
        <v>46</v>
      </c>
      <c r="AV8" s="2">
        <f t="shared" si="0"/>
        <v>47</v>
      </c>
      <c r="AW8" s="2">
        <f t="shared" si="0"/>
        <v>48</v>
      </c>
      <c r="AX8" s="2">
        <f t="shared" si="0"/>
        <v>49</v>
      </c>
      <c r="AY8" s="2">
        <f t="shared" si="0"/>
        <v>50</v>
      </c>
      <c r="AZ8" s="2">
        <f t="shared" si="0"/>
        <v>51</v>
      </c>
      <c r="BA8" s="2">
        <f t="shared" si="0"/>
        <v>52</v>
      </c>
      <c r="BB8" s="2">
        <f t="shared" si="0"/>
        <v>53</v>
      </c>
      <c r="BC8" s="2">
        <f t="shared" si="0"/>
        <v>54</v>
      </c>
      <c r="BD8" s="2">
        <f t="shared" si="0"/>
        <v>55</v>
      </c>
      <c r="BE8" s="2">
        <f t="shared" si="0"/>
        <v>56</v>
      </c>
      <c r="BF8" s="2">
        <f t="shared" si="0"/>
        <v>57</v>
      </c>
      <c r="BG8" s="2">
        <f t="shared" si="0"/>
        <v>58</v>
      </c>
      <c r="BH8" s="2">
        <f t="shared" si="0"/>
        <v>59</v>
      </c>
      <c r="BI8" s="2">
        <f t="shared" si="0"/>
        <v>60</v>
      </c>
      <c r="BJ8" s="2">
        <f t="shared" si="0"/>
        <v>61</v>
      </c>
      <c r="BK8" s="2">
        <f t="shared" si="0"/>
        <v>62</v>
      </c>
      <c r="BL8" s="2">
        <f t="shared" si="0"/>
        <v>63</v>
      </c>
      <c r="BM8" s="2">
        <f t="shared" si="0"/>
        <v>64</v>
      </c>
      <c r="BN8" s="2">
        <f t="shared" si="0"/>
        <v>65</v>
      </c>
      <c r="BO8" s="2">
        <f t="shared" ref="BO8:CA8" si="1">BN8+1</f>
        <v>66</v>
      </c>
      <c r="BP8" s="2">
        <f t="shared" si="1"/>
        <v>67</v>
      </c>
      <c r="BQ8" s="2">
        <f t="shared" si="1"/>
        <v>68</v>
      </c>
      <c r="BR8" s="2">
        <f t="shared" si="1"/>
        <v>69</v>
      </c>
      <c r="BS8" s="2">
        <f t="shared" si="1"/>
        <v>70</v>
      </c>
      <c r="BT8" s="2">
        <f t="shared" si="1"/>
        <v>71</v>
      </c>
      <c r="BU8" s="2">
        <f t="shared" si="1"/>
        <v>72</v>
      </c>
      <c r="BV8" s="2">
        <f t="shared" si="1"/>
        <v>73</v>
      </c>
      <c r="BW8" s="2">
        <f t="shared" si="1"/>
        <v>74</v>
      </c>
      <c r="BX8" s="2">
        <f t="shared" si="1"/>
        <v>75</v>
      </c>
      <c r="BY8" s="2">
        <f t="shared" si="1"/>
        <v>76</v>
      </c>
      <c r="BZ8" s="2">
        <f t="shared" si="1"/>
        <v>77</v>
      </c>
      <c r="CA8" s="2">
        <f t="shared" si="1"/>
        <v>78</v>
      </c>
    </row>
    <row r="9" spans="1:79" x14ac:dyDescent="0.25">
      <c r="A9" s="2"/>
      <c r="B9" s="2"/>
      <c r="C9" s="2" t="s">
        <v>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 t="s">
        <v>61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79" x14ac:dyDescent="0.25">
      <c r="A10" s="2"/>
      <c r="B10" s="2"/>
      <c r="C10" s="2"/>
      <c r="D10" s="2"/>
      <c r="E10" s="2"/>
      <c r="F10" s="2"/>
      <c r="G10" s="2"/>
      <c r="H10" s="2"/>
      <c r="I10" s="2" t="s">
        <v>30</v>
      </c>
      <c r="J10" s="2"/>
      <c r="K10" s="2"/>
      <c r="L10" s="2"/>
      <c r="M10" s="2"/>
      <c r="N10" s="2" t="s">
        <v>49</v>
      </c>
      <c r="O10" s="2"/>
      <c r="P10" s="2"/>
      <c r="Q10" s="2"/>
      <c r="R10" s="2"/>
      <c r="S10" s="2"/>
      <c r="T10" s="2"/>
      <c r="U10" s="2"/>
      <c r="V10" s="2"/>
      <c r="W10" s="2"/>
      <c r="X10" s="2" t="s">
        <v>30</v>
      </c>
      <c r="Y10" s="2"/>
      <c r="Z10" s="2"/>
      <c r="AA10" s="2"/>
      <c r="AB10" s="2"/>
      <c r="AC10" s="2" t="s">
        <v>49</v>
      </c>
      <c r="AD10" s="2"/>
      <c r="AE10" s="2"/>
      <c r="AF10" s="2" t="s">
        <v>59</v>
      </c>
      <c r="AG10" s="2" t="s">
        <v>59</v>
      </c>
      <c r="AH10" s="2"/>
      <c r="AI10" s="2" t="s">
        <v>93</v>
      </c>
      <c r="AJ10" s="2"/>
      <c r="AK10" s="2"/>
      <c r="AL10" s="2" t="s">
        <v>101</v>
      </c>
      <c r="AM10" s="2"/>
      <c r="AN10" s="2"/>
      <c r="AO10" s="2"/>
    </row>
    <row r="11" spans="1:79" x14ac:dyDescent="0.25">
      <c r="A11" s="2" t="s">
        <v>4</v>
      </c>
      <c r="B11" s="2" t="s">
        <v>7</v>
      </c>
      <c r="C11" s="2" t="s">
        <v>10</v>
      </c>
      <c r="D11" s="2" t="s">
        <v>14</v>
      </c>
      <c r="E11" s="2"/>
      <c r="F11" s="2"/>
      <c r="G11" s="2" t="s">
        <v>22</v>
      </c>
      <c r="H11" s="2" t="s">
        <v>25</v>
      </c>
      <c r="I11" s="2" t="s">
        <v>31</v>
      </c>
      <c r="J11" s="2" t="s">
        <v>34</v>
      </c>
      <c r="K11" s="2" t="s">
        <v>37</v>
      </c>
      <c r="L11" s="2" t="s">
        <v>42</v>
      </c>
      <c r="M11" s="2" t="s">
        <v>45</v>
      </c>
      <c r="N11" s="2" t="s">
        <v>50</v>
      </c>
      <c r="O11" s="2" t="s">
        <v>31</v>
      </c>
      <c r="P11" s="2" t="s">
        <v>56</v>
      </c>
      <c r="Q11" s="2" t="s">
        <v>59</v>
      </c>
      <c r="R11" s="2" t="s">
        <v>62</v>
      </c>
      <c r="S11" s="2" t="s">
        <v>66</v>
      </c>
      <c r="T11" s="2" t="s">
        <v>68</v>
      </c>
      <c r="U11" s="2"/>
      <c r="V11" s="2" t="s">
        <v>22</v>
      </c>
      <c r="W11" s="2" t="s">
        <v>25</v>
      </c>
      <c r="X11" s="2" t="s">
        <v>31</v>
      </c>
      <c r="Y11" s="2" t="s">
        <v>34</v>
      </c>
      <c r="Z11" s="2" t="s">
        <v>37</v>
      </c>
      <c r="AA11" s="2" t="s">
        <v>42</v>
      </c>
      <c r="AB11" s="2" t="s">
        <v>79</v>
      </c>
      <c r="AC11" s="2" t="s">
        <v>50</v>
      </c>
      <c r="AD11" s="2" t="s">
        <v>31</v>
      </c>
      <c r="AE11" s="2" t="s">
        <v>56</v>
      </c>
      <c r="AF11" s="2" t="s">
        <v>26</v>
      </c>
      <c r="AG11" s="2" t="s">
        <v>47</v>
      </c>
      <c r="AH11" s="2" t="s">
        <v>90</v>
      </c>
      <c r="AI11" s="2" t="s">
        <v>94</v>
      </c>
      <c r="AJ11" s="2"/>
      <c r="AK11" s="2" t="s">
        <v>98</v>
      </c>
      <c r="AL11" s="2" t="s">
        <v>102</v>
      </c>
      <c r="AM11" s="2" t="s">
        <v>106</v>
      </c>
      <c r="AN11" s="2" t="s">
        <v>111</v>
      </c>
      <c r="AO11" s="2" t="s">
        <v>116</v>
      </c>
    </row>
    <row r="12" spans="1:79" x14ac:dyDescent="0.25">
      <c r="A12" s="2" t="s">
        <v>5</v>
      </c>
      <c r="B12" s="2" t="s">
        <v>8</v>
      </c>
      <c r="C12" s="2" t="s">
        <v>11</v>
      </c>
      <c r="D12" s="3" t="s">
        <v>15</v>
      </c>
      <c r="E12" s="2" t="s">
        <v>17</v>
      </c>
      <c r="F12" s="2"/>
      <c r="G12" s="3" t="s">
        <v>23</v>
      </c>
      <c r="H12" s="2" t="s">
        <v>26</v>
      </c>
      <c r="I12" s="2" t="s">
        <v>32</v>
      </c>
      <c r="J12" s="2" t="s">
        <v>35</v>
      </c>
      <c r="K12" s="2" t="s">
        <v>38</v>
      </c>
      <c r="L12" s="2" t="s">
        <v>43</v>
      </c>
      <c r="M12" s="2" t="s">
        <v>46</v>
      </c>
      <c r="N12" s="2" t="s">
        <v>51</v>
      </c>
      <c r="O12" s="2" t="s">
        <v>32</v>
      </c>
      <c r="P12" s="2" t="s">
        <v>57</v>
      </c>
      <c r="Q12" s="2" t="s">
        <v>47</v>
      </c>
      <c r="R12" s="2" t="s">
        <v>63</v>
      </c>
      <c r="S12" s="3" t="s">
        <v>15</v>
      </c>
      <c r="T12" s="2" t="s">
        <v>17</v>
      </c>
      <c r="U12" s="2"/>
      <c r="V12" s="3" t="s">
        <v>71</v>
      </c>
      <c r="W12" s="2" t="s">
        <v>26</v>
      </c>
      <c r="X12" s="2" t="s">
        <v>32</v>
      </c>
      <c r="Y12" s="2" t="s">
        <v>35</v>
      </c>
      <c r="Z12" s="2" t="s">
        <v>38</v>
      </c>
      <c r="AA12" s="2" t="s">
        <v>43</v>
      </c>
      <c r="AB12" s="2" t="s">
        <v>80</v>
      </c>
      <c r="AC12" s="2" t="s">
        <v>51</v>
      </c>
      <c r="AD12" s="2" t="s">
        <v>32</v>
      </c>
      <c r="AE12" s="2" t="s">
        <v>57</v>
      </c>
      <c r="AF12" s="2" t="s">
        <v>85</v>
      </c>
      <c r="AG12" s="2" t="s">
        <v>87</v>
      </c>
      <c r="AH12" s="2" t="s">
        <v>91</v>
      </c>
      <c r="AI12" s="2" t="s">
        <v>73</v>
      </c>
      <c r="AJ12" s="2" t="s">
        <v>96</v>
      </c>
      <c r="AK12" s="2" t="s">
        <v>99</v>
      </c>
      <c r="AL12" s="2" t="s">
        <v>103</v>
      </c>
      <c r="AM12" s="2" t="s">
        <v>107</v>
      </c>
      <c r="AN12" s="2" t="s">
        <v>112</v>
      </c>
      <c r="AO12" s="2" t="s">
        <v>117</v>
      </c>
    </row>
    <row r="13" spans="1:79" x14ac:dyDescent="0.25">
      <c r="A13" s="2"/>
      <c r="B13" s="2"/>
      <c r="C13" s="2" t="s">
        <v>12</v>
      </c>
      <c r="D13" s="2"/>
      <c r="E13" s="2" t="s">
        <v>18</v>
      </c>
      <c r="F13" s="2" t="s">
        <v>19</v>
      </c>
      <c r="G13" s="2"/>
      <c r="H13" s="2" t="s">
        <v>27</v>
      </c>
      <c r="I13" s="2"/>
      <c r="J13" s="2"/>
      <c r="K13" s="2" t="s">
        <v>39</v>
      </c>
      <c r="L13" s="2" t="s">
        <v>26</v>
      </c>
      <c r="M13" s="2" t="s">
        <v>47</v>
      </c>
      <c r="N13" s="2" t="s">
        <v>52</v>
      </c>
      <c r="O13" s="2" t="s">
        <v>54</v>
      </c>
      <c r="P13" s="2" t="s">
        <v>26</v>
      </c>
      <c r="Q13" s="2" t="s">
        <v>28</v>
      </c>
      <c r="R13" s="2" t="s">
        <v>64</v>
      </c>
      <c r="S13" s="2"/>
      <c r="T13" s="2" t="s">
        <v>18</v>
      </c>
      <c r="U13" s="2" t="s">
        <v>19</v>
      </c>
      <c r="V13" s="2"/>
      <c r="W13" s="2" t="s">
        <v>73</v>
      </c>
      <c r="X13" s="2"/>
      <c r="Y13" s="2"/>
      <c r="Z13" s="2" t="s">
        <v>39</v>
      </c>
      <c r="AA13" s="2" t="s">
        <v>26</v>
      </c>
      <c r="AB13" s="2"/>
      <c r="AC13" s="2" t="s">
        <v>52</v>
      </c>
      <c r="AD13" s="2"/>
      <c r="AE13" s="2" t="s">
        <v>26</v>
      </c>
      <c r="AF13" s="2"/>
      <c r="AG13" s="2" t="s">
        <v>88</v>
      </c>
      <c r="AH13" s="2"/>
      <c r="AI13" s="2"/>
      <c r="AJ13" s="2"/>
      <c r="AK13" s="2"/>
      <c r="AL13" s="2" t="s">
        <v>104</v>
      </c>
      <c r="AM13" s="2" t="s">
        <v>108</v>
      </c>
      <c r="AN13" s="2" t="s">
        <v>113</v>
      </c>
      <c r="AO13" s="2" t="s">
        <v>118</v>
      </c>
    </row>
    <row r="14" spans="1:79" x14ac:dyDescent="0.25">
      <c r="A14" s="2"/>
      <c r="B14" s="2"/>
      <c r="C14" s="2"/>
      <c r="D14" s="2"/>
      <c r="E14" s="2"/>
      <c r="F14" s="2"/>
      <c r="G14" s="2"/>
      <c r="H14" s="2" t="s">
        <v>28</v>
      </c>
      <c r="I14" s="2"/>
      <c r="J14" s="2"/>
      <c r="K14" s="2" t="s">
        <v>40</v>
      </c>
      <c r="L14" s="2"/>
      <c r="M14" s="2" t="s">
        <v>28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 t="s">
        <v>40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s">
        <v>109</v>
      </c>
      <c r="AN14" s="3" t="s">
        <v>114</v>
      </c>
      <c r="AO14" s="2"/>
    </row>
    <row r="15" spans="1:79" x14ac:dyDescent="0.25">
      <c r="A15" s="3" t="s">
        <v>6</v>
      </c>
      <c r="B15" s="3" t="s">
        <v>9</v>
      </c>
      <c r="C15" s="3" t="s">
        <v>13</v>
      </c>
      <c r="D15" s="3" t="s">
        <v>16</v>
      </c>
      <c r="E15" s="3" t="s">
        <v>20</v>
      </c>
      <c r="F15" s="3" t="s">
        <v>21</v>
      </c>
      <c r="G15" s="3" t="s">
        <v>24</v>
      </c>
      <c r="H15" s="3" t="s">
        <v>29</v>
      </c>
      <c r="I15" s="3" t="s">
        <v>33</v>
      </c>
      <c r="J15" s="3" t="s">
        <v>36</v>
      </c>
      <c r="K15" s="3" t="s">
        <v>41</v>
      </c>
      <c r="L15" s="3" t="s">
        <v>44</v>
      </c>
      <c r="M15" s="3" t="s">
        <v>48</v>
      </c>
      <c r="N15" s="3" t="s">
        <v>53</v>
      </c>
      <c r="O15" s="3" t="s">
        <v>55</v>
      </c>
      <c r="P15" s="3" t="s">
        <v>58</v>
      </c>
      <c r="Q15" s="3" t="s">
        <v>60</v>
      </c>
      <c r="R15" s="3" t="s">
        <v>65</v>
      </c>
      <c r="S15" s="3" t="s">
        <v>67</v>
      </c>
      <c r="T15" s="3" t="s">
        <v>69</v>
      </c>
      <c r="U15" s="3" t="s">
        <v>70</v>
      </c>
      <c r="V15" s="3" t="s">
        <v>72</v>
      </c>
      <c r="W15" s="3" t="s">
        <v>74</v>
      </c>
      <c r="X15" s="3" t="s">
        <v>75</v>
      </c>
      <c r="Y15" s="3" t="s">
        <v>76</v>
      </c>
      <c r="Z15" s="3" t="s">
        <v>77</v>
      </c>
      <c r="AA15" s="3" t="s">
        <v>78</v>
      </c>
      <c r="AB15" s="3" t="s">
        <v>81</v>
      </c>
      <c r="AC15" s="3" t="s">
        <v>82</v>
      </c>
      <c r="AD15" s="3" t="s">
        <v>83</v>
      </c>
      <c r="AE15" s="3" t="s">
        <v>84</v>
      </c>
      <c r="AF15" s="3" t="s">
        <v>86</v>
      </c>
      <c r="AG15" s="3" t="s">
        <v>89</v>
      </c>
      <c r="AH15" s="3" t="s">
        <v>92</v>
      </c>
      <c r="AI15" s="3" t="s">
        <v>95</v>
      </c>
      <c r="AJ15" s="3" t="s">
        <v>97</v>
      </c>
      <c r="AK15" s="3" t="s">
        <v>100</v>
      </c>
      <c r="AL15" s="3" t="s">
        <v>105</v>
      </c>
      <c r="AM15" s="3" t="s">
        <v>110</v>
      </c>
      <c r="AN15" s="3" t="s">
        <v>115</v>
      </c>
      <c r="AO15" s="3" t="s">
        <v>119</v>
      </c>
    </row>
    <row r="16" spans="1:79" x14ac:dyDescent="0.25">
      <c r="A16" s="3" t="s">
        <v>120</v>
      </c>
      <c r="B16" s="3" t="s">
        <v>120</v>
      </c>
      <c r="C16" s="3" t="s">
        <v>120</v>
      </c>
      <c r="D16" s="3" t="s">
        <v>120</v>
      </c>
      <c r="E16" s="3" t="s">
        <v>120</v>
      </c>
      <c r="F16" s="3" t="s">
        <v>120</v>
      </c>
      <c r="G16" s="3" t="s">
        <v>120</v>
      </c>
      <c r="H16" s="3" t="s">
        <v>120</v>
      </c>
      <c r="I16" s="3" t="s">
        <v>120</v>
      </c>
      <c r="J16" s="3" t="s">
        <v>120</v>
      </c>
      <c r="K16" s="3" t="s">
        <v>120</v>
      </c>
      <c r="L16" s="3" t="s">
        <v>120</v>
      </c>
      <c r="M16" s="3" t="s">
        <v>120</v>
      </c>
      <c r="N16" s="3" t="s">
        <v>120</v>
      </c>
      <c r="O16" s="3" t="s">
        <v>120</v>
      </c>
      <c r="P16" s="3" t="s">
        <v>120</v>
      </c>
      <c r="Q16" s="3" t="s">
        <v>120</v>
      </c>
      <c r="R16" s="3" t="s">
        <v>120</v>
      </c>
      <c r="S16" s="3" t="s">
        <v>120</v>
      </c>
      <c r="T16" s="3" t="s">
        <v>120</v>
      </c>
      <c r="U16" s="3" t="s">
        <v>120</v>
      </c>
      <c r="V16" s="3" t="s">
        <v>120</v>
      </c>
      <c r="W16" s="3" t="s">
        <v>120</v>
      </c>
      <c r="X16" s="3" t="s">
        <v>120</v>
      </c>
      <c r="Y16" s="3" t="s">
        <v>120</v>
      </c>
      <c r="Z16" s="3" t="s">
        <v>120</v>
      </c>
      <c r="AA16" s="3" t="s">
        <v>120</v>
      </c>
      <c r="AB16" s="3" t="s">
        <v>120</v>
      </c>
      <c r="AC16" s="3" t="s">
        <v>120</v>
      </c>
      <c r="AD16" s="3" t="s">
        <v>120</v>
      </c>
      <c r="AE16" s="3" t="s">
        <v>120</v>
      </c>
      <c r="AF16" s="3" t="s">
        <v>120</v>
      </c>
      <c r="AG16" s="3" t="s">
        <v>120</v>
      </c>
      <c r="AH16" s="3" t="s">
        <v>120</v>
      </c>
      <c r="AI16" s="3" t="s">
        <v>120</v>
      </c>
      <c r="AJ16" s="3" t="s">
        <v>120</v>
      </c>
      <c r="AK16" s="3" t="s">
        <v>120</v>
      </c>
      <c r="AL16" s="3" t="s">
        <v>120</v>
      </c>
      <c r="AM16" s="3" t="s">
        <v>120</v>
      </c>
      <c r="AN16" s="3" t="s">
        <v>120</v>
      </c>
      <c r="AO16" s="3" t="s">
        <v>120</v>
      </c>
    </row>
    <row r="17" spans="1:41" x14ac:dyDescent="0.25">
      <c r="A17" s="1">
        <v>1</v>
      </c>
      <c r="B17" s="1" t="s">
        <v>121</v>
      </c>
      <c r="C17" s="1" t="s">
        <v>122</v>
      </c>
      <c r="D17" s="1" t="s">
        <v>123</v>
      </c>
      <c r="E17" s="4">
        <v>45292</v>
      </c>
      <c r="F17" s="4">
        <v>45324</v>
      </c>
      <c r="G17" s="1" t="s">
        <v>124</v>
      </c>
      <c r="H17" s="5">
        <v>208151.72</v>
      </c>
      <c r="I17" s="5">
        <v>14137.93</v>
      </c>
      <c r="J17" s="5">
        <v>7393.1</v>
      </c>
      <c r="K17" s="5">
        <v>2700</v>
      </c>
      <c r="L17" s="5">
        <v>2827.59</v>
      </c>
      <c r="M17" s="5">
        <v>27058.62</v>
      </c>
      <c r="N17" s="5">
        <v>166955.17000000001</v>
      </c>
      <c r="O17" s="5">
        <v>0</v>
      </c>
      <c r="P17" s="5">
        <v>14137.93</v>
      </c>
      <c r="Q17" s="5">
        <v>181093.1</v>
      </c>
      <c r="R17" s="1" t="s">
        <v>125</v>
      </c>
      <c r="S17" s="1" t="s">
        <v>123</v>
      </c>
      <c r="T17" s="4">
        <v>45292</v>
      </c>
      <c r="U17" s="4">
        <v>45324</v>
      </c>
      <c r="V17" s="1" t="s">
        <v>124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181093.1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1" t="s">
        <v>126</v>
      </c>
    </row>
    <row r="18" spans="1:41" x14ac:dyDescent="0.25">
      <c r="A18" s="1">
        <f>A17+1</f>
        <v>2</v>
      </c>
      <c r="B18" s="1" t="s">
        <v>127</v>
      </c>
      <c r="C18" s="1" t="s">
        <v>122</v>
      </c>
      <c r="D18" s="1" t="s">
        <v>123</v>
      </c>
      <c r="E18" s="4">
        <v>45292</v>
      </c>
      <c r="F18" s="4">
        <v>45337</v>
      </c>
      <c r="G18" s="1" t="s">
        <v>124</v>
      </c>
      <c r="H18" s="5">
        <v>272691.38</v>
      </c>
      <c r="I18" s="5">
        <v>18498.560000000001</v>
      </c>
      <c r="J18" s="5">
        <v>10899.72</v>
      </c>
      <c r="K18" s="5">
        <v>6750</v>
      </c>
      <c r="L18" s="5">
        <v>3551.72</v>
      </c>
      <c r="M18" s="5">
        <v>39700</v>
      </c>
      <c r="N18" s="5">
        <v>215232.76</v>
      </c>
      <c r="O18" s="5">
        <v>0</v>
      </c>
      <c r="P18" s="5">
        <v>17758.62</v>
      </c>
      <c r="Q18" s="5">
        <v>232991.38</v>
      </c>
      <c r="R18" s="1" t="s">
        <v>128</v>
      </c>
      <c r="S18" s="1" t="s">
        <v>123</v>
      </c>
      <c r="T18" s="4">
        <v>45292</v>
      </c>
      <c r="U18" s="4">
        <v>45337</v>
      </c>
      <c r="V18" s="1" t="s">
        <v>124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232991.38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1" t="s">
        <v>126</v>
      </c>
    </row>
    <row r="19" spans="1:41" x14ac:dyDescent="0.25">
      <c r="A19" s="1">
        <f t="shared" ref="A19:A82" si="2">A18+1</f>
        <v>3</v>
      </c>
      <c r="B19" s="1" t="s">
        <v>129</v>
      </c>
      <c r="C19" s="1" t="s">
        <v>122</v>
      </c>
      <c r="D19" s="1" t="s">
        <v>130</v>
      </c>
      <c r="E19" s="4">
        <v>45292</v>
      </c>
      <c r="F19" s="4">
        <v>45345</v>
      </c>
      <c r="G19" s="1" t="s">
        <v>124</v>
      </c>
      <c r="H19" s="5">
        <v>125892.24</v>
      </c>
      <c r="I19" s="5">
        <v>8333.33</v>
      </c>
      <c r="J19" s="5">
        <v>0</v>
      </c>
      <c r="K19" s="5">
        <v>4650</v>
      </c>
      <c r="L19" s="5">
        <v>0</v>
      </c>
      <c r="M19" s="5">
        <v>12983.33</v>
      </c>
      <c r="N19" s="5">
        <v>95350</v>
      </c>
      <c r="O19" s="5">
        <v>0</v>
      </c>
      <c r="P19" s="5">
        <v>17558.91</v>
      </c>
      <c r="Q19" s="5">
        <v>112908.91</v>
      </c>
      <c r="R19" s="1" t="s">
        <v>131</v>
      </c>
      <c r="S19" s="1" t="s">
        <v>130</v>
      </c>
      <c r="T19" s="4">
        <v>45292</v>
      </c>
      <c r="U19" s="4">
        <v>45345</v>
      </c>
      <c r="V19" s="1" t="s">
        <v>124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112908.91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1" t="s">
        <v>126</v>
      </c>
    </row>
    <row r="20" spans="1:41" x14ac:dyDescent="0.25">
      <c r="A20" s="1">
        <f t="shared" si="2"/>
        <v>4</v>
      </c>
      <c r="B20" s="1" t="s">
        <v>132</v>
      </c>
      <c r="C20" s="1" t="s">
        <v>122</v>
      </c>
      <c r="D20" s="1" t="s">
        <v>123</v>
      </c>
      <c r="E20" s="4">
        <v>45292</v>
      </c>
      <c r="F20" s="4">
        <v>45349</v>
      </c>
      <c r="G20" s="1" t="s">
        <v>124</v>
      </c>
      <c r="H20" s="5">
        <v>47113.58</v>
      </c>
      <c r="I20" s="5">
        <v>3056</v>
      </c>
      <c r="J20" s="5">
        <v>6316.66</v>
      </c>
      <c r="K20" s="5">
        <v>2135.75</v>
      </c>
      <c r="L20" s="5">
        <v>1068.97</v>
      </c>
      <c r="M20" s="5">
        <v>12577.38</v>
      </c>
      <c r="N20" s="5">
        <v>34536.199999999997</v>
      </c>
      <c r="O20" s="5">
        <v>0</v>
      </c>
      <c r="P20" s="5">
        <v>0</v>
      </c>
      <c r="Q20" s="5">
        <v>34536.199999999997</v>
      </c>
      <c r="R20" s="1" t="s">
        <v>133</v>
      </c>
      <c r="S20" s="1" t="s">
        <v>123</v>
      </c>
      <c r="T20" s="4">
        <v>45292</v>
      </c>
      <c r="U20" s="4">
        <v>45349</v>
      </c>
      <c r="V20" s="1" t="s">
        <v>124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34536.199999999997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1" t="s">
        <v>126</v>
      </c>
    </row>
    <row r="21" spans="1:41" x14ac:dyDescent="0.25">
      <c r="A21" s="1">
        <f t="shared" si="2"/>
        <v>5</v>
      </c>
      <c r="B21" s="1" t="s">
        <v>134</v>
      </c>
      <c r="C21" s="1" t="s">
        <v>122</v>
      </c>
      <c r="D21" s="1" t="s">
        <v>123</v>
      </c>
      <c r="E21" s="4">
        <v>45292</v>
      </c>
      <c r="F21" s="4">
        <v>45351</v>
      </c>
      <c r="G21" s="1" t="s">
        <v>124</v>
      </c>
      <c r="H21" s="5">
        <v>46827.59</v>
      </c>
      <c r="I21" s="5">
        <v>3344.83</v>
      </c>
      <c r="J21" s="5">
        <v>0</v>
      </c>
      <c r="K21" s="5">
        <v>2820</v>
      </c>
      <c r="L21" s="5">
        <v>3344.83</v>
      </c>
      <c r="M21" s="5">
        <v>9509.66</v>
      </c>
      <c r="N21" s="5">
        <v>37317.93</v>
      </c>
      <c r="O21" s="5">
        <v>0</v>
      </c>
      <c r="P21" s="5">
        <v>0</v>
      </c>
      <c r="Q21" s="5">
        <v>37317.93</v>
      </c>
      <c r="R21" s="1" t="s">
        <v>135</v>
      </c>
      <c r="S21" s="1" t="s">
        <v>123</v>
      </c>
      <c r="T21" s="4">
        <v>45292</v>
      </c>
      <c r="U21" s="4">
        <v>45351</v>
      </c>
      <c r="V21" s="1" t="s">
        <v>124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37317.93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1" t="s">
        <v>126</v>
      </c>
    </row>
    <row r="22" spans="1:41" x14ac:dyDescent="0.25">
      <c r="A22" s="1">
        <f t="shared" si="2"/>
        <v>6</v>
      </c>
      <c r="B22" s="1" t="s">
        <v>136</v>
      </c>
      <c r="C22" s="1" t="s">
        <v>122</v>
      </c>
      <c r="D22" s="1" t="s">
        <v>123</v>
      </c>
      <c r="E22" s="4">
        <v>45292</v>
      </c>
      <c r="F22" s="4">
        <v>45357</v>
      </c>
      <c r="G22" s="1" t="s">
        <v>124</v>
      </c>
      <c r="H22" s="5">
        <v>54110.879999999997</v>
      </c>
      <c r="I22" s="5">
        <v>3709.14</v>
      </c>
      <c r="J22" s="5">
        <v>3887.03</v>
      </c>
      <c r="K22" s="5">
        <v>2946</v>
      </c>
      <c r="L22" s="5">
        <v>1206.9000000000001</v>
      </c>
      <c r="M22" s="5">
        <v>11749.07</v>
      </c>
      <c r="N22" s="5">
        <v>41563.65</v>
      </c>
      <c r="O22" s="5">
        <v>0</v>
      </c>
      <c r="P22" s="5">
        <v>798.16</v>
      </c>
      <c r="Q22" s="5">
        <v>42361.81</v>
      </c>
      <c r="R22" s="1" t="s">
        <v>137</v>
      </c>
      <c r="S22" s="1" t="s">
        <v>123</v>
      </c>
      <c r="T22" s="4">
        <v>45292</v>
      </c>
      <c r="U22" s="4">
        <v>45357</v>
      </c>
      <c r="V22" s="1" t="s">
        <v>124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42361.81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1" t="s">
        <v>126</v>
      </c>
    </row>
    <row r="23" spans="1:41" x14ac:dyDescent="0.25">
      <c r="A23" s="1">
        <f t="shared" si="2"/>
        <v>7</v>
      </c>
      <c r="B23" s="1" t="s">
        <v>138</v>
      </c>
      <c r="C23" s="1" t="s">
        <v>122</v>
      </c>
      <c r="D23" s="1" t="s">
        <v>130</v>
      </c>
      <c r="E23" s="4">
        <v>45292</v>
      </c>
      <c r="F23" s="4">
        <v>45354</v>
      </c>
      <c r="G23" s="1" t="s">
        <v>124</v>
      </c>
      <c r="H23" s="5">
        <v>74753.22</v>
      </c>
      <c r="I23" s="5">
        <v>4932.95</v>
      </c>
      <c r="J23" s="5">
        <v>0</v>
      </c>
      <c r="K23" s="5">
        <v>4025</v>
      </c>
      <c r="L23" s="5">
        <v>3551.72</v>
      </c>
      <c r="M23" s="5">
        <v>12509.67</v>
      </c>
      <c r="N23" s="5">
        <v>55170.400000000001</v>
      </c>
      <c r="O23" s="5">
        <v>0</v>
      </c>
      <c r="P23" s="5">
        <v>7073.15</v>
      </c>
      <c r="Q23" s="5">
        <v>62243.55</v>
      </c>
      <c r="R23" s="1" t="s">
        <v>139</v>
      </c>
      <c r="S23" s="1" t="s">
        <v>130</v>
      </c>
      <c r="T23" s="4">
        <v>45292</v>
      </c>
      <c r="U23" s="4">
        <v>45354</v>
      </c>
      <c r="V23" s="1" t="s">
        <v>124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62243.55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1" t="s">
        <v>126</v>
      </c>
    </row>
    <row r="24" spans="1:41" x14ac:dyDescent="0.25">
      <c r="A24" s="1">
        <f t="shared" si="2"/>
        <v>8</v>
      </c>
      <c r="B24" s="1" t="s">
        <v>140</v>
      </c>
      <c r="C24" s="1" t="s">
        <v>122</v>
      </c>
      <c r="D24" s="1" t="s">
        <v>130</v>
      </c>
      <c r="E24" s="4">
        <v>45292</v>
      </c>
      <c r="F24" s="4">
        <v>45367</v>
      </c>
      <c r="G24" s="1" t="s">
        <v>124</v>
      </c>
      <c r="H24" s="5">
        <v>306270.11</v>
      </c>
      <c r="I24" s="5">
        <v>23132.18</v>
      </c>
      <c r="J24" s="5">
        <v>0</v>
      </c>
      <c r="K24" s="5">
        <v>10800</v>
      </c>
      <c r="L24" s="5">
        <v>5551.72</v>
      </c>
      <c r="M24" s="5">
        <v>39483.9</v>
      </c>
      <c r="N24" s="5">
        <v>266786.21000000002</v>
      </c>
      <c r="O24" s="5">
        <v>0</v>
      </c>
      <c r="P24" s="5">
        <v>0</v>
      </c>
      <c r="Q24" s="5">
        <v>266786.21000000002</v>
      </c>
      <c r="R24" s="1" t="s">
        <v>141</v>
      </c>
      <c r="S24" s="1" t="s">
        <v>130</v>
      </c>
      <c r="T24" s="4">
        <v>45292</v>
      </c>
      <c r="U24" s="4">
        <v>45367</v>
      </c>
      <c r="V24" s="1" t="s">
        <v>124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266786.21000000002</v>
      </c>
      <c r="AH24" s="5">
        <v>2517.9299999999998</v>
      </c>
      <c r="AI24" s="5">
        <v>0</v>
      </c>
      <c r="AJ24" s="5">
        <v>0</v>
      </c>
      <c r="AK24" s="5">
        <v>0</v>
      </c>
      <c r="AL24" s="5">
        <v>2517.9299999999998</v>
      </c>
      <c r="AM24" s="5">
        <v>0</v>
      </c>
      <c r="AN24" s="5">
        <v>2517.9299999999998</v>
      </c>
      <c r="AO24" s="1" t="s">
        <v>126</v>
      </c>
    </row>
    <row r="25" spans="1:41" x14ac:dyDescent="0.25">
      <c r="A25" s="1">
        <f t="shared" si="2"/>
        <v>9</v>
      </c>
      <c r="B25" s="1" t="s">
        <v>142</v>
      </c>
      <c r="C25" s="1" t="s">
        <v>122</v>
      </c>
      <c r="D25" s="1" t="s">
        <v>123</v>
      </c>
      <c r="E25" s="4">
        <v>45292</v>
      </c>
      <c r="F25" s="4">
        <v>45367</v>
      </c>
      <c r="G25" s="1" t="s">
        <v>124</v>
      </c>
      <c r="H25" s="5">
        <v>68461.919999999998</v>
      </c>
      <c r="I25" s="5">
        <v>4247.07</v>
      </c>
      <c r="J25" s="5">
        <v>10431.450000000001</v>
      </c>
      <c r="K25" s="5">
        <v>3805.5</v>
      </c>
      <c r="L25" s="5">
        <v>1387.93</v>
      </c>
      <c r="M25" s="5">
        <v>19871.95</v>
      </c>
      <c r="N25" s="5">
        <v>47159.33</v>
      </c>
      <c r="O25" s="5">
        <v>0</v>
      </c>
      <c r="P25" s="5">
        <v>1430.64</v>
      </c>
      <c r="Q25" s="5">
        <v>48589.97</v>
      </c>
      <c r="R25" s="1" t="s">
        <v>143</v>
      </c>
      <c r="S25" s="1" t="s">
        <v>123</v>
      </c>
      <c r="T25" s="4">
        <v>45292</v>
      </c>
      <c r="U25" s="4">
        <v>45367</v>
      </c>
      <c r="V25" s="1" t="s">
        <v>124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48589.97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1" t="s">
        <v>126</v>
      </c>
    </row>
    <row r="26" spans="1:41" x14ac:dyDescent="0.25">
      <c r="A26" s="1">
        <f t="shared" si="2"/>
        <v>10</v>
      </c>
      <c r="B26" s="1" t="s">
        <v>144</v>
      </c>
      <c r="C26" s="1" t="s">
        <v>122</v>
      </c>
      <c r="D26" s="1" t="s">
        <v>123</v>
      </c>
      <c r="E26" s="4">
        <v>45292</v>
      </c>
      <c r="F26" s="4">
        <v>45367</v>
      </c>
      <c r="G26" s="1" t="s">
        <v>124</v>
      </c>
      <c r="H26" s="5">
        <v>123813.1</v>
      </c>
      <c r="I26" s="5">
        <v>8882.76</v>
      </c>
      <c r="J26" s="5">
        <v>5561.38</v>
      </c>
      <c r="K26" s="5">
        <v>6455</v>
      </c>
      <c r="L26" s="5">
        <v>2775.86</v>
      </c>
      <c r="M26" s="5">
        <v>23675</v>
      </c>
      <c r="N26" s="5">
        <v>100138.1</v>
      </c>
      <c r="O26" s="5">
        <v>0</v>
      </c>
      <c r="P26" s="5">
        <v>0</v>
      </c>
      <c r="Q26" s="5">
        <v>100138.1</v>
      </c>
      <c r="R26" s="1" t="s">
        <v>145</v>
      </c>
      <c r="S26" s="1" t="s">
        <v>123</v>
      </c>
      <c r="T26" s="4">
        <v>45292</v>
      </c>
      <c r="U26" s="4">
        <v>45367</v>
      </c>
      <c r="V26" s="1" t="s">
        <v>124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100138.1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1" t="s">
        <v>126</v>
      </c>
    </row>
    <row r="27" spans="1:41" x14ac:dyDescent="0.25">
      <c r="A27" s="1">
        <f t="shared" si="2"/>
        <v>11</v>
      </c>
      <c r="B27" s="1" t="s">
        <v>146</v>
      </c>
      <c r="C27" s="1" t="s">
        <v>122</v>
      </c>
      <c r="D27" s="1" t="s">
        <v>123</v>
      </c>
      <c r="E27" s="4">
        <v>45292</v>
      </c>
      <c r="F27" s="4">
        <v>45373</v>
      </c>
      <c r="G27" s="1" t="s">
        <v>124</v>
      </c>
      <c r="H27" s="5">
        <v>176247.14</v>
      </c>
      <c r="I27" s="5">
        <v>14109.2</v>
      </c>
      <c r="J27" s="5">
        <v>0</v>
      </c>
      <c r="K27" s="5">
        <v>1127.5899999999999</v>
      </c>
      <c r="L27" s="5">
        <v>0</v>
      </c>
      <c r="M27" s="5">
        <v>15236.79</v>
      </c>
      <c r="N27" s="5">
        <v>161010.35</v>
      </c>
      <c r="O27" s="5">
        <v>0</v>
      </c>
      <c r="P27" s="5">
        <v>0</v>
      </c>
      <c r="Q27" s="5">
        <v>161010.35</v>
      </c>
      <c r="R27" s="1" t="s">
        <v>147</v>
      </c>
      <c r="S27" s="1" t="s">
        <v>123</v>
      </c>
      <c r="T27" s="4">
        <v>45292</v>
      </c>
      <c r="U27" s="4">
        <v>45373</v>
      </c>
      <c r="V27" s="1" t="s">
        <v>124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161010.35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1" t="s">
        <v>126</v>
      </c>
    </row>
    <row r="28" spans="1:41" x14ac:dyDescent="0.25">
      <c r="A28" s="1">
        <f t="shared" si="2"/>
        <v>12</v>
      </c>
      <c r="B28" s="1" t="s">
        <v>148</v>
      </c>
      <c r="C28" s="1" t="s">
        <v>122</v>
      </c>
      <c r="D28" s="1" t="s">
        <v>130</v>
      </c>
      <c r="E28" s="4">
        <v>45292</v>
      </c>
      <c r="F28" s="4">
        <v>45373</v>
      </c>
      <c r="G28" s="1" t="s">
        <v>124</v>
      </c>
      <c r="H28" s="5">
        <v>267159.48</v>
      </c>
      <c r="I28" s="5">
        <v>17887.93</v>
      </c>
      <c r="J28" s="5">
        <v>0</v>
      </c>
      <c r="K28" s="5">
        <v>9237.5</v>
      </c>
      <c r="L28" s="5">
        <v>0</v>
      </c>
      <c r="M28" s="5">
        <v>27125.43</v>
      </c>
      <c r="N28" s="5">
        <v>205417.67</v>
      </c>
      <c r="O28" s="5">
        <v>0</v>
      </c>
      <c r="P28" s="5">
        <v>34616.379999999997</v>
      </c>
      <c r="Q28" s="5">
        <v>240034.05</v>
      </c>
      <c r="R28" s="1" t="s">
        <v>149</v>
      </c>
      <c r="S28" s="1" t="s">
        <v>130</v>
      </c>
      <c r="T28" s="4">
        <v>45292</v>
      </c>
      <c r="U28" s="4">
        <v>45373</v>
      </c>
      <c r="V28" s="1" t="s">
        <v>124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240034.05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1" t="s">
        <v>126</v>
      </c>
    </row>
    <row r="29" spans="1:41" x14ac:dyDescent="0.25">
      <c r="A29" s="1">
        <f t="shared" si="2"/>
        <v>13</v>
      </c>
      <c r="B29" s="1" t="s">
        <v>150</v>
      </c>
      <c r="C29" s="1" t="s">
        <v>122</v>
      </c>
      <c r="D29" s="1" t="s">
        <v>123</v>
      </c>
      <c r="E29" s="4">
        <v>45292</v>
      </c>
      <c r="F29" s="4">
        <v>45381</v>
      </c>
      <c r="G29" s="1" t="s">
        <v>124</v>
      </c>
      <c r="H29" s="5">
        <v>80484.28</v>
      </c>
      <c r="I29" s="5">
        <v>5614.62</v>
      </c>
      <c r="J29" s="5">
        <v>5926.67</v>
      </c>
      <c r="K29" s="5">
        <v>4899.5</v>
      </c>
      <c r="L29" s="5">
        <v>1614.94</v>
      </c>
      <c r="M29" s="5">
        <v>18055.73</v>
      </c>
      <c r="N29" s="5">
        <v>62428.55</v>
      </c>
      <c r="O29" s="5">
        <v>0</v>
      </c>
      <c r="P29" s="5">
        <v>0</v>
      </c>
      <c r="Q29" s="5">
        <v>62428.55</v>
      </c>
      <c r="R29" s="1" t="s">
        <v>151</v>
      </c>
      <c r="S29" s="1" t="s">
        <v>123</v>
      </c>
      <c r="T29" s="4">
        <v>45292</v>
      </c>
      <c r="U29" s="4">
        <v>45381</v>
      </c>
      <c r="V29" s="1" t="s">
        <v>124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62428.55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1" t="s">
        <v>126</v>
      </c>
    </row>
    <row r="30" spans="1:41" x14ac:dyDescent="0.25">
      <c r="A30" s="1">
        <f t="shared" si="2"/>
        <v>14</v>
      </c>
      <c r="B30" s="1" t="s">
        <v>152</v>
      </c>
      <c r="C30" s="1" t="s">
        <v>122</v>
      </c>
      <c r="D30" s="1" t="s">
        <v>123</v>
      </c>
      <c r="E30" s="4">
        <v>45292</v>
      </c>
      <c r="F30" s="4">
        <v>45384</v>
      </c>
      <c r="G30" s="1" t="s">
        <v>124</v>
      </c>
      <c r="H30" s="5">
        <v>99355.37</v>
      </c>
      <c r="I30" s="5">
        <v>6920.5</v>
      </c>
      <c r="J30" s="5">
        <v>4406.13</v>
      </c>
      <c r="K30" s="5">
        <v>5750</v>
      </c>
      <c r="L30" s="5">
        <v>4982.76</v>
      </c>
      <c r="M30" s="5">
        <v>22059.39</v>
      </c>
      <c r="N30" s="5">
        <v>77295.98</v>
      </c>
      <c r="O30" s="5">
        <v>0</v>
      </c>
      <c r="P30" s="5">
        <v>0</v>
      </c>
      <c r="Q30" s="5">
        <v>77295.98</v>
      </c>
      <c r="R30" s="1" t="s">
        <v>153</v>
      </c>
      <c r="S30" s="1" t="s">
        <v>123</v>
      </c>
      <c r="T30" s="4">
        <v>45292</v>
      </c>
      <c r="U30" s="4">
        <v>45384</v>
      </c>
      <c r="V30" s="1" t="s">
        <v>124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77295.98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1" t="s">
        <v>126</v>
      </c>
    </row>
    <row r="31" spans="1:41" x14ac:dyDescent="0.25">
      <c r="A31" s="1">
        <f t="shared" si="2"/>
        <v>15</v>
      </c>
      <c r="B31" s="1" t="s">
        <v>154</v>
      </c>
      <c r="C31" s="1" t="s">
        <v>122</v>
      </c>
      <c r="D31" s="1" t="s">
        <v>123</v>
      </c>
      <c r="E31" s="4">
        <v>45292</v>
      </c>
      <c r="F31" s="4">
        <v>45397</v>
      </c>
      <c r="G31" s="1" t="s">
        <v>124</v>
      </c>
      <c r="H31" s="5">
        <v>741573.92</v>
      </c>
      <c r="I31" s="5">
        <v>50344.83</v>
      </c>
      <c r="J31" s="5">
        <v>31117.24</v>
      </c>
      <c r="K31" s="5">
        <v>14850</v>
      </c>
      <c r="L31" s="5">
        <v>7551.72</v>
      </c>
      <c r="M31" s="5">
        <v>103863.79</v>
      </c>
      <c r="N31" s="5">
        <v>589287.93000000005</v>
      </c>
      <c r="O31" s="5">
        <v>0</v>
      </c>
      <c r="P31" s="5">
        <v>48422.2</v>
      </c>
      <c r="Q31" s="5">
        <v>637710.13</v>
      </c>
      <c r="R31" s="1" t="s">
        <v>155</v>
      </c>
      <c r="S31" s="1" t="s">
        <v>123</v>
      </c>
      <c r="T31" s="4">
        <v>45292</v>
      </c>
      <c r="U31" s="4">
        <v>45397</v>
      </c>
      <c r="V31" s="1" t="s">
        <v>124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637710.13</v>
      </c>
      <c r="AH31" s="5">
        <v>70042.03</v>
      </c>
      <c r="AI31" s="5">
        <v>0</v>
      </c>
      <c r="AJ31" s="5">
        <v>0</v>
      </c>
      <c r="AK31" s="5">
        <v>0</v>
      </c>
      <c r="AL31" s="5">
        <v>70042.03</v>
      </c>
      <c r="AM31" s="5">
        <v>0</v>
      </c>
      <c r="AN31" s="5">
        <v>70042.03</v>
      </c>
      <c r="AO31" s="1" t="s">
        <v>126</v>
      </c>
    </row>
    <row r="32" spans="1:41" x14ac:dyDescent="0.25">
      <c r="A32" s="1">
        <f t="shared" si="2"/>
        <v>16</v>
      </c>
      <c r="B32" s="1" t="s">
        <v>156</v>
      </c>
      <c r="C32" s="1" t="s">
        <v>122</v>
      </c>
      <c r="D32" s="1" t="s">
        <v>123</v>
      </c>
      <c r="E32" s="4">
        <v>45292</v>
      </c>
      <c r="F32" s="4">
        <v>45394</v>
      </c>
      <c r="G32" s="1" t="s">
        <v>124</v>
      </c>
      <c r="H32" s="5">
        <v>106597.85</v>
      </c>
      <c r="I32" s="5">
        <v>6258.04</v>
      </c>
      <c r="J32" s="5">
        <v>3945.79</v>
      </c>
      <c r="K32" s="5">
        <v>6556.17</v>
      </c>
      <c r="L32" s="5">
        <v>1841.95</v>
      </c>
      <c r="M32" s="5">
        <v>18601.95</v>
      </c>
      <c r="N32" s="5">
        <v>68540.3</v>
      </c>
      <c r="O32" s="5">
        <v>0</v>
      </c>
      <c r="P32" s="5">
        <v>19455.599999999999</v>
      </c>
      <c r="Q32" s="5">
        <v>87995.9</v>
      </c>
      <c r="R32" s="1" t="s">
        <v>157</v>
      </c>
      <c r="S32" s="1" t="s">
        <v>123</v>
      </c>
      <c r="T32" s="4">
        <v>45292</v>
      </c>
      <c r="U32" s="4">
        <v>45394</v>
      </c>
      <c r="V32" s="1" t="s">
        <v>124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87995.9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1" t="s">
        <v>126</v>
      </c>
    </row>
    <row r="33" spans="1:41" x14ac:dyDescent="0.25">
      <c r="A33" s="1">
        <f t="shared" si="2"/>
        <v>17</v>
      </c>
      <c r="B33" s="1" t="s">
        <v>158</v>
      </c>
      <c r="C33" s="1" t="s">
        <v>122</v>
      </c>
      <c r="D33" s="1" t="s">
        <v>123</v>
      </c>
      <c r="E33" s="4">
        <v>45292</v>
      </c>
      <c r="F33" s="4">
        <v>45397</v>
      </c>
      <c r="G33" s="1" t="s">
        <v>124</v>
      </c>
      <c r="H33" s="5">
        <v>137300.18</v>
      </c>
      <c r="I33" s="5">
        <v>8488.6</v>
      </c>
      <c r="J33" s="5">
        <v>15937.07</v>
      </c>
      <c r="K33" s="5">
        <v>7702.12</v>
      </c>
      <c r="L33" s="5">
        <v>1864.94</v>
      </c>
      <c r="M33" s="5">
        <v>33992.730000000003</v>
      </c>
      <c r="N33" s="5">
        <v>94161.04</v>
      </c>
      <c r="O33" s="5">
        <v>0</v>
      </c>
      <c r="P33" s="5">
        <v>9146.41</v>
      </c>
      <c r="Q33" s="5">
        <v>103307.45</v>
      </c>
      <c r="R33" s="1" t="s">
        <v>159</v>
      </c>
      <c r="S33" s="1" t="s">
        <v>123</v>
      </c>
      <c r="T33" s="4">
        <v>45292</v>
      </c>
      <c r="U33" s="4">
        <v>45397</v>
      </c>
      <c r="V33" s="1" t="s">
        <v>124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103307.45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1" t="s">
        <v>126</v>
      </c>
    </row>
    <row r="34" spans="1:41" x14ac:dyDescent="0.25">
      <c r="A34" s="1">
        <f t="shared" si="2"/>
        <v>18</v>
      </c>
      <c r="B34" s="1" t="s">
        <v>160</v>
      </c>
      <c r="C34" s="1" t="s">
        <v>122</v>
      </c>
      <c r="D34" s="1" t="s">
        <v>123</v>
      </c>
      <c r="E34" s="4">
        <v>45292</v>
      </c>
      <c r="F34" s="4">
        <v>45401</v>
      </c>
      <c r="G34" s="1" t="s">
        <v>124</v>
      </c>
      <c r="H34" s="5">
        <v>374307.18</v>
      </c>
      <c r="I34" s="5">
        <v>27787.69</v>
      </c>
      <c r="J34" s="5">
        <v>11087.36</v>
      </c>
      <c r="K34" s="5">
        <v>13468.37</v>
      </c>
      <c r="L34" s="5">
        <v>1979.89</v>
      </c>
      <c r="M34" s="5">
        <v>54323.31</v>
      </c>
      <c r="N34" s="5">
        <v>319983.87</v>
      </c>
      <c r="O34" s="5">
        <v>0</v>
      </c>
      <c r="P34" s="5">
        <v>0</v>
      </c>
      <c r="Q34" s="5">
        <v>319983.87</v>
      </c>
      <c r="R34" s="1" t="s">
        <v>161</v>
      </c>
      <c r="S34" s="1" t="s">
        <v>123</v>
      </c>
      <c r="T34" s="4">
        <v>45292</v>
      </c>
      <c r="U34" s="4">
        <v>45401</v>
      </c>
      <c r="V34" s="1" t="s">
        <v>124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319983.87</v>
      </c>
      <c r="AH34" s="5">
        <v>10497.58</v>
      </c>
      <c r="AI34" s="5">
        <v>0</v>
      </c>
      <c r="AJ34" s="5">
        <v>0</v>
      </c>
      <c r="AK34" s="5">
        <v>0</v>
      </c>
      <c r="AL34" s="5">
        <v>10497.58</v>
      </c>
      <c r="AM34" s="5">
        <v>0</v>
      </c>
      <c r="AN34" s="5">
        <v>10497.58</v>
      </c>
      <c r="AO34" s="1" t="s">
        <v>126</v>
      </c>
    </row>
    <row r="35" spans="1:41" x14ac:dyDescent="0.25">
      <c r="A35" s="1">
        <f t="shared" si="2"/>
        <v>19</v>
      </c>
      <c r="B35" s="1" t="s">
        <v>162</v>
      </c>
      <c r="C35" s="1" t="s">
        <v>122</v>
      </c>
      <c r="D35" s="1" t="s">
        <v>123</v>
      </c>
      <c r="E35" s="4">
        <v>45292</v>
      </c>
      <c r="F35" s="4">
        <v>45401</v>
      </c>
      <c r="G35" s="1" t="s">
        <v>124</v>
      </c>
      <c r="H35" s="5">
        <v>102161.07</v>
      </c>
      <c r="I35" s="5">
        <v>6503.92</v>
      </c>
      <c r="J35" s="5">
        <v>15203.05</v>
      </c>
      <c r="K35" s="5">
        <v>5533.25</v>
      </c>
      <c r="L35" s="5">
        <v>1979.89</v>
      </c>
      <c r="M35" s="5">
        <v>29220.11</v>
      </c>
      <c r="N35" s="5">
        <v>72513.820000000007</v>
      </c>
      <c r="O35" s="5">
        <v>0</v>
      </c>
      <c r="P35" s="5">
        <v>427.14</v>
      </c>
      <c r="Q35" s="5">
        <v>72940.960000000006</v>
      </c>
      <c r="R35" s="1" t="s">
        <v>163</v>
      </c>
      <c r="S35" s="1" t="s">
        <v>123</v>
      </c>
      <c r="T35" s="4">
        <v>45292</v>
      </c>
      <c r="U35" s="4">
        <v>45401</v>
      </c>
      <c r="V35" s="1" t="s">
        <v>124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72940.960000000006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1" t="s">
        <v>126</v>
      </c>
    </row>
    <row r="36" spans="1:41" x14ac:dyDescent="0.25">
      <c r="A36" s="1">
        <f t="shared" si="2"/>
        <v>20</v>
      </c>
      <c r="B36" s="1" t="s">
        <v>164</v>
      </c>
      <c r="C36" s="1" t="s">
        <v>122</v>
      </c>
      <c r="D36" s="1" t="s">
        <v>123</v>
      </c>
      <c r="E36" s="4">
        <v>45292</v>
      </c>
      <c r="F36" s="4">
        <v>45411</v>
      </c>
      <c r="G36" s="1" t="s">
        <v>124</v>
      </c>
      <c r="H36" s="5">
        <v>102259.65</v>
      </c>
      <c r="I36" s="5">
        <v>6460.11</v>
      </c>
      <c r="J36" s="5">
        <v>16140.23</v>
      </c>
      <c r="K36" s="5">
        <v>5144.75</v>
      </c>
      <c r="L36" s="5">
        <v>2137.9299999999998</v>
      </c>
      <c r="M36" s="5">
        <v>29883.02</v>
      </c>
      <c r="N36" s="5">
        <v>72376.63</v>
      </c>
      <c r="O36" s="5">
        <v>0</v>
      </c>
      <c r="P36" s="5">
        <v>0</v>
      </c>
      <c r="Q36" s="5">
        <v>72376.63</v>
      </c>
      <c r="R36" s="1" t="s">
        <v>165</v>
      </c>
      <c r="S36" s="1" t="s">
        <v>123</v>
      </c>
      <c r="T36" s="4">
        <v>45292</v>
      </c>
      <c r="U36" s="4">
        <v>45411</v>
      </c>
      <c r="V36" s="1" t="s">
        <v>124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72376.63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1" t="s">
        <v>126</v>
      </c>
    </row>
    <row r="37" spans="1:41" x14ac:dyDescent="0.25">
      <c r="A37" s="1">
        <f t="shared" si="2"/>
        <v>21</v>
      </c>
      <c r="B37" s="1" t="s">
        <v>166</v>
      </c>
      <c r="C37" s="1" t="s">
        <v>122</v>
      </c>
      <c r="D37" s="1" t="s">
        <v>123</v>
      </c>
      <c r="E37" s="4">
        <v>45292</v>
      </c>
      <c r="F37" s="4">
        <v>45411</v>
      </c>
      <c r="G37" s="1" t="s">
        <v>124</v>
      </c>
      <c r="H37" s="5">
        <v>108414.94</v>
      </c>
      <c r="I37" s="5">
        <v>7658.62</v>
      </c>
      <c r="J37" s="5">
        <v>6737.93</v>
      </c>
      <c r="K37" s="5">
        <v>6813.5</v>
      </c>
      <c r="L37" s="5">
        <v>2114.94</v>
      </c>
      <c r="M37" s="5">
        <v>23324.99</v>
      </c>
      <c r="N37" s="5">
        <v>85089.95</v>
      </c>
      <c r="O37" s="5">
        <v>0</v>
      </c>
      <c r="P37" s="5">
        <v>0</v>
      </c>
      <c r="Q37" s="5">
        <v>85089.95</v>
      </c>
      <c r="R37" s="1" t="s">
        <v>167</v>
      </c>
      <c r="S37" s="1" t="s">
        <v>123</v>
      </c>
      <c r="T37" s="4">
        <v>45292</v>
      </c>
      <c r="U37" s="4">
        <v>45411</v>
      </c>
      <c r="V37" s="1" t="s">
        <v>124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85089.95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1" t="s">
        <v>126</v>
      </c>
    </row>
    <row r="38" spans="1:41" x14ac:dyDescent="0.25">
      <c r="A38" s="1">
        <f t="shared" si="2"/>
        <v>22</v>
      </c>
      <c r="B38" s="1" t="s">
        <v>168</v>
      </c>
      <c r="C38" s="1" t="s">
        <v>122</v>
      </c>
      <c r="D38" s="1" t="s">
        <v>123</v>
      </c>
      <c r="E38" s="4">
        <v>45292</v>
      </c>
      <c r="F38" s="4">
        <v>45412</v>
      </c>
      <c r="G38" s="1" t="s">
        <v>124</v>
      </c>
      <c r="H38" s="5">
        <v>613379.31000000006</v>
      </c>
      <c r="I38" s="5">
        <v>42758.62</v>
      </c>
      <c r="J38" s="5">
        <v>6206.9</v>
      </c>
      <c r="K38" s="5">
        <v>16100</v>
      </c>
      <c r="L38" s="5">
        <v>8551.7199999999993</v>
      </c>
      <c r="M38" s="5">
        <v>73617.240000000005</v>
      </c>
      <c r="N38" s="5">
        <v>497003.45</v>
      </c>
      <c r="O38" s="5">
        <v>0</v>
      </c>
      <c r="P38" s="5">
        <v>42758.62</v>
      </c>
      <c r="Q38" s="5">
        <v>539762.06999999995</v>
      </c>
      <c r="R38" s="1" t="s">
        <v>169</v>
      </c>
      <c r="S38" s="1" t="s">
        <v>123</v>
      </c>
      <c r="T38" s="4">
        <v>45292</v>
      </c>
      <c r="U38" s="4">
        <v>45412</v>
      </c>
      <c r="V38" s="1" t="s">
        <v>124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539762.06999999995</v>
      </c>
      <c r="AH38" s="5">
        <v>50452.41</v>
      </c>
      <c r="AI38" s="5">
        <v>0</v>
      </c>
      <c r="AJ38" s="5">
        <v>0</v>
      </c>
      <c r="AK38" s="5">
        <v>0</v>
      </c>
      <c r="AL38" s="5">
        <v>50452.41</v>
      </c>
      <c r="AM38" s="5">
        <v>0</v>
      </c>
      <c r="AN38" s="5">
        <v>50452.41</v>
      </c>
      <c r="AO38" s="1" t="s">
        <v>126</v>
      </c>
    </row>
    <row r="39" spans="1:41" x14ac:dyDescent="0.25">
      <c r="A39" s="1">
        <f t="shared" si="2"/>
        <v>23</v>
      </c>
      <c r="B39" s="1" t="s">
        <v>170</v>
      </c>
      <c r="C39" s="1" t="s">
        <v>122</v>
      </c>
      <c r="D39" s="1" t="s">
        <v>123</v>
      </c>
      <c r="E39" s="4">
        <v>45292</v>
      </c>
      <c r="F39" s="4">
        <v>45412</v>
      </c>
      <c r="G39" s="1" t="s">
        <v>124</v>
      </c>
      <c r="H39" s="5">
        <v>198275.64</v>
      </c>
      <c r="I39" s="5">
        <v>1355.25</v>
      </c>
      <c r="J39" s="5">
        <v>0</v>
      </c>
      <c r="K39" s="5">
        <v>9800</v>
      </c>
      <c r="L39" s="5">
        <v>0</v>
      </c>
      <c r="M39" s="5">
        <v>11155.25</v>
      </c>
      <c r="N39" s="5">
        <v>146705.75</v>
      </c>
      <c r="O39" s="5">
        <v>0</v>
      </c>
      <c r="P39" s="5">
        <v>40414.639999999999</v>
      </c>
      <c r="Q39" s="5">
        <v>187120.39</v>
      </c>
      <c r="R39" s="1" t="s">
        <v>171</v>
      </c>
      <c r="S39" s="1" t="s">
        <v>123</v>
      </c>
      <c r="T39" s="4">
        <v>45292</v>
      </c>
      <c r="U39" s="4">
        <v>45412</v>
      </c>
      <c r="V39" s="1" t="s">
        <v>124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187120.39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1" t="s">
        <v>126</v>
      </c>
    </row>
    <row r="40" spans="1:41" x14ac:dyDescent="0.25">
      <c r="A40" s="1">
        <f t="shared" si="2"/>
        <v>24</v>
      </c>
      <c r="B40" s="1" t="s">
        <v>172</v>
      </c>
      <c r="C40" s="1" t="s">
        <v>122</v>
      </c>
      <c r="D40" s="1" t="s">
        <v>123</v>
      </c>
      <c r="E40" s="4">
        <v>45292</v>
      </c>
      <c r="F40" s="4">
        <v>45413</v>
      </c>
      <c r="G40" s="1" t="s">
        <v>124</v>
      </c>
      <c r="H40" s="5">
        <v>1226681.99</v>
      </c>
      <c r="I40" s="5">
        <v>90000</v>
      </c>
      <c r="J40" s="5">
        <v>0</v>
      </c>
      <c r="K40" s="5">
        <v>16100</v>
      </c>
      <c r="L40" s="5">
        <v>12965.52</v>
      </c>
      <c r="M40" s="5">
        <v>119065.52</v>
      </c>
      <c r="N40" s="5">
        <v>1064359.77</v>
      </c>
      <c r="O40" s="5">
        <v>38.31</v>
      </c>
      <c r="P40" s="5">
        <v>43218.39</v>
      </c>
      <c r="Q40" s="5">
        <v>1107616.47</v>
      </c>
      <c r="R40" s="1" t="s">
        <v>173</v>
      </c>
      <c r="S40" s="1" t="s">
        <v>123</v>
      </c>
      <c r="T40" s="4">
        <v>45292</v>
      </c>
      <c r="U40" s="4">
        <v>45413</v>
      </c>
      <c r="V40" s="1" t="s">
        <v>124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1107616.47</v>
      </c>
      <c r="AH40" s="5">
        <v>179404.12</v>
      </c>
      <c r="AI40" s="5">
        <v>0</v>
      </c>
      <c r="AJ40" s="5">
        <v>0</v>
      </c>
      <c r="AK40" s="5">
        <v>0</v>
      </c>
      <c r="AL40" s="5">
        <v>179404.12</v>
      </c>
      <c r="AM40" s="5">
        <v>0</v>
      </c>
      <c r="AN40" s="5">
        <v>179404.12</v>
      </c>
      <c r="AO40" s="1" t="s">
        <v>126</v>
      </c>
    </row>
    <row r="41" spans="1:41" x14ac:dyDescent="0.25">
      <c r="A41" s="1">
        <f t="shared" si="2"/>
        <v>25</v>
      </c>
      <c r="B41" s="1" t="s">
        <v>174</v>
      </c>
      <c r="C41" s="1" t="s">
        <v>122</v>
      </c>
      <c r="D41" s="1" t="s">
        <v>123</v>
      </c>
      <c r="E41" s="4">
        <v>45292</v>
      </c>
      <c r="F41" s="4">
        <v>45418</v>
      </c>
      <c r="G41" s="1" t="s">
        <v>124</v>
      </c>
      <c r="H41" s="5">
        <v>932988.61</v>
      </c>
      <c r="I41" s="5">
        <v>33670.5</v>
      </c>
      <c r="J41" s="5">
        <v>0</v>
      </c>
      <c r="K41" s="5">
        <v>16100</v>
      </c>
      <c r="L41" s="5">
        <v>8919.5400000000009</v>
      </c>
      <c r="M41" s="5">
        <v>58690.04</v>
      </c>
      <c r="N41" s="5">
        <v>429877.01</v>
      </c>
      <c r="O41" s="5">
        <v>0</v>
      </c>
      <c r="P41" s="5">
        <v>444421.56</v>
      </c>
      <c r="Q41" s="5">
        <v>874298.57</v>
      </c>
      <c r="R41" s="1" t="s">
        <v>175</v>
      </c>
      <c r="S41" s="1" t="s">
        <v>123</v>
      </c>
      <c r="T41" s="4">
        <v>45292</v>
      </c>
      <c r="U41" s="4">
        <v>45418</v>
      </c>
      <c r="V41" s="1" t="s">
        <v>124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874298.57</v>
      </c>
      <c r="AH41" s="5">
        <v>121074.64</v>
      </c>
      <c r="AI41" s="5">
        <v>0</v>
      </c>
      <c r="AJ41" s="5">
        <v>0</v>
      </c>
      <c r="AK41" s="5">
        <v>0</v>
      </c>
      <c r="AL41" s="5">
        <v>121074.64</v>
      </c>
      <c r="AM41" s="5">
        <v>0</v>
      </c>
      <c r="AN41" s="5">
        <v>121074.64</v>
      </c>
      <c r="AO41" s="1" t="s">
        <v>126</v>
      </c>
    </row>
    <row r="42" spans="1:41" x14ac:dyDescent="0.25">
      <c r="A42" s="1">
        <f t="shared" si="2"/>
        <v>26</v>
      </c>
      <c r="B42" s="1" t="s">
        <v>176</v>
      </c>
      <c r="C42" s="1" t="s">
        <v>122</v>
      </c>
      <c r="D42" s="1" t="s">
        <v>130</v>
      </c>
      <c r="E42" s="4">
        <v>45292</v>
      </c>
      <c r="F42" s="4">
        <v>45397</v>
      </c>
      <c r="G42" s="1" t="s">
        <v>124</v>
      </c>
      <c r="H42" s="5">
        <v>389865.97</v>
      </c>
      <c r="I42" s="5">
        <v>25134.1</v>
      </c>
      <c r="J42" s="5">
        <v>0</v>
      </c>
      <c r="K42" s="5">
        <v>14100</v>
      </c>
      <c r="L42" s="5">
        <v>5655.17</v>
      </c>
      <c r="M42" s="5">
        <v>44889.27</v>
      </c>
      <c r="N42" s="5">
        <v>287509.2</v>
      </c>
      <c r="O42" s="5">
        <v>0</v>
      </c>
      <c r="P42" s="5">
        <v>57467.5</v>
      </c>
      <c r="Q42" s="5">
        <v>344976.7</v>
      </c>
      <c r="R42" s="1" t="s">
        <v>177</v>
      </c>
      <c r="S42" s="1" t="s">
        <v>130</v>
      </c>
      <c r="T42" s="4">
        <v>45292</v>
      </c>
      <c r="U42" s="4">
        <v>45397</v>
      </c>
      <c r="V42" s="1" t="s">
        <v>124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344976.7</v>
      </c>
      <c r="AH42" s="5">
        <v>14246.51</v>
      </c>
      <c r="AI42" s="5">
        <v>0</v>
      </c>
      <c r="AJ42" s="5">
        <v>0</v>
      </c>
      <c r="AK42" s="5">
        <v>0</v>
      </c>
      <c r="AL42" s="5">
        <v>14246.51</v>
      </c>
      <c r="AM42" s="5">
        <v>0</v>
      </c>
      <c r="AN42" s="5">
        <v>14246.51</v>
      </c>
      <c r="AO42" s="1" t="s">
        <v>126</v>
      </c>
    </row>
    <row r="43" spans="1:41" x14ac:dyDescent="0.25">
      <c r="A43" s="1">
        <f t="shared" si="2"/>
        <v>27</v>
      </c>
      <c r="B43" s="1" t="s">
        <v>178</v>
      </c>
      <c r="C43" s="1" t="s">
        <v>122</v>
      </c>
      <c r="D43" s="1" t="s">
        <v>130</v>
      </c>
      <c r="E43" s="4">
        <v>45292</v>
      </c>
      <c r="F43" s="4">
        <v>45422</v>
      </c>
      <c r="G43" s="1" t="s">
        <v>124</v>
      </c>
      <c r="H43" s="5">
        <v>442246.83</v>
      </c>
      <c r="I43" s="5">
        <v>23189.66</v>
      </c>
      <c r="J43" s="5">
        <v>0</v>
      </c>
      <c r="K43" s="5">
        <v>12100</v>
      </c>
      <c r="L43" s="5">
        <v>0</v>
      </c>
      <c r="M43" s="5">
        <v>35289.660000000003</v>
      </c>
      <c r="N43" s="5">
        <v>266175.86</v>
      </c>
      <c r="O43" s="5">
        <v>0</v>
      </c>
      <c r="P43" s="5">
        <v>140781.31</v>
      </c>
      <c r="Q43" s="5">
        <v>406957.17</v>
      </c>
      <c r="R43" s="1" t="s">
        <v>179</v>
      </c>
      <c r="S43" s="1" t="s">
        <v>130</v>
      </c>
      <c r="T43" s="4">
        <v>45292</v>
      </c>
      <c r="U43" s="4">
        <v>45422</v>
      </c>
      <c r="V43" s="1" t="s">
        <v>124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406957.17</v>
      </c>
      <c r="AH43" s="5">
        <v>23891.43</v>
      </c>
      <c r="AI43" s="5">
        <v>0</v>
      </c>
      <c r="AJ43" s="5">
        <v>0</v>
      </c>
      <c r="AK43" s="5">
        <v>0</v>
      </c>
      <c r="AL43" s="5">
        <v>23891.43</v>
      </c>
      <c r="AM43" s="5">
        <v>0</v>
      </c>
      <c r="AN43" s="5">
        <v>23891.43</v>
      </c>
      <c r="AO43" s="1" t="s">
        <v>126</v>
      </c>
    </row>
    <row r="44" spans="1:41" x14ac:dyDescent="0.25">
      <c r="A44" s="1">
        <f t="shared" si="2"/>
        <v>28</v>
      </c>
      <c r="B44" s="1" t="s">
        <v>180</v>
      </c>
      <c r="C44" s="1" t="s">
        <v>122</v>
      </c>
      <c r="D44" s="1" t="s">
        <v>123</v>
      </c>
      <c r="E44" s="4">
        <v>45292</v>
      </c>
      <c r="F44" s="4">
        <v>45425</v>
      </c>
      <c r="G44" s="1" t="s">
        <v>124</v>
      </c>
      <c r="H44" s="5">
        <v>321404.82</v>
      </c>
      <c r="I44" s="5">
        <v>22514.25</v>
      </c>
      <c r="J44" s="5">
        <v>26374.71</v>
      </c>
      <c r="K44" s="5">
        <v>11861</v>
      </c>
      <c r="L44" s="5">
        <v>2344.83</v>
      </c>
      <c r="M44" s="5">
        <v>63094.79</v>
      </c>
      <c r="N44" s="5">
        <v>258310.03</v>
      </c>
      <c r="O44" s="5">
        <v>0</v>
      </c>
      <c r="P44" s="5">
        <v>0</v>
      </c>
      <c r="Q44" s="5">
        <v>258310.03</v>
      </c>
      <c r="R44" s="1" t="s">
        <v>181</v>
      </c>
      <c r="S44" s="1" t="s">
        <v>123</v>
      </c>
      <c r="T44" s="4">
        <v>45292</v>
      </c>
      <c r="U44" s="4">
        <v>45425</v>
      </c>
      <c r="V44" s="1" t="s">
        <v>124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258310.03</v>
      </c>
      <c r="AH44" s="5">
        <v>1246.5</v>
      </c>
      <c r="AI44" s="5">
        <v>0</v>
      </c>
      <c r="AJ44" s="5">
        <v>0</v>
      </c>
      <c r="AK44" s="5">
        <v>0</v>
      </c>
      <c r="AL44" s="5">
        <v>1246.5</v>
      </c>
      <c r="AM44" s="5">
        <v>0</v>
      </c>
      <c r="AN44" s="5">
        <v>1246.5</v>
      </c>
      <c r="AO44" s="1" t="s">
        <v>126</v>
      </c>
    </row>
    <row r="45" spans="1:41" x14ac:dyDescent="0.25">
      <c r="A45" s="1">
        <f t="shared" si="2"/>
        <v>29</v>
      </c>
      <c r="B45" s="1" t="s">
        <v>182</v>
      </c>
      <c r="C45" s="1" t="s">
        <v>122</v>
      </c>
      <c r="D45" s="1" t="s">
        <v>123</v>
      </c>
      <c r="E45" s="4">
        <v>45292</v>
      </c>
      <c r="F45" s="4">
        <v>45434</v>
      </c>
      <c r="G45" s="1" t="s">
        <v>124</v>
      </c>
      <c r="H45" s="5">
        <v>384417.48</v>
      </c>
      <c r="I45" s="5">
        <v>25000</v>
      </c>
      <c r="J45" s="5">
        <v>1379.31</v>
      </c>
      <c r="K45" s="5">
        <v>14400</v>
      </c>
      <c r="L45" s="5">
        <v>7500</v>
      </c>
      <c r="M45" s="5">
        <v>48279.31</v>
      </c>
      <c r="N45" s="5">
        <v>285600</v>
      </c>
      <c r="O45" s="5">
        <v>0</v>
      </c>
      <c r="P45" s="5">
        <v>50538.17</v>
      </c>
      <c r="Q45" s="5">
        <v>336138.17</v>
      </c>
      <c r="R45" s="1" t="s">
        <v>183</v>
      </c>
      <c r="S45" s="1" t="s">
        <v>123</v>
      </c>
      <c r="T45" s="4">
        <v>45292</v>
      </c>
      <c r="U45" s="4">
        <v>45434</v>
      </c>
      <c r="V45" s="1" t="s">
        <v>124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336138.17</v>
      </c>
      <c r="AH45" s="5">
        <v>12920.73</v>
      </c>
      <c r="AI45" s="5">
        <v>0</v>
      </c>
      <c r="AJ45" s="5">
        <v>0</v>
      </c>
      <c r="AK45" s="5">
        <v>0</v>
      </c>
      <c r="AL45" s="5">
        <v>12920.73</v>
      </c>
      <c r="AM45" s="5">
        <v>0</v>
      </c>
      <c r="AN45" s="5">
        <v>12920.73</v>
      </c>
      <c r="AO45" s="1" t="s">
        <v>126</v>
      </c>
    </row>
    <row r="46" spans="1:41" x14ac:dyDescent="0.25">
      <c r="A46" s="1">
        <f t="shared" si="2"/>
        <v>30</v>
      </c>
      <c r="B46" s="1" t="s">
        <v>184</v>
      </c>
      <c r="C46" s="1" t="s">
        <v>122</v>
      </c>
      <c r="D46" s="1" t="s">
        <v>123</v>
      </c>
      <c r="E46" s="4">
        <v>45292</v>
      </c>
      <c r="F46" s="4">
        <v>45442</v>
      </c>
      <c r="G46" s="1" t="s">
        <v>124</v>
      </c>
      <c r="H46" s="5">
        <v>152575.07999999999</v>
      </c>
      <c r="I46" s="5">
        <v>10732.76</v>
      </c>
      <c r="J46" s="5">
        <v>1551.72</v>
      </c>
      <c r="K46" s="5">
        <v>10485</v>
      </c>
      <c r="L46" s="5">
        <v>0</v>
      </c>
      <c r="M46" s="5">
        <v>22769.48</v>
      </c>
      <c r="N46" s="5">
        <v>118308.1</v>
      </c>
      <c r="O46" s="5">
        <v>0</v>
      </c>
      <c r="P46" s="5">
        <v>11497.5</v>
      </c>
      <c r="Q46" s="5">
        <v>129805.6</v>
      </c>
      <c r="R46" s="1" t="s">
        <v>185</v>
      </c>
      <c r="S46" s="1" t="s">
        <v>123</v>
      </c>
      <c r="T46" s="4">
        <v>45292</v>
      </c>
      <c r="U46" s="4">
        <v>45442</v>
      </c>
      <c r="V46" s="1" t="s">
        <v>124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129805.6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1" t="s">
        <v>126</v>
      </c>
    </row>
    <row r="47" spans="1:41" x14ac:dyDescent="0.25">
      <c r="A47" s="1">
        <f t="shared" si="2"/>
        <v>31</v>
      </c>
      <c r="B47" s="1" t="s">
        <v>186</v>
      </c>
      <c r="C47" s="1" t="s">
        <v>122</v>
      </c>
      <c r="D47" s="1" t="s">
        <v>123</v>
      </c>
      <c r="E47" s="4">
        <v>45292</v>
      </c>
      <c r="F47" s="4">
        <v>45443</v>
      </c>
      <c r="G47" s="1" t="s">
        <v>124</v>
      </c>
      <c r="H47" s="5">
        <v>181028.35</v>
      </c>
      <c r="I47" s="5">
        <v>13127.2</v>
      </c>
      <c r="J47" s="5">
        <v>7075.86</v>
      </c>
      <c r="K47" s="5">
        <v>11282.5</v>
      </c>
      <c r="L47" s="5">
        <v>2660.92</v>
      </c>
      <c r="M47" s="5">
        <v>34146.480000000003</v>
      </c>
      <c r="N47" s="5">
        <v>146243.94</v>
      </c>
      <c r="O47" s="5">
        <v>0</v>
      </c>
      <c r="P47" s="5">
        <v>637.92999999999995</v>
      </c>
      <c r="Q47" s="5">
        <v>146881.87</v>
      </c>
      <c r="R47" s="1" t="s">
        <v>187</v>
      </c>
      <c r="S47" s="1" t="s">
        <v>123</v>
      </c>
      <c r="T47" s="4">
        <v>45292</v>
      </c>
      <c r="U47" s="4">
        <v>45443</v>
      </c>
      <c r="V47" s="1" t="s">
        <v>124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146881.87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1" t="s">
        <v>126</v>
      </c>
    </row>
    <row r="48" spans="1:41" x14ac:dyDescent="0.25">
      <c r="A48" s="1">
        <f t="shared" si="2"/>
        <v>32</v>
      </c>
      <c r="B48" s="1" t="s">
        <v>188</v>
      </c>
      <c r="C48" s="1" t="s">
        <v>122</v>
      </c>
      <c r="D48" s="1" t="s">
        <v>123</v>
      </c>
      <c r="E48" s="4">
        <v>45292</v>
      </c>
      <c r="F48" s="4">
        <v>45446</v>
      </c>
      <c r="G48" s="1" t="s">
        <v>124</v>
      </c>
      <c r="H48" s="5">
        <v>2034491.32</v>
      </c>
      <c r="I48" s="5">
        <v>90000</v>
      </c>
      <c r="J48" s="5">
        <v>56875</v>
      </c>
      <c r="K48" s="5">
        <v>20150</v>
      </c>
      <c r="L48" s="5">
        <v>18787.36</v>
      </c>
      <c r="M48" s="5">
        <v>185812.36</v>
      </c>
      <c r="N48" s="5">
        <v>1733495.83</v>
      </c>
      <c r="O48" s="5">
        <v>56137.15</v>
      </c>
      <c r="P48" s="5">
        <v>59045.98</v>
      </c>
      <c r="Q48" s="5">
        <v>1848678.96</v>
      </c>
      <c r="R48" s="1" t="s">
        <v>189</v>
      </c>
      <c r="S48" s="1" t="s">
        <v>123</v>
      </c>
      <c r="T48" s="4">
        <v>45292</v>
      </c>
      <c r="U48" s="4">
        <v>45446</v>
      </c>
      <c r="V48" s="1" t="s">
        <v>124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1848678.96</v>
      </c>
      <c r="AH48" s="5">
        <v>364669.74</v>
      </c>
      <c r="AI48" s="5">
        <v>0</v>
      </c>
      <c r="AJ48" s="5">
        <v>0</v>
      </c>
      <c r="AK48" s="5">
        <v>0</v>
      </c>
      <c r="AL48" s="5">
        <v>364669.74</v>
      </c>
      <c r="AM48" s="5">
        <v>0</v>
      </c>
      <c r="AN48" s="5">
        <v>364669.74</v>
      </c>
      <c r="AO48" s="1" t="s">
        <v>126</v>
      </c>
    </row>
    <row r="49" spans="1:41" x14ac:dyDescent="0.25">
      <c r="A49" s="1">
        <f t="shared" si="2"/>
        <v>33</v>
      </c>
      <c r="B49" s="1" t="s">
        <v>190</v>
      </c>
      <c r="C49" s="1" t="s">
        <v>122</v>
      </c>
      <c r="D49" s="1" t="s">
        <v>123</v>
      </c>
      <c r="E49" s="4">
        <v>45292</v>
      </c>
      <c r="F49" s="4">
        <v>45448</v>
      </c>
      <c r="G49" s="1" t="s">
        <v>124</v>
      </c>
      <c r="H49" s="5">
        <v>612295.13</v>
      </c>
      <c r="I49" s="5">
        <v>20573.560000000001</v>
      </c>
      <c r="J49" s="5">
        <v>0</v>
      </c>
      <c r="K49" s="5">
        <v>18900</v>
      </c>
      <c r="L49" s="5">
        <v>6229.89</v>
      </c>
      <c r="M49" s="5">
        <v>45703.45</v>
      </c>
      <c r="N49" s="5">
        <v>472479.31</v>
      </c>
      <c r="O49" s="5">
        <v>0</v>
      </c>
      <c r="P49" s="5">
        <v>94112.37</v>
      </c>
      <c r="Q49" s="5">
        <v>566591.68000000005</v>
      </c>
      <c r="R49" s="1" t="s">
        <v>191</v>
      </c>
      <c r="S49" s="1" t="s">
        <v>123</v>
      </c>
      <c r="T49" s="4">
        <v>45292</v>
      </c>
      <c r="U49" s="4">
        <v>45448</v>
      </c>
      <c r="V49" s="1" t="s">
        <v>124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566591.68000000005</v>
      </c>
      <c r="AH49" s="5">
        <v>55818.34</v>
      </c>
      <c r="AI49" s="5">
        <v>0</v>
      </c>
      <c r="AJ49" s="5">
        <v>0</v>
      </c>
      <c r="AK49" s="5">
        <v>0</v>
      </c>
      <c r="AL49" s="5">
        <v>55818.34</v>
      </c>
      <c r="AM49" s="5">
        <v>0</v>
      </c>
      <c r="AN49" s="5">
        <v>55818.34</v>
      </c>
      <c r="AO49" s="1" t="s">
        <v>126</v>
      </c>
    </row>
    <row r="50" spans="1:41" x14ac:dyDescent="0.25">
      <c r="A50" s="1">
        <f t="shared" si="2"/>
        <v>34</v>
      </c>
      <c r="B50" s="1" t="s">
        <v>192</v>
      </c>
      <c r="C50" s="1" t="s">
        <v>122</v>
      </c>
      <c r="D50" s="1" t="s">
        <v>123</v>
      </c>
      <c r="E50" s="4">
        <v>45292</v>
      </c>
      <c r="F50" s="4">
        <v>45453</v>
      </c>
      <c r="G50" s="1" t="s">
        <v>124</v>
      </c>
      <c r="H50" s="5">
        <v>142321.88</v>
      </c>
      <c r="I50" s="5">
        <v>8581.5499999999993</v>
      </c>
      <c r="J50" s="5">
        <v>16434.400000000001</v>
      </c>
      <c r="K50" s="5">
        <v>8722.5</v>
      </c>
      <c r="L50" s="5">
        <v>2500</v>
      </c>
      <c r="M50" s="5">
        <v>36238.449999999997</v>
      </c>
      <c r="N50" s="5">
        <v>94256.12</v>
      </c>
      <c r="O50" s="5">
        <v>0</v>
      </c>
      <c r="P50" s="5">
        <v>11827.31</v>
      </c>
      <c r="Q50" s="5">
        <v>106083.43</v>
      </c>
      <c r="R50" s="1" t="s">
        <v>193</v>
      </c>
      <c r="S50" s="1" t="s">
        <v>123</v>
      </c>
      <c r="T50" s="4">
        <v>45292</v>
      </c>
      <c r="U50" s="4">
        <v>45453</v>
      </c>
      <c r="V50" s="1" t="s">
        <v>124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106083.43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1" t="s">
        <v>126</v>
      </c>
    </row>
    <row r="51" spans="1:41" x14ac:dyDescent="0.25">
      <c r="A51" s="1">
        <f t="shared" si="2"/>
        <v>35</v>
      </c>
      <c r="B51" s="1" t="s">
        <v>194</v>
      </c>
      <c r="C51" s="1" t="s">
        <v>122</v>
      </c>
      <c r="D51" s="1" t="s">
        <v>130</v>
      </c>
      <c r="E51" s="4">
        <v>45299</v>
      </c>
      <c r="F51" s="4">
        <v>45350</v>
      </c>
      <c r="G51" s="1" t="s">
        <v>124</v>
      </c>
      <c r="H51" s="5">
        <v>130222.22</v>
      </c>
      <c r="I51" s="5">
        <v>9822.7999999999993</v>
      </c>
      <c r="J51" s="5">
        <v>0</v>
      </c>
      <c r="K51" s="5">
        <v>5525</v>
      </c>
      <c r="L51" s="5">
        <v>2525.86</v>
      </c>
      <c r="M51" s="5">
        <v>17873.66</v>
      </c>
      <c r="N51" s="5">
        <v>112348.56</v>
      </c>
      <c r="O51" s="5">
        <v>0</v>
      </c>
      <c r="P51" s="5">
        <v>0</v>
      </c>
      <c r="Q51" s="5">
        <v>112348.56</v>
      </c>
      <c r="R51" s="1" t="s">
        <v>195</v>
      </c>
      <c r="S51" s="1" t="s">
        <v>130</v>
      </c>
      <c r="T51" s="4">
        <v>45299</v>
      </c>
      <c r="U51" s="4">
        <v>45350</v>
      </c>
      <c r="V51" s="1" t="s">
        <v>124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112348.56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1" t="s">
        <v>126</v>
      </c>
    </row>
    <row r="52" spans="1:41" x14ac:dyDescent="0.25">
      <c r="A52" s="1">
        <f t="shared" si="2"/>
        <v>36</v>
      </c>
      <c r="B52" s="1" t="s">
        <v>196</v>
      </c>
      <c r="C52" s="1" t="s">
        <v>122</v>
      </c>
      <c r="D52" s="1" t="s">
        <v>130</v>
      </c>
      <c r="E52" s="4">
        <v>45292</v>
      </c>
      <c r="F52" s="4">
        <v>45454</v>
      </c>
      <c r="G52" s="1" t="s">
        <v>124</v>
      </c>
      <c r="H52" s="5">
        <v>153163.94</v>
      </c>
      <c r="I52" s="5">
        <v>9544.5400000000009</v>
      </c>
      <c r="J52" s="5">
        <v>0</v>
      </c>
      <c r="K52" s="5">
        <v>9972.5</v>
      </c>
      <c r="L52" s="5">
        <v>8387.93</v>
      </c>
      <c r="M52" s="5">
        <v>27904.97</v>
      </c>
      <c r="N52" s="5">
        <v>104561.97</v>
      </c>
      <c r="O52" s="5">
        <v>0</v>
      </c>
      <c r="P52" s="5">
        <v>20697</v>
      </c>
      <c r="Q52" s="5">
        <v>125258.97</v>
      </c>
      <c r="R52" s="1" t="s">
        <v>197</v>
      </c>
      <c r="S52" s="1" t="s">
        <v>130</v>
      </c>
      <c r="T52" s="4">
        <v>45292</v>
      </c>
      <c r="U52" s="4">
        <v>45454</v>
      </c>
      <c r="V52" s="1" t="s">
        <v>124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125258.97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1" t="s">
        <v>126</v>
      </c>
    </row>
    <row r="53" spans="1:41" x14ac:dyDescent="0.25">
      <c r="A53" s="1">
        <f t="shared" si="2"/>
        <v>37</v>
      </c>
      <c r="B53" s="1" t="s">
        <v>198</v>
      </c>
      <c r="C53" s="1" t="s">
        <v>122</v>
      </c>
      <c r="D53" s="1" t="s">
        <v>123</v>
      </c>
      <c r="E53" s="4">
        <v>45292</v>
      </c>
      <c r="F53" s="4">
        <v>45464</v>
      </c>
      <c r="G53" s="1" t="s">
        <v>124</v>
      </c>
      <c r="H53" s="5">
        <v>492392.37</v>
      </c>
      <c r="I53" s="5">
        <v>35543.370000000003</v>
      </c>
      <c r="J53" s="5">
        <v>14028.86</v>
      </c>
      <c r="K53" s="5">
        <v>18952.63</v>
      </c>
      <c r="L53" s="5">
        <v>6479.89</v>
      </c>
      <c r="M53" s="5">
        <v>75004.75</v>
      </c>
      <c r="N53" s="5">
        <v>407567.8</v>
      </c>
      <c r="O53" s="5">
        <v>0</v>
      </c>
      <c r="P53" s="5">
        <v>9819.82</v>
      </c>
      <c r="Q53" s="5">
        <v>417387.62</v>
      </c>
      <c r="R53" s="1" t="s">
        <v>199</v>
      </c>
      <c r="S53" s="1" t="s">
        <v>123</v>
      </c>
      <c r="T53" s="4">
        <v>45292</v>
      </c>
      <c r="U53" s="4">
        <v>45464</v>
      </c>
      <c r="V53" s="1" t="s">
        <v>124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417387.62</v>
      </c>
      <c r="AH53" s="5">
        <v>25977.52</v>
      </c>
      <c r="AI53" s="5">
        <v>0</v>
      </c>
      <c r="AJ53" s="5">
        <v>0</v>
      </c>
      <c r="AK53" s="5">
        <v>0</v>
      </c>
      <c r="AL53" s="5">
        <v>25977.52</v>
      </c>
      <c r="AM53" s="5">
        <v>0</v>
      </c>
      <c r="AN53" s="5">
        <v>25977.52</v>
      </c>
      <c r="AO53" s="1" t="s">
        <v>126</v>
      </c>
    </row>
    <row r="54" spans="1:41" x14ac:dyDescent="0.25">
      <c r="A54" s="1">
        <f t="shared" si="2"/>
        <v>38</v>
      </c>
      <c r="B54" s="1" t="s">
        <v>200</v>
      </c>
      <c r="C54" s="1" t="s">
        <v>122</v>
      </c>
      <c r="D54" s="1" t="s">
        <v>123</v>
      </c>
      <c r="E54" s="4">
        <v>45292</v>
      </c>
      <c r="F54" s="4">
        <v>45461</v>
      </c>
      <c r="G54" s="1" t="s">
        <v>124</v>
      </c>
      <c r="H54" s="5">
        <v>164645.26999999999</v>
      </c>
      <c r="I54" s="5">
        <v>10836.21</v>
      </c>
      <c r="J54" s="5">
        <v>3550.34</v>
      </c>
      <c r="K54" s="5">
        <v>10575</v>
      </c>
      <c r="L54" s="5">
        <v>0</v>
      </c>
      <c r="M54" s="5">
        <v>24961.55</v>
      </c>
      <c r="N54" s="5">
        <v>119459.48</v>
      </c>
      <c r="O54" s="5">
        <v>0</v>
      </c>
      <c r="P54" s="5">
        <v>20224.240000000002</v>
      </c>
      <c r="Q54" s="5">
        <v>139683.72</v>
      </c>
      <c r="R54" s="1" t="s">
        <v>201</v>
      </c>
      <c r="S54" s="1" t="s">
        <v>123</v>
      </c>
      <c r="T54" s="4">
        <v>45292</v>
      </c>
      <c r="U54" s="4">
        <v>45461</v>
      </c>
      <c r="V54" s="1" t="s">
        <v>124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139683.72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1" t="s">
        <v>126</v>
      </c>
    </row>
    <row r="55" spans="1:41" x14ac:dyDescent="0.25">
      <c r="A55" s="1">
        <f t="shared" si="2"/>
        <v>39</v>
      </c>
      <c r="B55" s="1" t="s">
        <v>202</v>
      </c>
      <c r="C55" s="1" t="s">
        <v>122</v>
      </c>
      <c r="D55" s="1" t="s">
        <v>123</v>
      </c>
      <c r="E55" s="4">
        <v>45292</v>
      </c>
      <c r="F55" s="4">
        <v>45471</v>
      </c>
      <c r="G55" s="1" t="s">
        <v>124</v>
      </c>
      <c r="H55" s="5">
        <v>627959.06000000006</v>
      </c>
      <c r="I55" s="5">
        <v>40984.199999999997</v>
      </c>
      <c r="J55" s="5">
        <v>0</v>
      </c>
      <c r="K55" s="5">
        <v>21012.5</v>
      </c>
      <c r="L55" s="5">
        <v>10709.77</v>
      </c>
      <c r="M55" s="5">
        <v>72706.47</v>
      </c>
      <c r="N55" s="5">
        <v>470797.84</v>
      </c>
      <c r="O55" s="5">
        <v>0</v>
      </c>
      <c r="P55" s="5">
        <v>84454.75</v>
      </c>
      <c r="Q55" s="5">
        <v>555252.59</v>
      </c>
      <c r="R55" s="1" t="s">
        <v>203</v>
      </c>
      <c r="S55" s="1" t="s">
        <v>123</v>
      </c>
      <c r="T55" s="4">
        <v>45292</v>
      </c>
      <c r="U55" s="4">
        <v>45471</v>
      </c>
      <c r="V55" s="1" t="s">
        <v>124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555252.59</v>
      </c>
      <c r="AH55" s="5">
        <v>53550.52</v>
      </c>
      <c r="AI55" s="5">
        <v>0</v>
      </c>
      <c r="AJ55" s="5">
        <v>0</v>
      </c>
      <c r="AK55" s="5">
        <v>0</v>
      </c>
      <c r="AL55" s="5">
        <v>53550.52</v>
      </c>
      <c r="AM55" s="5">
        <v>0</v>
      </c>
      <c r="AN55" s="5">
        <v>53550.52</v>
      </c>
      <c r="AO55" s="1" t="s">
        <v>126</v>
      </c>
    </row>
    <row r="56" spans="1:41" x14ac:dyDescent="0.25">
      <c r="A56" s="1">
        <f t="shared" si="2"/>
        <v>40</v>
      </c>
      <c r="B56" s="1" t="s">
        <v>204</v>
      </c>
      <c r="C56" s="1" t="s">
        <v>122</v>
      </c>
      <c r="D56" s="1" t="s">
        <v>123</v>
      </c>
      <c r="E56" s="4">
        <v>45292</v>
      </c>
      <c r="F56" s="4">
        <v>45474</v>
      </c>
      <c r="G56" s="1" t="s">
        <v>124</v>
      </c>
      <c r="H56" s="5">
        <v>414015.22</v>
      </c>
      <c r="I56" s="5">
        <v>29496.55</v>
      </c>
      <c r="J56" s="5">
        <v>0</v>
      </c>
      <c r="K56" s="5">
        <v>18200</v>
      </c>
      <c r="L56" s="5">
        <v>6637.93</v>
      </c>
      <c r="M56" s="5">
        <v>54334.48</v>
      </c>
      <c r="N56" s="5">
        <v>358351.72</v>
      </c>
      <c r="O56" s="5">
        <v>0</v>
      </c>
      <c r="P56" s="5">
        <v>1329.02</v>
      </c>
      <c r="Q56" s="5">
        <v>359680.74</v>
      </c>
      <c r="R56" s="1" t="s">
        <v>205</v>
      </c>
      <c r="S56" s="1" t="s">
        <v>123</v>
      </c>
      <c r="T56" s="4">
        <v>45292</v>
      </c>
      <c r="U56" s="4">
        <v>45474</v>
      </c>
      <c r="V56" s="1" t="s">
        <v>124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359680.74</v>
      </c>
      <c r="AH56" s="5">
        <v>16452.11</v>
      </c>
      <c r="AI56" s="5">
        <v>0</v>
      </c>
      <c r="AJ56" s="5">
        <v>0</v>
      </c>
      <c r="AK56" s="5">
        <v>0</v>
      </c>
      <c r="AL56" s="5">
        <v>16452.11</v>
      </c>
      <c r="AM56" s="5">
        <v>0</v>
      </c>
      <c r="AN56" s="5">
        <v>16452.11</v>
      </c>
      <c r="AO56" s="1" t="s">
        <v>126</v>
      </c>
    </row>
    <row r="57" spans="1:41" x14ac:dyDescent="0.25">
      <c r="A57" s="1">
        <f t="shared" si="2"/>
        <v>41</v>
      </c>
      <c r="B57" s="1" t="s">
        <v>206</v>
      </c>
      <c r="C57" s="1" t="s">
        <v>122</v>
      </c>
      <c r="D57" s="1" t="s">
        <v>130</v>
      </c>
      <c r="E57" s="4">
        <v>45334</v>
      </c>
      <c r="F57" s="4">
        <v>45497</v>
      </c>
      <c r="G57" s="1" t="s">
        <v>124</v>
      </c>
      <c r="H57" s="5">
        <v>1475299.81</v>
      </c>
      <c r="I57" s="5">
        <v>90000</v>
      </c>
      <c r="J57" s="5">
        <v>0</v>
      </c>
      <c r="K57" s="5">
        <v>21600</v>
      </c>
      <c r="L57" s="5">
        <v>11183.91</v>
      </c>
      <c r="M57" s="5">
        <v>122783.91</v>
      </c>
      <c r="N57" s="5">
        <v>1244721.8400000001</v>
      </c>
      <c r="O57" s="5">
        <v>15526.82</v>
      </c>
      <c r="P57" s="5">
        <v>92267.24</v>
      </c>
      <c r="Q57" s="5">
        <v>1352515.9</v>
      </c>
      <c r="R57" s="1" t="s">
        <v>207</v>
      </c>
      <c r="S57" s="1" t="s">
        <v>130</v>
      </c>
      <c r="T57" s="4">
        <v>45334</v>
      </c>
      <c r="U57" s="4">
        <v>45497</v>
      </c>
      <c r="V57" s="1" t="s">
        <v>124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1352515.9</v>
      </c>
      <c r="AH57" s="5">
        <v>240628.98</v>
      </c>
      <c r="AI57" s="5">
        <v>0</v>
      </c>
      <c r="AJ57" s="5">
        <v>0</v>
      </c>
      <c r="AK57" s="5">
        <v>0</v>
      </c>
      <c r="AL57" s="5">
        <v>240628.98</v>
      </c>
      <c r="AM57" s="5">
        <v>0</v>
      </c>
      <c r="AN57" s="5">
        <v>240628.98</v>
      </c>
      <c r="AO57" s="1" t="s">
        <v>126</v>
      </c>
    </row>
    <row r="58" spans="1:41" x14ac:dyDescent="0.25">
      <c r="A58" s="1">
        <f t="shared" si="2"/>
        <v>42</v>
      </c>
      <c r="B58" s="1" t="s">
        <v>208</v>
      </c>
      <c r="C58" s="1" t="s">
        <v>122</v>
      </c>
      <c r="D58" s="1" t="s">
        <v>123</v>
      </c>
      <c r="E58" s="4">
        <v>45292</v>
      </c>
      <c r="F58" s="4">
        <v>45499</v>
      </c>
      <c r="G58" s="1" t="s">
        <v>124</v>
      </c>
      <c r="H58" s="5">
        <v>267495.09000000003</v>
      </c>
      <c r="I58" s="5">
        <v>17959.77</v>
      </c>
      <c r="J58" s="5">
        <v>10314.94</v>
      </c>
      <c r="K58" s="5">
        <v>13700</v>
      </c>
      <c r="L58" s="5">
        <v>1841.95</v>
      </c>
      <c r="M58" s="5">
        <v>43816.66</v>
      </c>
      <c r="N58" s="5">
        <v>201817.24</v>
      </c>
      <c r="O58" s="5">
        <v>0</v>
      </c>
      <c r="P58" s="5">
        <v>21861.19</v>
      </c>
      <c r="Q58" s="5">
        <v>223678.43</v>
      </c>
      <c r="R58" s="1" t="s">
        <v>209</v>
      </c>
      <c r="S58" s="1" t="s">
        <v>123</v>
      </c>
      <c r="T58" s="4">
        <v>45292</v>
      </c>
      <c r="U58" s="4">
        <v>45499</v>
      </c>
      <c r="V58" s="1" t="s">
        <v>124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223678.43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1" t="s">
        <v>126</v>
      </c>
    </row>
    <row r="59" spans="1:41" x14ac:dyDescent="0.25">
      <c r="A59" s="1">
        <f t="shared" si="2"/>
        <v>43</v>
      </c>
      <c r="B59" s="1" t="s">
        <v>210</v>
      </c>
      <c r="C59" s="1" t="s">
        <v>122</v>
      </c>
      <c r="D59" s="1" t="s">
        <v>123</v>
      </c>
      <c r="E59" s="4">
        <v>45292</v>
      </c>
      <c r="F59" s="4">
        <v>45504</v>
      </c>
      <c r="G59" s="1" t="s">
        <v>124</v>
      </c>
      <c r="H59" s="5">
        <v>1664261.21</v>
      </c>
      <c r="I59" s="5">
        <v>90000</v>
      </c>
      <c r="J59" s="5">
        <v>0</v>
      </c>
      <c r="K59" s="5">
        <v>28250</v>
      </c>
      <c r="L59" s="5">
        <v>14643.68</v>
      </c>
      <c r="M59" s="5">
        <v>132893.68</v>
      </c>
      <c r="N59" s="5">
        <v>1433646.29</v>
      </c>
      <c r="O59" s="5">
        <v>31824.69</v>
      </c>
      <c r="P59" s="5">
        <v>65896.55</v>
      </c>
      <c r="Q59" s="5">
        <v>1531367.53</v>
      </c>
      <c r="R59" s="1" t="s">
        <v>211</v>
      </c>
      <c r="S59" s="1" t="s">
        <v>123</v>
      </c>
      <c r="T59" s="4">
        <v>45292</v>
      </c>
      <c r="U59" s="4">
        <v>45504</v>
      </c>
      <c r="V59" s="1" t="s">
        <v>124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1531367.53</v>
      </c>
      <c r="AH59" s="5">
        <v>285341.88</v>
      </c>
      <c r="AI59" s="5">
        <v>0</v>
      </c>
      <c r="AJ59" s="5">
        <v>0</v>
      </c>
      <c r="AK59" s="5">
        <v>0</v>
      </c>
      <c r="AL59" s="5">
        <v>285341.88</v>
      </c>
      <c r="AM59" s="5">
        <v>0</v>
      </c>
      <c r="AN59" s="5">
        <v>285341.88</v>
      </c>
      <c r="AO59" s="1" t="s">
        <v>126</v>
      </c>
    </row>
    <row r="60" spans="1:41" x14ac:dyDescent="0.25">
      <c r="A60" s="1">
        <f t="shared" si="2"/>
        <v>44</v>
      </c>
      <c r="B60" s="1" t="s">
        <v>212</v>
      </c>
      <c r="C60" s="1" t="s">
        <v>122</v>
      </c>
      <c r="D60" s="1" t="s">
        <v>123</v>
      </c>
      <c r="E60" s="4">
        <v>45292</v>
      </c>
      <c r="F60" s="4">
        <v>45505</v>
      </c>
      <c r="G60" s="1" t="s">
        <v>124</v>
      </c>
      <c r="H60" s="5">
        <v>928662.84</v>
      </c>
      <c r="I60" s="5">
        <v>61398.47</v>
      </c>
      <c r="J60" s="5">
        <v>42068.97</v>
      </c>
      <c r="K60" s="5">
        <v>28250</v>
      </c>
      <c r="L60" s="5">
        <v>14735.63</v>
      </c>
      <c r="M60" s="5">
        <v>146453.07</v>
      </c>
      <c r="N60" s="5">
        <v>708531.61</v>
      </c>
      <c r="O60" s="5">
        <v>0</v>
      </c>
      <c r="P60" s="5">
        <v>73678.16</v>
      </c>
      <c r="Q60" s="5">
        <v>782209.77</v>
      </c>
      <c r="R60" s="1" t="s">
        <v>213</v>
      </c>
      <c r="S60" s="1" t="s">
        <v>123</v>
      </c>
      <c r="T60" s="4">
        <v>45292</v>
      </c>
      <c r="U60" s="4">
        <v>45505</v>
      </c>
      <c r="V60" s="1" t="s">
        <v>124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782209.77</v>
      </c>
      <c r="AH60" s="5">
        <v>98941.95</v>
      </c>
      <c r="AI60" s="5">
        <v>0</v>
      </c>
      <c r="AJ60" s="5">
        <v>0</v>
      </c>
      <c r="AK60" s="5">
        <v>0</v>
      </c>
      <c r="AL60" s="5">
        <v>98941.95</v>
      </c>
      <c r="AM60" s="5">
        <v>0</v>
      </c>
      <c r="AN60" s="5">
        <v>98941.95</v>
      </c>
      <c r="AO60" s="1" t="s">
        <v>126</v>
      </c>
    </row>
    <row r="61" spans="1:41" x14ac:dyDescent="0.25">
      <c r="A61" s="1">
        <f t="shared" si="2"/>
        <v>45</v>
      </c>
      <c r="B61" s="1" t="s">
        <v>214</v>
      </c>
      <c r="C61" s="1" t="s">
        <v>122</v>
      </c>
      <c r="D61" s="1" t="s">
        <v>123</v>
      </c>
      <c r="E61" s="4">
        <v>45292</v>
      </c>
      <c r="F61" s="4">
        <v>45505</v>
      </c>
      <c r="G61" s="1" t="s">
        <v>124</v>
      </c>
      <c r="H61" s="5">
        <v>167659.34</v>
      </c>
      <c r="I61" s="5">
        <v>10660.2</v>
      </c>
      <c r="J61" s="5">
        <v>25112.639999999999</v>
      </c>
      <c r="K61" s="5">
        <v>9786.25</v>
      </c>
      <c r="L61" s="5">
        <v>3683.91</v>
      </c>
      <c r="M61" s="5">
        <v>49243</v>
      </c>
      <c r="N61" s="5">
        <v>118136.16</v>
      </c>
      <c r="O61" s="5">
        <v>0</v>
      </c>
      <c r="P61" s="5">
        <v>280.18</v>
      </c>
      <c r="Q61" s="5">
        <v>118416.34</v>
      </c>
      <c r="R61" s="1" t="s">
        <v>215</v>
      </c>
      <c r="S61" s="1" t="s">
        <v>123</v>
      </c>
      <c r="T61" s="4">
        <v>45292</v>
      </c>
      <c r="U61" s="4">
        <v>45505</v>
      </c>
      <c r="V61" s="1" t="s">
        <v>124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118416.34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1" t="s">
        <v>126</v>
      </c>
    </row>
    <row r="62" spans="1:41" x14ac:dyDescent="0.25">
      <c r="A62" s="1">
        <f t="shared" si="2"/>
        <v>46</v>
      </c>
      <c r="B62" s="1" t="s">
        <v>216</v>
      </c>
      <c r="C62" s="1" t="s">
        <v>122</v>
      </c>
      <c r="D62" s="1" t="s">
        <v>123</v>
      </c>
      <c r="E62" s="4">
        <v>45292</v>
      </c>
      <c r="F62" s="4">
        <v>45509</v>
      </c>
      <c r="G62" s="1" t="s">
        <v>124</v>
      </c>
      <c r="H62" s="5">
        <v>180608.31</v>
      </c>
      <c r="I62" s="5">
        <v>12432.95</v>
      </c>
      <c r="J62" s="5">
        <v>4597.7</v>
      </c>
      <c r="K62" s="5">
        <v>11437.5</v>
      </c>
      <c r="L62" s="5">
        <v>11189.66</v>
      </c>
      <c r="M62" s="5">
        <v>39657.81</v>
      </c>
      <c r="N62" s="5">
        <v>133160.20000000001</v>
      </c>
      <c r="O62" s="5">
        <v>0</v>
      </c>
      <c r="P62" s="5">
        <v>7790.3</v>
      </c>
      <c r="Q62" s="5">
        <v>140950.5</v>
      </c>
      <c r="R62" s="1" t="s">
        <v>217</v>
      </c>
      <c r="S62" s="1" t="s">
        <v>123</v>
      </c>
      <c r="T62" s="4">
        <v>45292</v>
      </c>
      <c r="U62" s="4">
        <v>45509</v>
      </c>
      <c r="V62" s="1" t="s">
        <v>124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140950.5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1" t="s">
        <v>126</v>
      </c>
    </row>
    <row r="63" spans="1:41" x14ac:dyDescent="0.25">
      <c r="A63" s="1">
        <f t="shared" si="2"/>
        <v>47</v>
      </c>
      <c r="B63" s="1" t="s">
        <v>218</v>
      </c>
      <c r="C63" s="1" t="s">
        <v>122</v>
      </c>
      <c r="D63" s="1" t="s">
        <v>130</v>
      </c>
      <c r="E63" s="4">
        <v>45341</v>
      </c>
      <c r="F63" s="4">
        <v>45519</v>
      </c>
      <c r="G63" s="1" t="s">
        <v>124</v>
      </c>
      <c r="H63" s="5">
        <v>783433.91</v>
      </c>
      <c r="I63" s="5">
        <v>59597.7</v>
      </c>
      <c r="J63" s="5">
        <v>0</v>
      </c>
      <c r="K63" s="5">
        <v>23050</v>
      </c>
      <c r="L63" s="5">
        <v>8663.7900000000009</v>
      </c>
      <c r="M63" s="5">
        <v>91311.49</v>
      </c>
      <c r="N63" s="5">
        <v>692122.42</v>
      </c>
      <c r="O63" s="5">
        <v>0</v>
      </c>
      <c r="P63" s="5">
        <v>0</v>
      </c>
      <c r="Q63" s="5">
        <v>692122.42</v>
      </c>
      <c r="R63" s="1" t="s">
        <v>219</v>
      </c>
      <c r="S63" s="1" t="s">
        <v>130</v>
      </c>
      <c r="T63" s="4">
        <v>45341</v>
      </c>
      <c r="U63" s="4">
        <v>45519</v>
      </c>
      <c r="V63" s="1" t="s">
        <v>124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692122.42</v>
      </c>
      <c r="AH63" s="5">
        <v>80924.479999999996</v>
      </c>
      <c r="AI63" s="5">
        <v>0</v>
      </c>
      <c r="AJ63" s="5">
        <v>0</v>
      </c>
      <c r="AK63" s="5">
        <v>0</v>
      </c>
      <c r="AL63" s="5">
        <v>80924.479999999996</v>
      </c>
      <c r="AM63" s="5">
        <v>0</v>
      </c>
      <c r="AN63" s="5">
        <v>80924.479999999996</v>
      </c>
      <c r="AO63" s="1" t="s">
        <v>126</v>
      </c>
    </row>
    <row r="64" spans="1:41" x14ac:dyDescent="0.25">
      <c r="A64" s="1">
        <f t="shared" si="2"/>
        <v>48</v>
      </c>
      <c r="B64" s="1" t="s">
        <v>220</v>
      </c>
      <c r="C64" s="1" t="s">
        <v>122</v>
      </c>
      <c r="D64" s="1" t="s">
        <v>123</v>
      </c>
      <c r="E64" s="4">
        <v>45292</v>
      </c>
      <c r="F64" s="4">
        <v>45520</v>
      </c>
      <c r="G64" s="1" t="s">
        <v>124</v>
      </c>
      <c r="H64" s="5">
        <v>595694.49</v>
      </c>
      <c r="I64" s="5">
        <v>42119.25</v>
      </c>
      <c r="J64" s="5">
        <v>12101.15</v>
      </c>
      <c r="K64" s="5">
        <v>24487.5</v>
      </c>
      <c r="L64" s="5">
        <v>2160.92</v>
      </c>
      <c r="M64" s="5">
        <v>80868.820000000007</v>
      </c>
      <c r="N64" s="5">
        <v>463759.62</v>
      </c>
      <c r="O64" s="5">
        <v>0</v>
      </c>
      <c r="P64" s="5">
        <v>51066.05</v>
      </c>
      <c r="Q64" s="5">
        <v>514825.67</v>
      </c>
      <c r="R64" s="1" t="s">
        <v>221</v>
      </c>
      <c r="S64" s="1" t="s">
        <v>123</v>
      </c>
      <c r="T64" s="4">
        <v>45292</v>
      </c>
      <c r="U64" s="4">
        <v>45520</v>
      </c>
      <c r="V64" s="1" t="s">
        <v>124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514825.67</v>
      </c>
      <c r="AH64" s="5">
        <v>45465.13</v>
      </c>
      <c r="AI64" s="5">
        <v>0</v>
      </c>
      <c r="AJ64" s="5">
        <v>0</v>
      </c>
      <c r="AK64" s="5">
        <v>0</v>
      </c>
      <c r="AL64" s="5">
        <v>45465.13</v>
      </c>
      <c r="AM64" s="5">
        <v>0</v>
      </c>
      <c r="AN64" s="5">
        <v>45465.13</v>
      </c>
      <c r="AO64" s="1" t="s">
        <v>126</v>
      </c>
    </row>
    <row r="65" spans="1:41" x14ac:dyDescent="0.25">
      <c r="A65" s="1">
        <f t="shared" si="2"/>
        <v>49</v>
      </c>
      <c r="B65" s="1" t="s">
        <v>222</v>
      </c>
      <c r="C65" s="1" t="s">
        <v>122</v>
      </c>
      <c r="D65" s="1" t="s">
        <v>123</v>
      </c>
      <c r="E65" s="4">
        <v>45292</v>
      </c>
      <c r="F65" s="4">
        <v>45523</v>
      </c>
      <c r="G65" s="1" t="s">
        <v>124</v>
      </c>
      <c r="H65" s="5">
        <v>177123.74</v>
      </c>
      <c r="I65" s="5">
        <v>12457.38</v>
      </c>
      <c r="J65" s="5">
        <v>0</v>
      </c>
      <c r="K65" s="5">
        <v>11645</v>
      </c>
      <c r="L65" s="5">
        <v>11801.72</v>
      </c>
      <c r="M65" s="5">
        <v>35904.1</v>
      </c>
      <c r="N65" s="5">
        <v>137843.51</v>
      </c>
      <c r="O65" s="5">
        <v>0</v>
      </c>
      <c r="P65" s="5">
        <v>3376.13</v>
      </c>
      <c r="Q65" s="5">
        <v>141219.64000000001</v>
      </c>
      <c r="R65" s="1" t="s">
        <v>223</v>
      </c>
      <c r="S65" s="1" t="s">
        <v>123</v>
      </c>
      <c r="T65" s="4">
        <v>45292</v>
      </c>
      <c r="U65" s="4">
        <v>45523</v>
      </c>
      <c r="V65" s="1" t="s">
        <v>124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141219.64000000001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1" t="s">
        <v>126</v>
      </c>
    </row>
    <row r="66" spans="1:41" x14ac:dyDescent="0.25">
      <c r="A66" s="1">
        <f t="shared" si="2"/>
        <v>50</v>
      </c>
      <c r="B66" s="1" t="s">
        <v>224</v>
      </c>
      <c r="C66" s="1" t="s">
        <v>122</v>
      </c>
      <c r="D66" s="1" t="s">
        <v>130</v>
      </c>
      <c r="E66" s="4">
        <v>45425</v>
      </c>
      <c r="F66" s="4">
        <v>45523</v>
      </c>
      <c r="G66" s="1" t="s">
        <v>124</v>
      </c>
      <c r="H66" s="5">
        <v>197490.42</v>
      </c>
      <c r="I66" s="5">
        <v>14803.64</v>
      </c>
      <c r="J66" s="5">
        <v>0</v>
      </c>
      <c r="K66" s="5">
        <v>10180.74</v>
      </c>
      <c r="L66" s="5">
        <v>5043.1000000000004</v>
      </c>
      <c r="M66" s="5">
        <v>30027.48</v>
      </c>
      <c r="N66" s="5">
        <v>167462.94</v>
      </c>
      <c r="O66" s="5">
        <v>0</v>
      </c>
      <c r="P66" s="5">
        <v>0</v>
      </c>
      <c r="Q66" s="5">
        <v>167462.94</v>
      </c>
      <c r="R66" s="1" t="s">
        <v>225</v>
      </c>
      <c r="S66" s="1" t="s">
        <v>130</v>
      </c>
      <c r="T66" s="4">
        <v>45425</v>
      </c>
      <c r="U66" s="4">
        <v>45523</v>
      </c>
      <c r="V66" s="1" t="s">
        <v>124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167462.94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1" t="s">
        <v>126</v>
      </c>
    </row>
    <row r="67" spans="1:41" x14ac:dyDescent="0.25">
      <c r="A67" s="1">
        <f t="shared" si="2"/>
        <v>51</v>
      </c>
      <c r="B67" s="1" t="s">
        <v>226</v>
      </c>
      <c r="C67" s="1" t="s">
        <v>122</v>
      </c>
      <c r="D67" s="1" t="s">
        <v>123</v>
      </c>
      <c r="E67" s="4">
        <v>45292</v>
      </c>
      <c r="F67" s="4">
        <v>45535</v>
      </c>
      <c r="G67" s="1" t="s">
        <v>124</v>
      </c>
      <c r="H67" s="5">
        <v>1780357.7</v>
      </c>
      <c r="I67" s="5">
        <v>90000</v>
      </c>
      <c r="J67" s="5">
        <v>0</v>
      </c>
      <c r="K67" s="5">
        <v>32300</v>
      </c>
      <c r="L67" s="5">
        <v>16551.72</v>
      </c>
      <c r="M67" s="5">
        <v>138851.72</v>
      </c>
      <c r="N67" s="5">
        <v>1457355.17</v>
      </c>
      <c r="O67" s="5">
        <v>34137.93</v>
      </c>
      <c r="P67" s="5">
        <v>150012.88</v>
      </c>
      <c r="Q67" s="5">
        <v>1641505.98</v>
      </c>
      <c r="R67" s="1" t="s">
        <v>227</v>
      </c>
      <c r="S67" s="1" t="s">
        <v>123</v>
      </c>
      <c r="T67" s="4">
        <v>45292</v>
      </c>
      <c r="U67" s="4">
        <v>45535</v>
      </c>
      <c r="V67" s="1" t="s">
        <v>124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1641505.98</v>
      </c>
      <c r="AH67" s="5">
        <v>312876.5</v>
      </c>
      <c r="AI67" s="5">
        <v>0</v>
      </c>
      <c r="AJ67" s="5">
        <v>0</v>
      </c>
      <c r="AK67" s="5">
        <v>0</v>
      </c>
      <c r="AL67" s="5">
        <v>312876.5</v>
      </c>
      <c r="AM67" s="5">
        <v>0</v>
      </c>
      <c r="AN67" s="5">
        <v>312876.5</v>
      </c>
      <c r="AO67" s="1" t="s">
        <v>126</v>
      </c>
    </row>
    <row r="68" spans="1:41" x14ac:dyDescent="0.25">
      <c r="A68" s="1">
        <f t="shared" si="2"/>
        <v>52</v>
      </c>
      <c r="B68" s="1" t="s">
        <v>228</v>
      </c>
      <c r="C68" s="1" t="s">
        <v>122</v>
      </c>
      <c r="D68" s="1" t="s">
        <v>123</v>
      </c>
      <c r="E68" s="4">
        <v>45292</v>
      </c>
      <c r="F68" s="4">
        <v>45545</v>
      </c>
      <c r="G68" s="1" t="s">
        <v>124</v>
      </c>
      <c r="H68" s="5">
        <v>224715.31</v>
      </c>
      <c r="I68" s="5">
        <v>13192.57</v>
      </c>
      <c r="J68" s="5">
        <v>26206.16</v>
      </c>
      <c r="K68" s="5">
        <v>13630.42</v>
      </c>
      <c r="L68" s="5">
        <v>4000</v>
      </c>
      <c r="M68" s="5">
        <v>57029.15</v>
      </c>
      <c r="N68" s="5">
        <v>144680.42000000001</v>
      </c>
      <c r="O68" s="5">
        <v>0</v>
      </c>
      <c r="P68" s="5">
        <v>23005.74</v>
      </c>
      <c r="Q68" s="5">
        <v>167686.16</v>
      </c>
      <c r="R68" s="1" t="s">
        <v>229</v>
      </c>
      <c r="S68" s="1" t="s">
        <v>123</v>
      </c>
      <c r="T68" s="4">
        <v>45292</v>
      </c>
      <c r="U68" s="4">
        <v>45545</v>
      </c>
      <c r="V68" s="1" t="s">
        <v>124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167686.16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1" t="s">
        <v>126</v>
      </c>
    </row>
    <row r="69" spans="1:41" x14ac:dyDescent="0.25">
      <c r="A69" s="1">
        <f t="shared" si="2"/>
        <v>53</v>
      </c>
      <c r="B69" s="1" t="s">
        <v>230</v>
      </c>
      <c r="C69" s="1" t="s">
        <v>122</v>
      </c>
      <c r="D69" s="1" t="s">
        <v>123</v>
      </c>
      <c r="E69" s="4">
        <v>45292</v>
      </c>
      <c r="F69" s="4">
        <v>45560</v>
      </c>
      <c r="G69" s="1" t="s">
        <v>124</v>
      </c>
      <c r="H69" s="5">
        <v>610833.41</v>
      </c>
      <c r="I69" s="5">
        <v>41172.35</v>
      </c>
      <c r="J69" s="5">
        <v>25586.21</v>
      </c>
      <c r="K69" s="5">
        <v>26074.45</v>
      </c>
      <c r="L69" s="5">
        <v>4568.97</v>
      </c>
      <c r="M69" s="5">
        <v>97401.98</v>
      </c>
      <c r="N69" s="5">
        <v>475629.07</v>
      </c>
      <c r="O69" s="5">
        <v>0</v>
      </c>
      <c r="P69" s="5">
        <v>37802.36</v>
      </c>
      <c r="Q69" s="5">
        <v>513431.43</v>
      </c>
      <c r="R69" s="1" t="s">
        <v>231</v>
      </c>
      <c r="S69" s="1" t="s">
        <v>123</v>
      </c>
      <c r="T69" s="4">
        <v>45292</v>
      </c>
      <c r="U69" s="4">
        <v>45560</v>
      </c>
      <c r="V69" s="1" t="s">
        <v>124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513431.43</v>
      </c>
      <c r="AH69" s="5">
        <v>45186.29</v>
      </c>
      <c r="AI69" s="5">
        <v>0</v>
      </c>
      <c r="AJ69" s="5">
        <v>0</v>
      </c>
      <c r="AK69" s="5">
        <v>0</v>
      </c>
      <c r="AL69" s="5">
        <v>45186.29</v>
      </c>
      <c r="AM69" s="5">
        <v>0</v>
      </c>
      <c r="AN69" s="5">
        <v>45186.29</v>
      </c>
      <c r="AO69" s="1" t="s">
        <v>126</v>
      </c>
    </row>
    <row r="70" spans="1:41" x14ac:dyDescent="0.25">
      <c r="A70" s="1">
        <f t="shared" si="2"/>
        <v>54</v>
      </c>
      <c r="B70" s="1" t="s">
        <v>232</v>
      </c>
      <c r="C70" s="1" t="s">
        <v>122</v>
      </c>
      <c r="D70" s="1" t="s">
        <v>130</v>
      </c>
      <c r="E70" s="4">
        <v>45404</v>
      </c>
      <c r="F70" s="4">
        <v>45560</v>
      </c>
      <c r="G70" s="1" t="s">
        <v>124</v>
      </c>
      <c r="H70" s="5">
        <v>122636.37</v>
      </c>
      <c r="I70" s="5">
        <v>8349.14</v>
      </c>
      <c r="J70" s="5">
        <v>0</v>
      </c>
      <c r="K70" s="5">
        <v>8117.5</v>
      </c>
      <c r="L70" s="5">
        <v>7706.9</v>
      </c>
      <c r="M70" s="5">
        <v>24173.54</v>
      </c>
      <c r="N70" s="5">
        <v>92072.16</v>
      </c>
      <c r="O70" s="5">
        <v>0</v>
      </c>
      <c r="P70" s="5">
        <v>6390.67</v>
      </c>
      <c r="Q70" s="5">
        <v>98462.83</v>
      </c>
      <c r="R70" s="1" t="s">
        <v>233</v>
      </c>
      <c r="S70" s="1" t="s">
        <v>130</v>
      </c>
      <c r="T70" s="4">
        <v>45404</v>
      </c>
      <c r="U70" s="4">
        <v>45560</v>
      </c>
      <c r="V70" s="1" t="s">
        <v>124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98462.83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1" t="s">
        <v>126</v>
      </c>
    </row>
    <row r="71" spans="1:41" x14ac:dyDescent="0.25">
      <c r="A71" s="1">
        <f t="shared" si="2"/>
        <v>55</v>
      </c>
      <c r="B71" s="1" t="s">
        <v>234</v>
      </c>
      <c r="C71" s="1" t="s">
        <v>122</v>
      </c>
      <c r="D71" s="1" t="s">
        <v>123</v>
      </c>
      <c r="E71" s="4">
        <v>45292</v>
      </c>
      <c r="F71" s="4">
        <v>45572</v>
      </c>
      <c r="G71" s="1" t="s">
        <v>124</v>
      </c>
      <c r="H71" s="5">
        <v>359480.72</v>
      </c>
      <c r="I71" s="5">
        <v>15116.11</v>
      </c>
      <c r="J71" s="5">
        <v>30349.43</v>
      </c>
      <c r="K71" s="5">
        <v>17635</v>
      </c>
      <c r="L71" s="5">
        <v>4522.99</v>
      </c>
      <c r="M71" s="5">
        <v>67623.53</v>
      </c>
      <c r="N71" s="5">
        <v>163758.32999999999</v>
      </c>
      <c r="O71" s="5">
        <v>0</v>
      </c>
      <c r="P71" s="5">
        <v>128098.86</v>
      </c>
      <c r="Q71" s="5">
        <v>291857.19</v>
      </c>
      <c r="R71" s="1" t="s">
        <v>235</v>
      </c>
      <c r="S71" s="1" t="s">
        <v>123</v>
      </c>
      <c r="T71" s="4">
        <v>45292</v>
      </c>
      <c r="U71" s="4">
        <v>45572</v>
      </c>
      <c r="V71" s="1" t="s">
        <v>124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291857.19</v>
      </c>
      <c r="AH71" s="5">
        <v>6278.58</v>
      </c>
      <c r="AI71" s="5">
        <v>0</v>
      </c>
      <c r="AJ71" s="5">
        <v>0</v>
      </c>
      <c r="AK71" s="5">
        <v>0</v>
      </c>
      <c r="AL71" s="5">
        <v>6278.58</v>
      </c>
      <c r="AM71" s="5">
        <v>0</v>
      </c>
      <c r="AN71" s="5">
        <v>6278.58</v>
      </c>
      <c r="AO71" s="1" t="s">
        <v>126</v>
      </c>
    </row>
    <row r="72" spans="1:41" x14ac:dyDescent="0.25">
      <c r="A72" s="1">
        <f t="shared" si="2"/>
        <v>56</v>
      </c>
      <c r="B72" s="1" t="s">
        <v>236</v>
      </c>
      <c r="C72" s="1" t="s">
        <v>122</v>
      </c>
      <c r="D72" s="1" t="s">
        <v>123</v>
      </c>
      <c r="E72" s="4">
        <v>45292</v>
      </c>
      <c r="F72" s="4">
        <v>45574</v>
      </c>
      <c r="G72" s="1" t="s">
        <v>124</v>
      </c>
      <c r="H72" s="5">
        <v>335287.01</v>
      </c>
      <c r="I72" s="5">
        <v>20324.89</v>
      </c>
      <c r="J72" s="5">
        <v>29922.99</v>
      </c>
      <c r="K72" s="5">
        <v>4683.91</v>
      </c>
      <c r="L72" s="5">
        <v>19335.29</v>
      </c>
      <c r="M72" s="5">
        <v>74267.08</v>
      </c>
      <c r="N72" s="5">
        <v>224563.42</v>
      </c>
      <c r="O72" s="5">
        <v>0</v>
      </c>
      <c r="P72" s="5">
        <v>36456.51</v>
      </c>
      <c r="Q72" s="5">
        <v>261019.93</v>
      </c>
      <c r="R72" s="1" t="s">
        <v>237</v>
      </c>
      <c r="S72" s="1" t="s">
        <v>123</v>
      </c>
      <c r="T72" s="4">
        <v>45292</v>
      </c>
      <c r="U72" s="4">
        <v>45574</v>
      </c>
      <c r="V72" s="1" t="s">
        <v>124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261019.93</v>
      </c>
      <c r="AH72" s="5">
        <v>1652.99</v>
      </c>
      <c r="AI72" s="5">
        <v>0</v>
      </c>
      <c r="AJ72" s="5">
        <v>0</v>
      </c>
      <c r="AK72" s="5">
        <v>0</v>
      </c>
      <c r="AL72" s="5">
        <v>1652.99</v>
      </c>
      <c r="AM72" s="5">
        <v>0</v>
      </c>
      <c r="AN72" s="5">
        <v>1652.99</v>
      </c>
      <c r="AO72" s="1" t="s">
        <v>126</v>
      </c>
    </row>
    <row r="73" spans="1:41" x14ac:dyDescent="0.25">
      <c r="A73" s="1">
        <f t="shared" si="2"/>
        <v>57</v>
      </c>
      <c r="B73" s="1" t="s">
        <v>238</v>
      </c>
      <c r="C73" s="1" t="s">
        <v>122</v>
      </c>
      <c r="D73" s="1" t="s">
        <v>123</v>
      </c>
      <c r="E73" s="4">
        <v>45292</v>
      </c>
      <c r="F73" s="4">
        <v>45575</v>
      </c>
      <c r="G73" s="1" t="s">
        <v>124</v>
      </c>
      <c r="H73" s="5">
        <v>256615.45</v>
      </c>
      <c r="I73" s="5">
        <v>16674.16</v>
      </c>
      <c r="J73" s="5">
        <v>26986.2</v>
      </c>
      <c r="K73" s="5">
        <v>15162.82</v>
      </c>
      <c r="L73" s="5">
        <v>4818.97</v>
      </c>
      <c r="M73" s="5">
        <v>63642.15</v>
      </c>
      <c r="N73" s="5">
        <v>183615.84</v>
      </c>
      <c r="O73" s="5">
        <v>0</v>
      </c>
      <c r="P73" s="5">
        <v>9357.4599999999991</v>
      </c>
      <c r="Q73" s="5">
        <v>192973.3</v>
      </c>
      <c r="R73" s="1" t="s">
        <v>239</v>
      </c>
      <c r="S73" s="1" t="s">
        <v>123</v>
      </c>
      <c r="T73" s="4">
        <v>45292</v>
      </c>
      <c r="U73" s="4">
        <v>45575</v>
      </c>
      <c r="V73" s="1" t="s">
        <v>124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192973.3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1" t="s">
        <v>126</v>
      </c>
    </row>
    <row r="74" spans="1:41" x14ac:dyDescent="0.25">
      <c r="A74" s="1">
        <f t="shared" si="2"/>
        <v>58</v>
      </c>
      <c r="B74" s="1" t="s">
        <v>240</v>
      </c>
      <c r="C74" s="1" t="s">
        <v>122</v>
      </c>
      <c r="D74" s="1" t="s">
        <v>123</v>
      </c>
      <c r="E74" s="4">
        <v>45292</v>
      </c>
      <c r="F74" s="4">
        <v>45582</v>
      </c>
      <c r="G74" s="1" t="s">
        <v>124</v>
      </c>
      <c r="H74" s="5">
        <v>454747.29</v>
      </c>
      <c r="I74" s="5">
        <v>32356.42</v>
      </c>
      <c r="J74" s="5">
        <v>29179.89</v>
      </c>
      <c r="K74" s="5">
        <v>24317.37</v>
      </c>
      <c r="L74" s="5">
        <v>4933.91</v>
      </c>
      <c r="M74" s="5">
        <v>90787.59</v>
      </c>
      <c r="N74" s="5">
        <v>363959.7</v>
      </c>
      <c r="O74" s="5">
        <v>0</v>
      </c>
      <c r="P74" s="5">
        <v>0</v>
      </c>
      <c r="Q74" s="5">
        <v>363959.7</v>
      </c>
      <c r="R74" s="1" t="s">
        <v>241</v>
      </c>
      <c r="S74" s="1" t="s">
        <v>123</v>
      </c>
      <c r="T74" s="4">
        <v>45292</v>
      </c>
      <c r="U74" s="4">
        <v>45582</v>
      </c>
      <c r="V74" s="1" t="s">
        <v>124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363959.7</v>
      </c>
      <c r="AH74" s="5">
        <v>17093.96</v>
      </c>
      <c r="AI74" s="5">
        <v>0</v>
      </c>
      <c r="AJ74" s="5">
        <v>0</v>
      </c>
      <c r="AK74" s="5">
        <v>0</v>
      </c>
      <c r="AL74" s="5">
        <v>17093.96</v>
      </c>
      <c r="AM74" s="5">
        <v>0</v>
      </c>
      <c r="AN74" s="5">
        <v>17093.96</v>
      </c>
      <c r="AO74" s="1" t="s">
        <v>126</v>
      </c>
    </row>
    <row r="75" spans="1:41" x14ac:dyDescent="0.25">
      <c r="A75" s="1">
        <f t="shared" si="2"/>
        <v>59</v>
      </c>
      <c r="B75" s="1" t="s">
        <v>242</v>
      </c>
      <c r="C75" s="1" t="s">
        <v>122</v>
      </c>
      <c r="D75" s="1" t="s">
        <v>130</v>
      </c>
      <c r="E75" s="4">
        <v>45292</v>
      </c>
      <c r="F75" s="4">
        <v>45583</v>
      </c>
      <c r="G75" s="1" t="s">
        <v>124</v>
      </c>
      <c r="H75" s="5">
        <v>137949.71</v>
      </c>
      <c r="I75" s="5">
        <v>9482.76</v>
      </c>
      <c r="J75" s="5">
        <v>0</v>
      </c>
      <c r="K75" s="5">
        <v>8855.43</v>
      </c>
      <c r="L75" s="5">
        <v>8870.69</v>
      </c>
      <c r="M75" s="5">
        <v>27208.880000000001</v>
      </c>
      <c r="N75" s="5">
        <v>104937.67</v>
      </c>
      <c r="O75" s="5">
        <v>0</v>
      </c>
      <c r="P75" s="5">
        <v>5803.16</v>
      </c>
      <c r="Q75" s="5">
        <v>110740.83</v>
      </c>
      <c r="R75" s="1" t="s">
        <v>243</v>
      </c>
      <c r="S75" s="1" t="s">
        <v>130</v>
      </c>
      <c r="T75" s="4">
        <v>45292</v>
      </c>
      <c r="U75" s="4">
        <v>45583</v>
      </c>
      <c r="V75" s="1" t="s">
        <v>124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110740.83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1" t="s">
        <v>126</v>
      </c>
    </row>
    <row r="76" spans="1:41" x14ac:dyDescent="0.25">
      <c r="A76" s="1">
        <f t="shared" si="2"/>
        <v>60</v>
      </c>
      <c r="B76" s="1" t="s">
        <v>244</v>
      </c>
      <c r="C76" s="1" t="s">
        <v>122</v>
      </c>
      <c r="D76" s="1" t="s">
        <v>123</v>
      </c>
      <c r="E76" s="4">
        <v>45292</v>
      </c>
      <c r="F76" s="4">
        <v>45596</v>
      </c>
      <c r="G76" s="1" t="s">
        <v>124</v>
      </c>
      <c r="H76" s="5">
        <v>571997.12</v>
      </c>
      <c r="I76" s="5">
        <v>30901.25</v>
      </c>
      <c r="J76" s="5">
        <v>12888.21</v>
      </c>
      <c r="K76" s="5">
        <v>24377.5</v>
      </c>
      <c r="L76" s="5">
        <v>15482.76</v>
      </c>
      <c r="M76" s="5">
        <v>83649.72</v>
      </c>
      <c r="N76" s="5">
        <v>346437.44</v>
      </c>
      <c r="O76" s="5">
        <v>0</v>
      </c>
      <c r="P76" s="5">
        <v>141909.96</v>
      </c>
      <c r="Q76" s="5">
        <v>488347.4</v>
      </c>
      <c r="R76" s="1" t="s">
        <v>245</v>
      </c>
      <c r="S76" s="1" t="s">
        <v>123</v>
      </c>
      <c r="T76" s="4">
        <v>45292</v>
      </c>
      <c r="U76" s="4">
        <v>45596</v>
      </c>
      <c r="V76" s="1" t="s">
        <v>124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488347.4</v>
      </c>
      <c r="AH76" s="5">
        <v>40169.480000000003</v>
      </c>
      <c r="AI76" s="5">
        <v>0</v>
      </c>
      <c r="AJ76" s="5">
        <v>0</v>
      </c>
      <c r="AK76" s="5">
        <v>0</v>
      </c>
      <c r="AL76" s="5">
        <v>40169.480000000003</v>
      </c>
      <c r="AM76" s="5">
        <v>0</v>
      </c>
      <c r="AN76" s="5">
        <v>40169.480000000003</v>
      </c>
      <c r="AO76" s="1" t="s">
        <v>126</v>
      </c>
    </row>
    <row r="77" spans="1:41" x14ac:dyDescent="0.25">
      <c r="A77" s="1">
        <f t="shared" si="2"/>
        <v>61</v>
      </c>
      <c r="B77" s="1" t="s">
        <v>246</v>
      </c>
      <c r="C77" s="1" t="s">
        <v>122</v>
      </c>
      <c r="D77" s="1" t="s">
        <v>123</v>
      </c>
      <c r="E77" s="4">
        <v>45292</v>
      </c>
      <c r="F77" s="4">
        <v>45600</v>
      </c>
      <c r="G77" s="1" t="s">
        <v>124</v>
      </c>
      <c r="H77" s="5">
        <v>219070.38</v>
      </c>
      <c r="I77" s="5">
        <v>15068.97</v>
      </c>
      <c r="J77" s="5">
        <v>1655.17</v>
      </c>
      <c r="K77" s="5">
        <v>14545</v>
      </c>
      <c r="L77" s="5">
        <v>15620.69</v>
      </c>
      <c r="M77" s="5">
        <v>46889.83</v>
      </c>
      <c r="N77" s="5">
        <v>166282.59</v>
      </c>
      <c r="O77" s="5">
        <v>0</v>
      </c>
      <c r="P77" s="5">
        <v>5897.96</v>
      </c>
      <c r="Q77" s="5">
        <v>172180.55</v>
      </c>
      <c r="R77" s="1" t="s">
        <v>247</v>
      </c>
      <c r="S77" s="1" t="s">
        <v>123</v>
      </c>
      <c r="T77" s="4">
        <v>45292</v>
      </c>
      <c r="U77" s="4">
        <v>45600</v>
      </c>
      <c r="V77" s="1" t="s">
        <v>124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172180.55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1" t="s">
        <v>126</v>
      </c>
    </row>
    <row r="78" spans="1:41" x14ac:dyDescent="0.25">
      <c r="A78" s="1">
        <f t="shared" si="2"/>
        <v>62</v>
      </c>
      <c r="B78" s="1" t="s">
        <v>248</v>
      </c>
      <c r="C78" s="1" t="s">
        <v>122</v>
      </c>
      <c r="D78" s="1" t="s">
        <v>123</v>
      </c>
      <c r="E78" s="4">
        <v>45292</v>
      </c>
      <c r="F78" s="4">
        <v>45611</v>
      </c>
      <c r="G78" s="1" t="s">
        <v>124</v>
      </c>
      <c r="H78" s="5">
        <v>1060016.1399999999</v>
      </c>
      <c r="I78" s="5">
        <v>76361.59</v>
      </c>
      <c r="J78" s="5">
        <v>30172.41</v>
      </c>
      <c r="K78" s="5">
        <v>39164.6</v>
      </c>
      <c r="L78" s="5">
        <v>5387.93</v>
      </c>
      <c r="M78" s="5">
        <v>151086.53</v>
      </c>
      <c r="N78" s="5">
        <v>877174.43</v>
      </c>
      <c r="O78" s="5">
        <v>31755.18</v>
      </c>
      <c r="P78" s="5">
        <v>0</v>
      </c>
      <c r="Q78" s="5">
        <v>908929.61</v>
      </c>
      <c r="R78" s="1" t="s">
        <v>249</v>
      </c>
      <c r="S78" s="1" t="s">
        <v>123</v>
      </c>
      <c r="T78" s="4">
        <v>45292</v>
      </c>
      <c r="U78" s="4">
        <v>45611</v>
      </c>
      <c r="V78" s="1" t="s">
        <v>124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908929.61</v>
      </c>
      <c r="AH78" s="5">
        <v>129732.4</v>
      </c>
      <c r="AI78" s="5">
        <v>0</v>
      </c>
      <c r="AJ78" s="5">
        <v>0</v>
      </c>
      <c r="AK78" s="5">
        <v>0</v>
      </c>
      <c r="AL78" s="5">
        <v>129732.4</v>
      </c>
      <c r="AM78" s="5">
        <v>0</v>
      </c>
      <c r="AN78" s="5">
        <v>129732.4</v>
      </c>
      <c r="AO78" s="1" t="s">
        <v>126</v>
      </c>
    </row>
    <row r="79" spans="1:41" x14ac:dyDescent="0.25">
      <c r="A79" s="1">
        <f t="shared" si="2"/>
        <v>63</v>
      </c>
      <c r="B79" s="1" t="s">
        <v>250</v>
      </c>
      <c r="C79" s="1" t="s">
        <v>122</v>
      </c>
      <c r="D79" s="1" t="s">
        <v>130</v>
      </c>
      <c r="E79" s="4">
        <v>45544</v>
      </c>
      <c r="F79" s="4">
        <v>45616</v>
      </c>
      <c r="G79" s="1" t="s">
        <v>124</v>
      </c>
      <c r="H79" s="5">
        <v>311815.13</v>
      </c>
      <c r="I79" s="5">
        <v>21757.66</v>
      </c>
      <c r="J79" s="5">
        <v>0</v>
      </c>
      <c r="K79" s="5">
        <v>9350</v>
      </c>
      <c r="L79" s="5">
        <v>4827.59</v>
      </c>
      <c r="M79" s="5">
        <v>35935.25</v>
      </c>
      <c r="N79" s="5">
        <v>251741.95</v>
      </c>
      <c r="O79" s="5">
        <v>0</v>
      </c>
      <c r="P79" s="5">
        <v>24137.93</v>
      </c>
      <c r="Q79" s="5">
        <v>275879.88</v>
      </c>
      <c r="R79" s="1" t="s">
        <v>251</v>
      </c>
      <c r="S79" s="1" t="s">
        <v>130</v>
      </c>
      <c r="T79" s="4">
        <v>45544</v>
      </c>
      <c r="U79" s="4">
        <v>45616</v>
      </c>
      <c r="V79" s="1" t="s">
        <v>124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275879.88</v>
      </c>
      <c r="AH79" s="5">
        <v>3881.98</v>
      </c>
      <c r="AI79" s="5">
        <v>0</v>
      </c>
      <c r="AJ79" s="5">
        <v>0</v>
      </c>
      <c r="AK79" s="5">
        <v>0</v>
      </c>
      <c r="AL79" s="5">
        <v>3881.98</v>
      </c>
      <c r="AM79" s="5">
        <v>0</v>
      </c>
      <c r="AN79" s="5">
        <v>3881.98</v>
      </c>
      <c r="AO79" s="1" t="s">
        <v>126</v>
      </c>
    </row>
    <row r="80" spans="1:41" x14ac:dyDescent="0.25">
      <c r="A80" s="1">
        <f t="shared" si="2"/>
        <v>64</v>
      </c>
      <c r="B80" s="1" t="s">
        <v>252</v>
      </c>
      <c r="C80" s="1" t="s">
        <v>122</v>
      </c>
      <c r="D80" s="1" t="s">
        <v>123</v>
      </c>
      <c r="E80" s="4">
        <v>45292</v>
      </c>
      <c r="F80" s="4">
        <v>45619</v>
      </c>
      <c r="G80" s="1" t="s">
        <v>124</v>
      </c>
      <c r="H80" s="5">
        <v>784244.61</v>
      </c>
      <c r="I80" s="5">
        <v>56843.75</v>
      </c>
      <c r="J80" s="5">
        <v>36275.86</v>
      </c>
      <c r="K80" s="5">
        <v>33072.49</v>
      </c>
      <c r="L80" s="5">
        <v>9000</v>
      </c>
      <c r="M80" s="5">
        <v>135192.1</v>
      </c>
      <c r="N80" s="5">
        <v>649052.51</v>
      </c>
      <c r="O80" s="5">
        <v>0</v>
      </c>
      <c r="P80" s="5">
        <v>0</v>
      </c>
      <c r="Q80" s="5">
        <v>649052.51</v>
      </c>
      <c r="R80" s="1" t="s">
        <v>253</v>
      </c>
      <c r="S80" s="1" t="s">
        <v>123</v>
      </c>
      <c r="T80" s="4">
        <v>45292</v>
      </c>
      <c r="U80" s="4">
        <v>45619</v>
      </c>
      <c r="V80" s="1" t="s">
        <v>124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649052.51</v>
      </c>
      <c r="AH80" s="5">
        <v>72310.5</v>
      </c>
      <c r="AI80" s="5">
        <v>0</v>
      </c>
      <c r="AJ80" s="5">
        <v>0</v>
      </c>
      <c r="AK80" s="5">
        <v>0</v>
      </c>
      <c r="AL80" s="5">
        <v>72310.5</v>
      </c>
      <c r="AM80" s="5">
        <v>0</v>
      </c>
      <c r="AN80" s="5">
        <v>72310.5</v>
      </c>
      <c r="AO80" s="1" t="s">
        <v>126</v>
      </c>
    </row>
    <row r="81" spans="1:41" x14ac:dyDescent="0.25">
      <c r="A81" s="1">
        <f t="shared" si="2"/>
        <v>65</v>
      </c>
      <c r="B81" s="1" t="s">
        <v>254</v>
      </c>
      <c r="C81" s="1" t="s">
        <v>122</v>
      </c>
      <c r="D81" s="1" t="s">
        <v>130</v>
      </c>
      <c r="E81" s="4">
        <v>45446</v>
      </c>
      <c r="F81" s="4">
        <v>45624</v>
      </c>
      <c r="G81" s="1" t="s">
        <v>124</v>
      </c>
      <c r="H81" s="5">
        <v>295331.89</v>
      </c>
      <c r="I81" s="5">
        <v>22004.31</v>
      </c>
      <c r="J81" s="5">
        <v>0</v>
      </c>
      <c r="K81" s="5">
        <v>14791.12</v>
      </c>
      <c r="L81" s="5">
        <v>9275.86</v>
      </c>
      <c r="M81" s="5">
        <v>46071.29</v>
      </c>
      <c r="N81" s="5">
        <v>249260.6</v>
      </c>
      <c r="O81" s="5">
        <v>0</v>
      </c>
      <c r="P81" s="5">
        <v>0</v>
      </c>
      <c r="Q81" s="5">
        <v>249260.6</v>
      </c>
      <c r="R81" s="1" t="s">
        <v>255</v>
      </c>
      <c r="S81" s="1" t="s">
        <v>130</v>
      </c>
      <c r="T81" s="4">
        <v>45446</v>
      </c>
      <c r="U81" s="4">
        <v>45624</v>
      </c>
      <c r="V81" s="1" t="s">
        <v>124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249260.6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1" t="s">
        <v>126</v>
      </c>
    </row>
    <row r="82" spans="1:41" x14ac:dyDescent="0.25">
      <c r="A82" s="1">
        <f t="shared" si="2"/>
        <v>66</v>
      </c>
      <c r="B82" s="1" t="s">
        <v>256</v>
      </c>
      <c r="C82" s="1" t="s">
        <v>122</v>
      </c>
      <c r="D82" s="1" t="s">
        <v>123</v>
      </c>
      <c r="E82" s="4">
        <v>45292</v>
      </c>
      <c r="F82" s="4">
        <v>45639</v>
      </c>
      <c r="G82" s="1" t="s">
        <v>124</v>
      </c>
      <c r="H82" s="5">
        <v>616787.04</v>
      </c>
      <c r="I82" s="5">
        <v>43750</v>
      </c>
      <c r="J82" s="5">
        <v>0</v>
      </c>
      <c r="K82" s="5">
        <v>29795</v>
      </c>
      <c r="L82" s="5">
        <v>15750</v>
      </c>
      <c r="M82" s="5">
        <v>89295</v>
      </c>
      <c r="N82" s="5">
        <v>495205</v>
      </c>
      <c r="O82" s="5">
        <v>0</v>
      </c>
      <c r="P82" s="5">
        <v>32287.040000000001</v>
      </c>
      <c r="Q82" s="5">
        <v>527492.04</v>
      </c>
      <c r="R82" s="1" t="s">
        <v>257</v>
      </c>
      <c r="S82" s="1" t="s">
        <v>123</v>
      </c>
      <c r="T82" s="4">
        <v>45292</v>
      </c>
      <c r="U82" s="4">
        <v>45639</v>
      </c>
      <c r="V82" s="1" t="s">
        <v>124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527492.04</v>
      </c>
      <c r="AH82" s="5">
        <v>47998.41</v>
      </c>
      <c r="AI82" s="5">
        <v>0</v>
      </c>
      <c r="AJ82" s="5">
        <v>0</v>
      </c>
      <c r="AK82" s="5">
        <v>0</v>
      </c>
      <c r="AL82" s="5">
        <v>47998.41</v>
      </c>
      <c r="AM82" s="5">
        <v>0</v>
      </c>
      <c r="AN82" s="5">
        <v>47998.41</v>
      </c>
      <c r="AO82" s="1" t="s">
        <v>126</v>
      </c>
    </row>
    <row r="83" spans="1:41" x14ac:dyDescent="0.25">
      <c r="A83" s="1">
        <f t="shared" ref="A83:A541" si="3">A82+1</f>
        <v>67</v>
      </c>
      <c r="B83" s="1" t="s">
        <v>258</v>
      </c>
      <c r="C83" s="1" t="s">
        <v>122</v>
      </c>
      <c r="D83" s="1" t="s">
        <v>130</v>
      </c>
      <c r="E83" s="4">
        <v>45474</v>
      </c>
      <c r="F83" s="4">
        <v>45645</v>
      </c>
      <c r="G83" s="1" t="s">
        <v>124</v>
      </c>
      <c r="H83" s="5">
        <v>1972440.61</v>
      </c>
      <c r="I83" s="5">
        <v>90000</v>
      </c>
      <c r="J83" s="5">
        <v>0</v>
      </c>
      <c r="K83" s="5">
        <v>22950</v>
      </c>
      <c r="L83" s="5">
        <v>11827.59</v>
      </c>
      <c r="M83" s="5">
        <v>124777.59</v>
      </c>
      <c r="N83" s="5">
        <v>1783027.01</v>
      </c>
      <c r="O83" s="5">
        <v>60498.080000000002</v>
      </c>
      <c r="P83" s="5">
        <v>4137.93</v>
      </c>
      <c r="Q83" s="5">
        <v>1847663.02</v>
      </c>
      <c r="R83" s="1" t="s">
        <v>259</v>
      </c>
      <c r="S83" s="1" t="s">
        <v>130</v>
      </c>
      <c r="T83" s="4">
        <v>45474</v>
      </c>
      <c r="U83" s="4">
        <v>45645</v>
      </c>
      <c r="V83" s="1" t="s">
        <v>124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1847663.02</v>
      </c>
      <c r="AH83" s="5">
        <v>364415.76</v>
      </c>
      <c r="AI83" s="5">
        <v>0</v>
      </c>
      <c r="AJ83" s="5">
        <v>0</v>
      </c>
      <c r="AK83" s="5">
        <v>0</v>
      </c>
      <c r="AL83" s="5">
        <v>364415.76</v>
      </c>
      <c r="AM83" s="5">
        <v>0</v>
      </c>
      <c r="AN83" s="5">
        <v>364415.76</v>
      </c>
      <c r="AO83" s="1" t="s">
        <v>126</v>
      </c>
    </row>
    <row r="84" spans="1:41" x14ac:dyDescent="0.25">
      <c r="A84" s="1">
        <f t="shared" si="3"/>
        <v>68</v>
      </c>
      <c r="B84" s="1" t="s">
        <v>260</v>
      </c>
      <c r="C84" s="1" t="s">
        <v>122</v>
      </c>
      <c r="D84" s="1" t="s">
        <v>261</v>
      </c>
      <c r="E84" s="4">
        <v>45292</v>
      </c>
      <c r="F84" s="4">
        <v>45418</v>
      </c>
      <c r="G84" s="1" t="s">
        <v>124</v>
      </c>
      <c r="H84" s="5">
        <v>88174.7</v>
      </c>
      <c r="I84" s="5">
        <v>6122.61</v>
      </c>
      <c r="J84" s="5">
        <v>0</v>
      </c>
      <c r="K84" s="5">
        <v>5685</v>
      </c>
      <c r="L84" s="5">
        <v>2206.9</v>
      </c>
      <c r="M84" s="5">
        <v>14014.51</v>
      </c>
      <c r="N84" s="5">
        <v>67786.259999999995</v>
      </c>
      <c r="O84" s="5">
        <v>0</v>
      </c>
      <c r="P84" s="5">
        <v>6373.93</v>
      </c>
      <c r="Q84" s="5">
        <v>74160.19</v>
      </c>
      <c r="R84" s="1" t="s">
        <v>262</v>
      </c>
      <c r="S84" s="1" t="s">
        <v>261</v>
      </c>
      <c r="T84" s="4">
        <v>45292</v>
      </c>
      <c r="U84" s="4">
        <v>45418</v>
      </c>
      <c r="V84" s="1" t="s">
        <v>124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74160.19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1" t="s">
        <v>126</v>
      </c>
    </row>
    <row r="85" spans="1:41" x14ac:dyDescent="0.25">
      <c r="A85" s="1">
        <f t="shared" si="3"/>
        <v>69</v>
      </c>
      <c r="B85" s="1" t="s">
        <v>263</v>
      </c>
      <c r="C85" s="1" t="s">
        <v>122</v>
      </c>
      <c r="D85" s="1" t="s">
        <v>261</v>
      </c>
      <c r="E85" s="4">
        <v>45292</v>
      </c>
      <c r="F85" s="4">
        <v>45430</v>
      </c>
      <c r="G85" s="1" t="s">
        <v>124</v>
      </c>
      <c r="H85" s="5">
        <v>117464.21</v>
      </c>
      <c r="I85" s="5">
        <v>6896.07</v>
      </c>
      <c r="J85" s="5">
        <v>0</v>
      </c>
      <c r="K85" s="5">
        <v>7440</v>
      </c>
      <c r="L85" s="5">
        <v>2433.91</v>
      </c>
      <c r="M85" s="5">
        <v>16769.98</v>
      </c>
      <c r="N85" s="5">
        <v>75312.87</v>
      </c>
      <c r="O85" s="5">
        <v>0</v>
      </c>
      <c r="P85" s="5">
        <v>25381.360000000001</v>
      </c>
      <c r="Q85" s="5">
        <v>100694.23</v>
      </c>
      <c r="R85" s="1" t="s">
        <v>264</v>
      </c>
      <c r="S85" s="1" t="s">
        <v>261</v>
      </c>
      <c r="T85" s="4">
        <v>45292</v>
      </c>
      <c r="U85" s="4">
        <v>45430</v>
      </c>
      <c r="V85" s="1" t="s">
        <v>124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100694.23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1" t="s">
        <v>126</v>
      </c>
    </row>
    <row r="86" spans="1:41" x14ac:dyDescent="0.25">
      <c r="A86" s="1">
        <f t="shared" si="3"/>
        <v>70</v>
      </c>
      <c r="B86" s="1" t="s">
        <v>265</v>
      </c>
      <c r="C86" s="1" t="s">
        <v>122</v>
      </c>
      <c r="D86" s="1" t="s">
        <v>261</v>
      </c>
      <c r="E86" s="4">
        <v>45481</v>
      </c>
      <c r="F86" s="4">
        <v>45541</v>
      </c>
      <c r="G86" s="1" t="s">
        <v>124</v>
      </c>
      <c r="H86" s="5">
        <v>39327.589999999997</v>
      </c>
      <c r="I86" s="5">
        <v>2948.28</v>
      </c>
      <c r="J86" s="5">
        <v>0</v>
      </c>
      <c r="K86" s="5">
        <v>2972.5</v>
      </c>
      <c r="L86" s="5">
        <v>1000</v>
      </c>
      <c r="M86" s="5">
        <v>6920.78</v>
      </c>
      <c r="N86" s="5">
        <v>32406.81</v>
      </c>
      <c r="O86" s="5">
        <v>0</v>
      </c>
      <c r="P86" s="5">
        <v>0</v>
      </c>
      <c r="Q86" s="5">
        <v>32406.81</v>
      </c>
      <c r="R86" s="1" t="s">
        <v>266</v>
      </c>
      <c r="S86" s="1" t="s">
        <v>261</v>
      </c>
      <c r="T86" s="4">
        <v>45481</v>
      </c>
      <c r="U86" s="4">
        <v>45541</v>
      </c>
      <c r="V86" s="1" t="s">
        <v>124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32406.81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1" t="s">
        <v>126</v>
      </c>
    </row>
    <row r="87" spans="1:41" x14ac:dyDescent="0.25">
      <c r="A87" s="1">
        <f t="shared" si="3"/>
        <v>71</v>
      </c>
      <c r="B87" s="1" t="s">
        <v>267</v>
      </c>
      <c r="C87" s="1" t="s">
        <v>122</v>
      </c>
      <c r="D87" s="1" t="s">
        <v>261</v>
      </c>
      <c r="E87" s="4">
        <v>45544</v>
      </c>
      <c r="F87" s="4">
        <v>45586</v>
      </c>
      <c r="G87" s="1" t="s">
        <v>124</v>
      </c>
      <c r="H87" s="5">
        <v>29565.13</v>
      </c>
      <c r="I87" s="5">
        <v>2111.11</v>
      </c>
      <c r="J87" s="5">
        <v>0</v>
      </c>
      <c r="K87" s="5">
        <v>1420</v>
      </c>
      <c r="L87" s="5">
        <v>2120.69</v>
      </c>
      <c r="M87" s="5">
        <v>5651.8</v>
      </c>
      <c r="N87" s="5">
        <v>23913.33</v>
      </c>
      <c r="O87" s="5">
        <v>0</v>
      </c>
      <c r="P87" s="5">
        <v>0</v>
      </c>
      <c r="Q87" s="5">
        <v>23913.33</v>
      </c>
      <c r="R87" s="1" t="s">
        <v>268</v>
      </c>
      <c r="S87" s="1" t="s">
        <v>261</v>
      </c>
      <c r="T87" s="4">
        <v>45544</v>
      </c>
      <c r="U87" s="4">
        <v>45586</v>
      </c>
      <c r="V87" s="1" t="s">
        <v>124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23913.33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1" t="s">
        <v>126</v>
      </c>
    </row>
    <row r="88" spans="1:41" x14ac:dyDescent="0.25">
      <c r="A88" s="1">
        <f t="shared" si="3"/>
        <v>72</v>
      </c>
      <c r="B88" s="1" t="s">
        <v>269</v>
      </c>
      <c r="C88" s="1" t="s">
        <v>122</v>
      </c>
      <c r="D88" s="1" t="s">
        <v>261</v>
      </c>
      <c r="E88" s="4">
        <v>45453</v>
      </c>
      <c r="F88" s="4">
        <v>45625</v>
      </c>
      <c r="G88" s="1" t="s">
        <v>124</v>
      </c>
      <c r="H88" s="5">
        <v>102673.17</v>
      </c>
      <c r="I88" s="5">
        <v>7539.27</v>
      </c>
      <c r="J88" s="5">
        <v>0</v>
      </c>
      <c r="K88" s="5">
        <v>7402.5</v>
      </c>
      <c r="L88" s="5">
        <v>2864.94</v>
      </c>
      <c r="M88" s="5">
        <v>17806.71</v>
      </c>
      <c r="N88" s="5">
        <v>83068.759999999995</v>
      </c>
      <c r="O88" s="5">
        <v>0</v>
      </c>
      <c r="P88" s="5">
        <v>1797.7</v>
      </c>
      <c r="Q88" s="5">
        <v>84866.46</v>
      </c>
      <c r="R88" s="1" t="s">
        <v>270</v>
      </c>
      <c r="S88" s="1" t="s">
        <v>261</v>
      </c>
      <c r="T88" s="4">
        <v>45453</v>
      </c>
      <c r="U88" s="4">
        <v>45625</v>
      </c>
      <c r="V88" s="1" t="s">
        <v>124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84866.46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1" t="s">
        <v>126</v>
      </c>
    </row>
    <row r="89" spans="1:41" x14ac:dyDescent="0.25">
      <c r="A89" s="1">
        <f t="shared" si="3"/>
        <v>73</v>
      </c>
      <c r="B89" s="1" t="s">
        <v>271</v>
      </c>
      <c r="C89" s="1" t="s">
        <v>122</v>
      </c>
      <c r="D89" s="1" t="s">
        <v>261</v>
      </c>
      <c r="E89" s="4">
        <v>45292</v>
      </c>
      <c r="F89" s="4">
        <v>45430</v>
      </c>
      <c r="G89" s="1" t="s">
        <v>124</v>
      </c>
      <c r="H89" s="5">
        <v>122831.77</v>
      </c>
      <c r="I89" s="5">
        <v>6806.9</v>
      </c>
      <c r="J89" s="5">
        <v>0</v>
      </c>
      <c r="K89" s="5">
        <v>8580</v>
      </c>
      <c r="L89" s="5">
        <v>2500</v>
      </c>
      <c r="M89" s="5">
        <v>17886.900000000001</v>
      </c>
      <c r="N89" s="5">
        <v>73102.759999999995</v>
      </c>
      <c r="O89" s="5">
        <v>0</v>
      </c>
      <c r="P89" s="5">
        <v>31842.11</v>
      </c>
      <c r="Q89" s="5">
        <v>104944.87</v>
      </c>
      <c r="R89" s="1" t="s">
        <v>272</v>
      </c>
      <c r="S89" s="1" t="s">
        <v>261</v>
      </c>
      <c r="T89" s="4">
        <v>45292</v>
      </c>
      <c r="U89" s="4">
        <v>45430</v>
      </c>
      <c r="V89" s="1" t="s">
        <v>124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104944.87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1" t="s">
        <v>126</v>
      </c>
    </row>
    <row r="90" spans="1:41" x14ac:dyDescent="0.25">
      <c r="A90" s="1">
        <f t="shared" si="3"/>
        <v>74</v>
      </c>
      <c r="B90" s="1" t="s">
        <v>273</v>
      </c>
      <c r="C90" s="1" t="s">
        <v>122</v>
      </c>
      <c r="D90" s="1" t="s">
        <v>123</v>
      </c>
      <c r="E90" s="4">
        <v>45292</v>
      </c>
      <c r="F90" s="4">
        <v>45590</v>
      </c>
      <c r="G90" s="1" t="s">
        <v>124</v>
      </c>
      <c r="H90" s="5">
        <v>427134.64</v>
      </c>
      <c r="I90" s="5">
        <v>27742.53</v>
      </c>
      <c r="J90" s="5">
        <v>28386.21</v>
      </c>
      <c r="K90" s="5">
        <v>13742</v>
      </c>
      <c r="L90" s="5">
        <v>5068.97</v>
      </c>
      <c r="M90" s="5">
        <v>74939.710000000006</v>
      </c>
      <c r="N90" s="5">
        <v>319168.34000000003</v>
      </c>
      <c r="O90" s="5">
        <v>0</v>
      </c>
      <c r="P90" s="5">
        <v>33026.589999999997</v>
      </c>
      <c r="Q90" s="5">
        <v>352194.93</v>
      </c>
      <c r="R90" s="1" t="s">
        <v>274</v>
      </c>
      <c r="S90" s="1" t="s">
        <v>123</v>
      </c>
      <c r="T90" s="4">
        <v>45292</v>
      </c>
      <c r="U90" s="4">
        <v>45590</v>
      </c>
      <c r="V90" s="1" t="s">
        <v>124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352194.93</v>
      </c>
      <c r="AH90" s="5">
        <v>15329.24</v>
      </c>
      <c r="AI90" s="5">
        <v>0</v>
      </c>
      <c r="AJ90" s="5">
        <v>0</v>
      </c>
      <c r="AK90" s="5">
        <v>0</v>
      </c>
      <c r="AL90" s="5">
        <v>15329.24</v>
      </c>
      <c r="AM90" s="5">
        <v>0</v>
      </c>
      <c r="AN90" s="5">
        <v>15329.24</v>
      </c>
      <c r="AO90" s="1" t="s">
        <v>126</v>
      </c>
    </row>
    <row r="91" spans="1:41" x14ac:dyDescent="0.25">
      <c r="A91" s="1">
        <f t="shared" si="3"/>
        <v>75</v>
      </c>
      <c r="B91" s="1" t="s">
        <v>275</v>
      </c>
      <c r="C91" s="1" t="s">
        <v>122</v>
      </c>
      <c r="D91" s="1" t="s">
        <v>130</v>
      </c>
      <c r="E91" s="4">
        <v>45292</v>
      </c>
      <c r="F91" s="4">
        <v>45327</v>
      </c>
      <c r="G91" s="1" t="s">
        <v>124</v>
      </c>
      <c r="H91" s="5">
        <v>32010.78</v>
      </c>
      <c r="I91" s="5">
        <v>2250</v>
      </c>
      <c r="J91" s="5">
        <v>0</v>
      </c>
      <c r="K91" s="5">
        <v>2237.5</v>
      </c>
      <c r="L91" s="5">
        <v>2250</v>
      </c>
      <c r="M91" s="5">
        <v>6737.5</v>
      </c>
      <c r="N91" s="5">
        <v>24762.5</v>
      </c>
      <c r="O91" s="5">
        <v>0</v>
      </c>
      <c r="P91" s="5">
        <v>510.78</v>
      </c>
      <c r="Q91" s="5">
        <v>25273.279999999999</v>
      </c>
      <c r="R91" s="1" t="s">
        <v>276</v>
      </c>
      <c r="S91" s="1" t="s">
        <v>130</v>
      </c>
      <c r="T91" s="4">
        <v>45292</v>
      </c>
      <c r="U91" s="4">
        <v>45327</v>
      </c>
      <c r="V91" s="1" t="s">
        <v>124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25273.279999999999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1" t="s">
        <v>126</v>
      </c>
    </row>
    <row r="92" spans="1:41" x14ac:dyDescent="0.25">
      <c r="A92" s="1">
        <f t="shared" si="3"/>
        <v>76</v>
      </c>
      <c r="B92" s="1" t="s">
        <v>277</v>
      </c>
      <c r="C92" s="1" t="s">
        <v>122</v>
      </c>
      <c r="D92" s="1" t="s">
        <v>130</v>
      </c>
      <c r="E92" s="4">
        <v>45502</v>
      </c>
      <c r="F92" s="4">
        <v>45510</v>
      </c>
      <c r="G92" s="1" t="s">
        <v>124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1" t="s">
        <v>278</v>
      </c>
      <c r="S92" s="1" t="s">
        <v>130</v>
      </c>
      <c r="T92" s="4">
        <v>45502</v>
      </c>
      <c r="U92" s="4">
        <v>45510</v>
      </c>
      <c r="V92" s="1" t="s">
        <v>124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1" t="s">
        <v>126</v>
      </c>
    </row>
    <row r="93" spans="1:41" x14ac:dyDescent="0.25">
      <c r="A93" s="1">
        <f t="shared" si="3"/>
        <v>77</v>
      </c>
      <c r="B93" s="1" t="s">
        <v>279</v>
      </c>
      <c r="C93" s="1" t="s">
        <v>122</v>
      </c>
      <c r="D93" s="1" t="s">
        <v>130</v>
      </c>
      <c r="E93" s="4">
        <v>45531</v>
      </c>
      <c r="F93" s="4">
        <v>45580</v>
      </c>
      <c r="G93" s="1" t="s">
        <v>124</v>
      </c>
      <c r="H93" s="5">
        <v>57908.05</v>
      </c>
      <c r="I93" s="5">
        <v>4339.08</v>
      </c>
      <c r="J93" s="5">
        <v>0</v>
      </c>
      <c r="K93" s="5">
        <v>2920.69</v>
      </c>
      <c r="L93" s="5">
        <v>1500</v>
      </c>
      <c r="M93" s="5">
        <v>8759.77</v>
      </c>
      <c r="N93" s="5">
        <v>49148.28</v>
      </c>
      <c r="O93" s="5">
        <v>0</v>
      </c>
      <c r="P93" s="5">
        <v>0</v>
      </c>
      <c r="Q93" s="5">
        <v>49148.28</v>
      </c>
      <c r="R93" s="1" t="s">
        <v>280</v>
      </c>
      <c r="S93" s="1" t="s">
        <v>130</v>
      </c>
      <c r="T93" s="4">
        <v>45531</v>
      </c>
      <c r="U93" s="4">
        <v>45580</v>
      </c>
      <c r="V93" s="1" t="s">
        <v>124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49148.28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1" t="s">
        <v>126</v>
      </c>
    </row>
    <row r="94" spans="1:41" x14ac:dyDescent="0.25">
      <c r="A94" s="1">
        <f t="shared" si="3"/>
        <v>78</v>
      </c>
      <c r="B94" s="1" t="s">
        <v>281</v>
      </c>
      <c r="C94" s="1" t="s">
        <v>122</v>
      </c>
      <c r="D94" s="1" t="s">
        <v>123</v>
      </c>
      <c r="E94" s="4">
        <v>45292</v>
      </c>
      <c r="F94" s="4">
        <v>45585</v>
      </c>
      <c r="G94" s="1" t="s">
        <v>124</v>
      </c>
      <c r="H94" s="5">
        <v>2599066.09</v>
      </c>
      <c r="I94" s="5">
        <v>90000</v>
      </c>
      <c r="J94" s="5">
        <v>0</v>
      </c>
      <c r="K94" s="5">
        <v>39150</v>
      </c>
      <c r="L94" s="5">
        <v>19827.59</v>
      </c>
      <c r="M94" s="5">
        <v>148977.59</v>
      </c>
      <c r="N94" s="5">
        <v>2241022.41</v>
      </c>
      <c r="O94" s="5">
        <v>100014.37</v>
      </c>
      <c r="P94" s="5">
        <v>109051.72</v>
      </c>
      <c r="Q94" s="5">
        <v>2450088.5</v>
      </c>
      <c r="R94" s="1" t="s">
        <v>282</v>
      </c>
      <c r="S94" s="1" t="s">
        <v>123</v>
      </c>
      <c r="T94" s="4">
        <v>45292</v>
      </c>
      <c r="U94" s="4">
        <v>45585</v>
      </c>
      <c r="V94" s="1" t="s">
        <v>124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2450088.5</v>
      </c>
      <c r="AH94" s="5">
        <v>537526.55000000005</v>
      </c>
      <c r="AI94" s="5">
        <v>0</v>
      </c>
      <c r="AJ94" s="5">
        <v>0</v>
      </c>
      <c r="AK94" s="5">
        <v>0</v>
      </c>
      <c r="AL94" s="5">
        <v>537526.55000000005</v>
      </c>
      <c r="AM94" s="5">
        <v>0</v>
      </c>
      <c r="AN94" s="5">
        <v>537526.55000000005</v>
      </c>
      <c r="AO94" s="1" t="s">
        <v>126</v>
      </c>
    </row>
    <row r="95" spans="1:41" x14ac:dyDescent="0.25">
      <c r="A95" s="1">
        <f t="shared" si="3"/>
        <v>79</v>
      </c>
      <c r="B95" s="1" t="s">
        <v>283</v>
      </c>
      <c r="C95" s="1" t="s">
        <v>122</v>
      </c>
      <c r="D95" s="1" t="s">
        <v>123</v>
      </c>
      <c r="E95" s="4">
        <v>45292</v>
      </c>
      <c r="F95" s="4">
        <v>45643</v>
      </c>
      <c r="G95" s="1" t="s">
        <v>124</v>
      </c>
      <c r="H95" s="5">
        <v>300920.51</v>
      </c>
      <c r="I95" s="5">
        <v>17281.080000000002</v>
      </c>
      <c r="J95" s="5">
        <v>37020.69</v>
      </c>
      <c r="K95" s="5">
        <v>18175.37</v>
      </c>
      <c r="L95" s="5">
        <v>5887.93</v>
      </c>
      <c r="M95" s="5">
        <v>78365.070000000007</v>
      </c>
      <c r="N95" s="5">
        <v>189197.56</v>
      </c>
      <c r="O95" s="5">
        <v>0</v>
      </c>
      <c r="P95" s="5">
        <v>33357.879999999997</v>
      </c>
      <c r="Q95" s="5">
        <v>222555.44</v>
      </c>
      <c r="R95" s="1" t="s">
        <v>284</v>
      </c>
      <c r="S95" s="1" t="s">
        <v>123</v>
      </c>
      <c r="T95" s="4">
        <v>45292</v>
      </c>
      <c r="U95" s="4">
        <v>45643</v>
      </c>
      <c r="V95" s="1" t="s">
        <v>124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222555.44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1" t="s">
        <v>126</v>
      </c>
    </row>
    <row r="96" spans="1:41" x14ac:dyDescent="0.25">
      <c r="A96" s="1">
        <f t="shared" si="3"/>
        <v>80</v>
      </c>
      <c r="B96" s="1" t="s">
        <v>285</v>
      </c>
      <c r="C96" s="1" t="s">
        <v>122</v>
      </c>
      <c r="D96" s="1" t="s">
        <v>261</v>
      </c>
      <c r="E96" s="4">
        <v>45642</v>
      </c>
      <c r="F96" s="4">
        <v>45654</v>
      </c>
      <c r="G96" s="1" t="s">
        <v>124</v>
      </c>
      <c r="H96" s="5">
        <v>12043.1</v>
      </c>
      <c r="I96" s="5">
        <v>0</v>
      </c>
      <c r="J96" s="5">
        <v>0</v>
      </c>
      <c r="K96" s="5">
        <v>782.5</v>
      </c>
      <c r="L96" s="5">
        <v>364.94</v>
      </c>
      <c r="M96" s="5">
        <v>1147.44</v>
      </c>
      <c r="N96" s="5">
        <v>10895.66</v>
      </c>
      <c r="O96" s="5">
        <v>0</v>
      </c>
      <c r="P96" s="5">
        <v>0</v>
      </c>
      <c r="Q96" s="5">
        <v>10895.66</v>
      </c>
      <c r="R96" s="1" t="s">
        <v>286</v>
      </c>
      <c r="S96" s="1" t="s">
        <v>261</v>
      </c>
      <c r="T96" s="4">
        <v>45642</v>
      </c>
      <c r="U96" s="4">
        <v>45654</v>
      </c>
      <c r="V96" s="1" t="s">
        <v>124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10895.66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1" t="s">
        <v>126</v>
      </c>
    </row>
    <row r="97" spans="1:41" x14ac:dyDescent="0.25">
      <c r="A97" s="1">
        <f t="shared" si="3"/>
        <v>81</v>
      </c>
      <c r="B97" s="1" t="s">
        <v>293</v>
      </c>
      <c r="C97" s="1" t="s">
        <v>122</v>
      </c>
      <c r="D97" s="1" t="s">
        <v>735</v>
      </c>
      <c r="E97" s="4">
        <v>45292</v>
      </c>
      <c r="F97" s="4">
        <v>45657</v>
      </c>
      <c r="H97" s="5">
        <v>1081305.17</v>
      </c>
      <c r="I97" s="5">
        <v>60937.5</v>
      </c>
      <c r="J97" s="5">
        <v>23250</v>
      </c>
      <c r="K97" s="5">
        <v>36781.25</v>
      </c>
      <c r="L97" s="5">
        <v>0</v>
      </c>
      <c r="M97" s="5">
        <v>120968.75</v>
      </c>
      <c r="N97" s="5">
        <v>694468.75</v>
      </c>
      <c r="O97" s="5">
        <v>0</v>
      </c>
      <c r="P97" s="5">
        <v>265867.67</v>
      </c>
      <c r="Q97" s="5">
        <v>960336.42</v>
      </c>
      <c r="R97" s="1" t="s">
        <v>737</v>
      </c>
      <c r="S97" s="1" t="s">
        <v>735</v>
      </c>
      <c r="T97" s="4">
        <v>45292</v>
      </c>
      <c r="U97" s="4">
        <v>45657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960336.42</v>
      </c>
      <c r="AH97" s="5">
        <v>142584.10999999999</v>
      </c>
      <c r="AI97" s="5">
        <v>0</v>
      </c>
      <c r="AJ97" s="5">
        <v>151662.17000000001</v>
      </c>
      <c r="AK97" s="5">
        <v>0</v>
      </c>
      <c r="AL97" s="5">
        <v>0</v>
      </c>
      <c r="AM97" s="5">
        <v>9078.07</v>
      </c>
      <c r="AN97" s="5">
        <v>142584.10999999999</v>
      </c>
      <c r="AO97" s="1" t="s">
        <v>1177</v>
      </c>
    </row>
    <row r="98" spans="1:41" x14ac:dyDescent="0.25">
      <c r="A98" s="1">
        <f t="shared" si="3"/>
        <v>82</v>
      </c>
      <c r="B98" s="1" t="s">
        <v>294</v>
      </c>
      <c r="C98" s="1" t="s">
        <v>122</v>
      </c>
      <c r="D98" s="1" t="s">
        <v>735</v>
      </c>
      <c r="E98" s="4">
        <v>45292</v>
      </c>
      <c r="F98" s="4">
        <v>45657</v>
      </c>
      <c r="H98" s="5">
        <v>1543776.67</v>
      </c>
      <c r="I98" s="5">
        <v>90000</v>
      </c>
      <c r="J98" s="5">
        <v>18000</v>
      </c>
      <c r="K98" s="5">
        <v>48500</v>
      </c>
      <c r="L98" s="5">
        <v>0</v>
      </c>
      <c r="M98" s="5">
        <v>156500</v>
      </c>
      <c r="N98" s="5">
        <v>1321140</v>
      </c>
      <c r="O98" s="5">
        <v>24136.67</v>
      </c>
      <c r="P98" s="5">
        <v>42000</v>
      </c>
      <c r="Q98" s="5">
        <v>1387276.67</v>
      </c>
      <c r="R98" s="1" t="s">
        <v>738</v>
      </c>
      <c r="S98" s="1" t="s">
        <v>735</v>
      </c>
      <c r="T98" s="4">
        <v>45292</v>
      </c>
      <c r="U98" s="4">
        <v>45657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1387276.67</v>
      </c>
      <c r="AH98" s="5">
        <v>249319.17</v>
      </c>
      <c r="AI98" s="5">
        <v>0</v>
      </c>
      <c r="AJ98" s="5">
        <v>249317.97</v>
      </c>
      <c r="AK98" s="5">
        <v>0</v>
      </c>
      <c r="AL98" s="5">
        <v>1.2</v>
      </c>
      <c r="AM98" s="5">
        <v>0</v>
      </c>
      <c r="AN98" s="5">
        <v>249319.17</v>
      </c>
      <c r="AO98" s="1" t="s">
        <v>1177</v>
      </c>
    </row>
    <row r="99" spans="1:41" x14ac:dyDescent="0.25">
      <c r="A99" s="1">
        <f t="shared" si="3"/>
        <v>83</v>
      </c>
      <c r="B99" s="1" t="s">
        <v>295</v>
      </c>
      <c r="C99" s="1" t="s">
        <v>122</v>
      </c>
      <c r="D99" s="1" t="s">
        <v>735</v>
      </c>
      <c r="E99" s="4">
        <v>45292</v>
      </c>
      <c r="F99" s="4">
        <v>45657</v>
      </c>
      <c r="H99" s="5">
        <v>909609.6</v>
      </c>
      <c r="I99" s="5">
        <v>38396.67</v>
      </c>
      <c r="J99" s="5">
        <v>166840</v>
      </c>
      <c r="K99" s="5">
        <v>27019</v>
      </c>
      <c r="L99" s="5">
        <v>0</v>
      </c>
      <c r="M99" s="5">
        <v>232255.67</v>
      </c>
      <c r="N99" s="5">
        <v>313741</v>
      </c>
      <c r="O99" s="5">
        <v>0</v>
      </c>
      <c r="P99" s="5">
        <v>363612.93</v>
      </c>
      <c r="Q99" s="5">
        <v>677353.93</v>
      </c>
      <c r="R99" s="1" t="s">
        <v>739</v>
      </c>
      <c r="S99" s="1" t="s">
        <v>735</v>
      </c>
      <c r="T99" s="4">
        <v>45292</v>
      </c>
      <c r="U99" s="4">
        <v>45657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677353.93</v>
      </c>
      <c r="AH99" s="5">
        <v>77970.789999999994</v>
      </c>
      <c r="AI99" s="5">
        <v>0</v>
      </c>
      <c r="AJ99" s="5">
        <v>78925.69</v>
      </c>
      <c r="AK99" s="5">
        <v>0</v>
      </c>
      <c r="AL99" s="5">
        <v>0</v>
      </c>
      <c r="AM99" s="5">
        <v>954.9</v>
      </c>
      <c r="AN99" s="5">
        <v>77970.789999999994</v>
      </c>
      <c r="AO99" s="1" t="s">
        <v>1177</v>
      </c>
    </row>
    <row r="100" spans="1:41" x14ac:dyDescent="0.25">
      <c r="A100" s="1">
        <f t="shared" si="3"/>
        <v>84</v>
      </c>
      <c r="B100" s="1" t="s">
        <v>296</v>
      </c>
      <c r="C100" s="1" t="s">
        <v>122</v>
      </c>
      <c r="D100" s="1" t="s">
        <v>735</v>
      </c>
      <c r="E100" s="4">
        <v>45292</v>
      </c>
      <c r="F100" s="4">
        <v>45657</v>
      </c>
      <c r="H100" s="5">
        <v>1515153.33</v>
      </c>
      <c r="I100" s="5">
        <v>90000</v>
      </c>
      <c r="J100" s="5">
        <v>24000</v>
      </c>
      <c r="K100" s="5">
        <v>48500</v>
      </c>
      <c r="L100" s="5">
        <v>0</v>
      </c>
      <c r="M100" s="5">
        <v>162500</v>
      </c>
      <c r="N100" s="5">
        <v>1217180</v>
      </c>
      <c r="O100" s="5">
        <v>15473.33</v>
      </c>
      <c r="P100" s="5">
        <v>120000</v>
      </c>
      <c r="Q100" s="5">
        <v>1352653.33</v>
      </c>
      <c r="R100" s="1" t="s">
        <v>740</v>
      </c>
      <c r="S100" s="1" t="s">
        <v>735</v>
      </c>
      <c r="T100" s="4">
        <v>45292</v>
      </c>
      <c r="U100" s="4">
        <v>45657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1352653.33</v>
      </c>
      <c r="AH100" s="5">
        <v>240663.33</v>
      </c>
      <c r="AI100" s="5">
        <v>0</v>
      </c>
      <c r="AJ100" s="5">
        <v>240662.13</v>
      </c>
      <c r="AK100" s="5">
        <v>0</v>
      </c>
      <c r="AL100" s="5">
        <v>1.2</v>
      </c>
      <c r="AM100" s="5">
        <v>0</v>
      </c>
      <c r="AN100" s="5">
        <v>240663.33</v>
      </c>
      <c r="AO100" s="1" t="s">
        <v>1177</v>
      </c>
    </row>
    <row r="101" spans="1:41" x14ac:dyDescent="0.25">
      <c r="A101" s="1">
        <f t="shared" si="3"/>
        <v>85</v>
      </c>
      <c r="B101" s="1" t="s">
        <v>297</v>
      </c>
      <c r="C101" s="1" t="s">
        <v>122</v>
      </c>
      <c r="D101" s="1" t="s">
        <v>735</v>
      </c>
      <c r="E101" s="4">
        <v>45292</v>
      </c>
      <c r="F101" s="4">
        <v>45657</v>
      </c>
      <c r="H101" s="5">
        <v>2292666.67</v>
      </c>
      <c r="I101" s="5">
        <v>90000</v>
      </c>
      <c r="J101" s="5">
        <v>24000</v>
      </c>
      <c r="K101" s="5">
        <v>48500</v>
      </c>
      <c r="L101" s="5">
        <v>0</v>
      </c>
      <c r="M101" s="5">
        <v>162500</v>
      </c>
      <c r="N101" s="5">
        <v>1951500</v>
      </c>
      <c r="O101" s="5">
        <v>76666.67</v>
      </c>
      <c r="P101" s="5">
        <v>102000</v>
      </c>
      <c r="Q101" s="5">
        <v>2130166.67</v>
      </c>
      <c r="R101" s="1" t="s">
        <v>741</v>
      </c>
      <c r="S101" s="1" t="s">
        <v>735</v>
      </c>
      <c r="T101" s="4">
        <v>45292</v>
      </c>
      <c r="U101" s="4">
        <v>45657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2130166.67</v>
      </c>
      <c r="AH101" s="5">
        <v>441550</v>
      </c>
      <c r="AI101" s="5">
        <v>0</v>
      </c>
      <c r="AJ101" s="5">
        <v>443155</v>
      </c>
      <c r="AK101" s="5">
        <v>0</v>
      </c>
      <c r="AL101" s="5">
        <v>0</v>
      </c>
      <c r="AM101" s="5">
        <v>1605</v>
      </c>
      <c r="AN101" s="5">
        <v>441550</v>
      </c>
      <c r="AO101" s="1" t="s">
        <v>1177</v>
      </c>
    </row>
    <row r="102" spans="1:41" x14ac:dyDescent="0.25">
      <c r="A102" s="1">
        <f t="shared" si="3"/>
        <v>86</v>
      </c>
      <c r="B102" s="1" t="s">
        <v>298</v>
      </c>
      <c r="C102" s="1" t="s">
        <v>122</v>
      </c>
      <c r="D102" s="1" t="s">
        <v>735</v>
      </c>
      <c r="E102" s="4">
        <v>45292</v>
      </c>
      <c r="F102" s="4">
        <v>45657</v>
      </c>
      <c r="H102" s="5">
        <v>625128.13</v>
      </c>
      <c r="I102" s="5">
        <v>45040.63</v>
      </c>
      <c r="J102" s="5">
        <v>39600</v>
      </c>
      <c r="K102" s="5">
        <v>32012.15</v>
      </c>
      <c r="L102" s="5">
        <v>0</v>
      </c>
      <c r="M102" s="5">
        <v>116652.78</v>
      </c>
      <c r="N102" s="5">
        <v>508475.35</v>
      </c>
      <c r="O102" s="5">
        <v>0</v>
      </c>
      <c r="P102" s="5">
        <v>0</v>
      </c>
      <c r="Q102" s="5">
        <v>508475.35</v>
      </c>
      <c r="R102" s="1" t="s">
        <v>742</v>
      </c>
      <c r="S102" s="1" t="s">
        <v>735</v>
      </c>
      <c r="T102" s="4">
        <v>45292</v>
      </c>
      <c r="U102" s="4">
        <v>45657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508475.35</v>
      </c>
      <c r="AH102" s="5">
        <v>44195.07</v>
      </c>
      <c r="AI102" s="5">
        <v>0</v>
      </c>
      <c r="AJ102" s="5">
        <v>44193.42</v>
      </c>
      <c r="AK102" s="5">
        <v>0</v>
      </c>
      <c r="AL102" s="5">
        <v>1.65</v>
      </c>
      <c r="AM102" s="5">
        <v>0</v>
      </c>
      <c r="AN102" s="5">
        <v>44195.07</v>
      </c>
      <c r="AO102" s="1" t="s">
        <v>1177</v>
      </c>
    </row>
    <row r="103" spans="1:41" x14ac:dyDescent="0.25">
      <c r="A103" s="1">
        <f t="shared" si="3"/>
        <v>87</v>
      </c>
      <c r="B103" s="1" t="s">
        <v>299</v>
      </c>
      <c r="C103" s="1" t="s">
        <v>122</v>
      </c>
      <c r="D103" s="1" t="s">
        <v>735</v>
      </c>
      <c r="E103" s="4">
        <v>45292</v>
      </c>
      <c r="F103" s="4">
        <v>45657</v>
      </c>
      <c r="H103" s="5">
        <v>812137.98</v>
      </c>
      <c r="I103" s="5">
        <v>59426</v>
      </c>
      <c r="J103" s="5">
        <v>39600</v>
      </c>
      <c r="K103" s="5">
        <v>36467.040000000001</v>
      </c>
      <c r="L103" s="5">
        <v>0</v>
      </c>
      <c r="M103" s="5">
        <v>135493.04</v>
      </c>
      <c r="N103" s="5">
        <v>676644.94</v>
      </c>
      <c r="O103" s="5">
        <v>0</v>
      </c>
      <c r="P103" s="5">
        <v>0</v>
      </c>
      <c r="Q103" s="5">
        <v>676644.94</v>
      </c>
      <c r="R103" s="1" t="s">
        <v>743</v>
      </c>
      <c r="S103" s="1" t="s">
        <v>735</v>
      </c>
      <c r="T103" s="4">
        <v>45292</v>
      </c>
      <c r="U103" s="4">
        <v>45657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676644.94</v>
      </c>
      <c r="AH103" s="5">
        <v>77828.990000000005</v>
      </c>
      <c r="AI103" s="5">
        <v>0</v>
      </c>
      <c r="AJ103" s="5">
        <v>77827.44</v>
      </c>
      <c r="AK103" s="5">
        <v>0</v>
      </c>
      <c r="AL103" s="5">
        <v>1.55</v>
      </c>
      <c r="AM103" s="5">
        <v>0</v>
      </c>
      <c r="AN103" s="5">
        <v>77828.990000000005</v>
      </c>
      <c r="AO103" s="1" t="s">
        <v>1177</v>
      </c>
    </row>
    <row r="104" spans="1:41" x14ac:dyDescent="0.25">
      <c r="A104" s="1">
        <f t="shared" si="3"/>
        <v>88</v>
      </c>
      <c r="B104" s="1" t="s">
        <v>300</v>
      </c>
      <c r="C104" s="1" t="s">
        <v>122</v>
      </c>
      <c r="D104" s="1" t="s">
        <v>735</v>
      </c>
      <c r="E104" s="4">
        <v>45292</v>
      </c>
      <c r="F104" s="4">
        <v>45657</v>
      </c>
      <c r="H104" s="5">
        <v>1040890.43</v>
      </c>
      <c r="I104" s="5">
        <v>75569.08</v>
      </c>
      <c r="J104" s="5">
        <v>39600</v>
      </c>
      <c r="K104" s="5">
        <v>41170.720000000001</v>
      </c>
      <c r="L104" s="5">
        <v>0</v>
      </c>
      <c r="M104" s="5">
        <v>156339.79999999999</v>
      </c>
      <c r="N104" s="5">
        <v>865658.28</v>
      </c>
      <c r="O104" s="5">
        <v>0</v>
      </c>
      <c r="P104" s="5">
        <v>18892.349999999999</v>
      </c>
      <c r="Q104" s="5">
        <v>884550.63</v>
      </c>
      <c r="R104" s="1" t="s">
        <v>744</v>
      </c>
      <c r="S104" s="1" t="s">
        <v>735</v>
      </c>
      <c r="T104" s="4">
        <v>45292</v>
      </c>
      <c r="U104" s="4">
        <v>45657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884550.63</v>
      </c>
      <c r="AH104" s="5">
        <v>123637.66</v>
      </c>
      <c r="AI104" s="5">
        <v>0</v>
      </c>
      <c r="AJ104" s="5">
        <v>123411.58</v>
      </c>
      <c r="AK104" s="5">
        <v>0</v>
      </c>
      <c r="AL104" s="5">
        <v>226.08</v>
      </c>
      <c r="AM104" s="5">
        <v>0</v>
      </c>
      <c r="AN104" s="5">
        <v>123637.66</v>
      </c>
      <c r="AO104" s="1" t="s">
        <v>1177</v>
      </c>
    </row>
    <row r="105" spans="1:41" x14ac:dyDescent="0.25">
      <c r="A105" s="1">
        <f t="shared" si="3"/>
        <v>89</v>
      </c>
      <c r="B105" s="1" t="s">
        <v>301</v>
      </c>
      <c r="C105" s="1" t="s">
        <v>122</v>
      </c>
      <c r="D105" s="1" t="s">
        <v>735</v>
      </c>
      <c r="E105" s="4">
        <v>45292</v>
      </c>
      <c r="F105" s="4">
        <v>45657</v>
      </c>
      <c r="H105" s="5">
        <v>791756.71</v>
      </c>
      <c r="I105" s="5">
        <v>57858.21</v>
      </c>
      <c r="J105" s="5">
        <v>39600</v>
      </c>
      <c r="K105" s="5">
        <v>35843.160000000003</v>
      </c>
      <c r="L105" s="5">
        <v>0</v>
      </c>
      <c r="M105" s="5">
        <v>133301.37</v>
      </c>
      <c r="N105" s="5">
        <v>658455.34</v>
      </c>
      <c r="O105" s="5">
        <v>0</v>
      </c>
      <c r="P105" s="5">
        <v>0</v>
      </c>
      <c r="Q105" s="5">
        <v>658455.34</v>
      </c>
      <c r="R105" s="1" t="s">
        <v>745</v>
      </c>
      <c r="S105" s="1" t="s">
        <v>735</v>
      </c>
      <c r="T105" s="4">
        <v>45292</v>
      </c>
      <c r="U105" s="4">
        <v>45657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658455.34</v>
      </c>
      <c r="AH105" s="5">
        <v>74191.070000000007</v>
      </c>
      <c r="AI105" s="5">
        <v>0</v>
      </c>
      <c r="AJ105" s="5">
        <v>74265</v>
      </c>
      <c r="AK105" s="5">
        <v>0</v>
      </c>
      <c r="AL105" s="5">
        <v>0</v>
      </c>
      <c r="AM105" s="5">
        <v>73.930000000000007</v>
      </c>
      <c r="AN105" s="5">
        <v>74191.070000000007</v>
      </c>
      <c r="AO105" s="1" t="s">
        <v>1177</v>
      </c>
    </row>
    <row r="106" spans="1:41" x14ac:dyDescent="0.25">
      <c r="A106" s="1">
        <f t="shared" si="3"/>
        <v>90</v>
      </c>
      <c r="B106" s="1" t="s">
        <v>302</v>
      </c>
      <c r="C106" s="1" t="s">
        <v>122</v>
      </c>
      <c r="D106" s="1" t="s">
        <v>735</v>
      </c>
      <c r="E106" s="4">
        <v>45292</v>
      </c>
      <c r="F106" s="4">
        <v>45657</v>
      </c>
      <c r="H106" s="5">
        <v>1524275</v>
      </c>
      <c r="I106" s="5">
        <v>90000</v>
      </c>
      <c r="J106" s="5">
        <v>24000</v>
      </c>
      <c r="K106" s="5">
        <v>47887.5</v>
      </c>
      <c r="L106" s="5">
        <v>0</v>
      </c>
      <c r="M106" s="5">
        <v>161887.5</v>
      </c>
      <c r="N106" s="5">
        <v>1226212.5</v>
      </c>
      <c r="O106" s="5">
        <v>16175</v>
      </c>
      <c r="P106" s="5">
        <v>120000</v>
      </c>
      <c r="Q106" s="5">
        <v>1362387.5</v>
      </c>
      <c r="R106" s="1" t="s">
        <v>746</v>
      </c>
      <c r="S106" s="1" t="s">
        <v>735</v>
      </c>
      <c r="T106" s="4">
        <v>45292</v>
      </c>
      <c r="U106" s="4">
        <v>45657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1362387.5</v>
      </c>
      <c r="AH106" s="5">
        <v>243096.88</v>
      </c>
      <c r="AI106" s="5">
        <v>0</v>
      </c>
      <c r="AJ106" s="5">
        <v>243095.71</v>
      </c>
      <c r="AK106" s="5">
        <v>0</v>
      </c>
      <c r="AL106" s="5">
        <v>1.1599999999999999</v>
      </c>
      <c r="AM106" s="5">
        <v>0</v>
      </c>
      <c r="AN106" s="5">
        <v>243096.88</v>
      </c>
      <c r="AO106" s="1" t="s">
        <v>1177</v>
      </c>
    </row>
    <row r="107" spans="1:41" x14ac:dyDescent="0.25">
      <c r="A107" s="1">
        <f t="shared" si="3"/>
        <v>91</v>
      </c>
      <c r="B107" s="1" t="s">
        <v>303</v>
      </c>
      <c r="C107" s="1" t="s">
        <v>122</v>
      </c>
      <c r="D107" s="1" t="s">
        <v>735</v>
      </c>
      <c r="E107" s="4">
        <v>45292</v>
      </c>
      <c r="F107" s="4">
        <v>45657</v>
      </c>
      <c r="H107" s="5">
        <v>2467337.23</v>
      </c>
      <c r="I107" s="5">
        <v>90000</v>
      </c>
      <c r="J107" s="5">
        <v>24000</v>
      </c>
      <c r="K107" s="5">
        <v>48500</v>
      </c>
      <c r="L107" s="5">
        <v>0</v>
      </c>
      <c r="M107" s="5">
        <v>162500</v>
      </c>
      <c r="N107" s="5">
        <v>1941201.6</v>
      </c>
      <c r="O107" s="5">
        <v>75808.47</v>
      </c>
      <c r="P107" s="5">
        <v>287827.15999999997</v>
      </c>
      <c r="Q107" s="5">
        <v>2304837.23</v>
      </c>
      <c r="R107" s="1" t="s">
        <v>747</v>
      </c>
      <c r="S107" s="1" t="s">
        <v>735</v>
      </c>
      <c r="T107" s="4">
        <v>45292</v>
      </c>
      <c r="U107" s="4">
        <v>45657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2304837.23</v>
      </c>
      <c r="AH107" s="5">
        <v>493951.17</v>
      </c>
      <c r="AI107" s="5">
        <v>0</v>
      </c>
      <c r="AJ107" s="5">
        <v>500459.24</v>
      </c>
      <c r="AK107" s="5">
        <v>0</v>
      </c>
      <c r="AL107" s="5">
        <v>0</v>
      </c>
      <c r="AM107" s="5">
        <v>6508.07</v>
      </c>
      <c r="AN107" s="5">
        <v>493951.17</v>
      </c>
      <c r="AO107" s="1" t="s">
        <v>1177</v>
      </c>
    </row>
    <row r="108" spans="1:41" x14ac:dyDescent="0.25">
      <c r="A108" s="1">
        <f t="shared" si="3"/>
        <v>92</v>
      </c>
      <c r="B108" s="1" t="s">
        <v>304</v>
      </c>
      <c r="C108" s="1" t="s">
        <v>122</v>
      </c>
      <c r="D108" s="1" t="s">
        <v>735</v>
      </c>
      <c r="E108" s="4">
        <v>45292</v>
      </c>
      <c r="F108" s="4">
        <v>45657</v>
      </c>
      <c r="H108" s="5">
        <v>787211.16</v>
      </c>
      <c r="I108" s="5">
        <v>52885.58</v>
      </c>
      <c r="J108" s="5">
        <v>39600</v>
      </c>
      <c r="K108" s="5">
        <v>34365.67</v>
      </c>
      <c r="L108" s="5">
        <v>60000</v>
      </c>
      <c r="M108" s="5">
        <v>186851.25</v>
      </c>
      <c r="N108" s="5">
        <v>600261.32999999996</v>
      </c>
      <c r="O108" s="5">
        <v>0</v>
      </c>
      <c r="P108" s="5">
        <v>98.58</v>
      </c>
      <c r="Q108" s="5">
        <v>600359.91</v>
      </c>
      <c r="R108" s="1" t="s">
        <v>748</v>
      </c>
      <c r="S108" s="1" t="s">
        <v>735</v>
      </c>
      <c r="T108" s="4">
        <v>45292</v>
      </c>
      <c r="U108" s="4">
        <v>45657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600359.91</v>
      </c>
      <c r="AH108" s="5">
        <v>62571.98</v>
      </c>
      <c r="AI108" s="5">
        <v>0</v>
      </c>
      <c r="AJ108" s="5">
        <v>62570.39</v>
      </c>
      <c r="AK108" s="5">
        <v>0</v>
      </c>
      <c r="AL108" s="5">
        <v>1.59</v>
      </c>
      <c r="AM108" s="5">
        <v>0</v>
      </c>
      <c r="AN108" s="5">
        <v>62571.98</v>
      </c>
      <c r="AO108" s="1" t="s">
        <v>1177</v>
      </c>
    </row>
    <row r="109" spans="1:41" x14ac:dyDescent="0.25">
      <c r="A109" s="1">
        <f t="shared" si="3"/>
        <v>93</v>
      </c>
      <c r="B109" s="1" t="s">
        <v>305</v>
      </c>
      <c r="C109" s="1" t="s">
        <v>122</v>
      </c>
      <c r="D109" s="1" t="s">
        <v>735</v>
      </c>
      <c r="E109" s="4">
        <v>45292</v>
      </c>
      <c r="F109" s="4">
        <v>45657</v>
      </c>
      <c r="H109" s="5">
        <v>1385719.19</v>
      </c>
      <c r="I109" s="5">
        <v>86616.56</v>
      </c>
      <c r="J109" s="5">
        <v>24000</v>
      </c>
      <c r="K109" s="5">
        <v>44484.99</v>
      </c>
      <c r="L109" s="5">
        <v>0</v>
      </c>
      <c r="M109" s="5">
        <v>155101.54999999999</v>
      </c>
      <c r="N109" s="5">
        <v>994913.76</v>
      </c>
      <c r="O109" s="5">
        <v>0</v>
      </c>
      <c r="P109" s="5">
        <v>235703.88</v>
      </c>
      <c r="Q109" s="5">
        <v>1230617.6399999999</v>
      </c>
      <c r="R109" s="1" t="s">
        <v>749</v>
      </c>
      <c r="S109" s="1" t="s">
        <v>735</v>
      </c>
      <c r="T109" s="4">
        <v>45292</v>
      </c>
      <c r="U109" s="4">
        <v>45657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1230617.6399999999</v>
      </c>
      <c r="AH109" s="5">
        <v>210154.41</v>
      </c>
      <c r="AI109" s="5">
        <v>0</v>
      </c>
      <c r="AJ109" s="5">
        <v>220138.42</v>
      </c>
      <c r="AK109" s="5">
        <v>0</v>
      </c>
      <c r="AL109" s="5">
        <v>0</v>
      </c>
      <c r="AM109" s="5">
        <v>9984.01</v>
      </c>
      <c r="AN109" s="5">
        <v>210154.41</v>
      </c>
      <c r="AO109" s="1" t="s">
        <v>1177</v>
      </c>
    </row>
    <row r="110" spans="1:41" x14ac:dyDescent="0.25">
      <c r="A110" s="1">
        <f t="shared" si="3"/>
        <v>94</v>
      </c>
      <c r="B110" s="1" t="s">
        <v>306</v>
      </c>
      <c r="C110" s="1" t="s">
        <v>122</v>
      </c>
      <c r="D110" s="1" t="s">
        <v>735</v>
      </c>
      <c r="E110" s="4">
        <v>45292</v>
      </c>
      <c r="F110" s="4">
        <v>45657</v>
      </c>
      <c r="H110" s="5">
        <v>3227052.5</v>
      </c>
      <c r="I110" s="5">
        <v>90000</v>
      </c>
      <c r="J110" s="5">
        <v>24000</v>
      </c>
      <c r="K110" s="5">
        <v>48500</v>
      </c>
      <c r="L110" s="5">
        <v>0</v>
      </c>
      <c r="M110" s="5">
        <v>162500</v>
      </c>
      <c r="N110" s="5">
        <v>2814010</v>
      </c>
      <c r="O110" s="5">
        <v>148542.5</v>
      </c>
      <c r="P110" s="5">
        <v>102000</v>
      </c>
      <c r="Q110" s="5">
        <v>3064552.5</v>
      </c>
      <c r="R110" s="1" t="s">
        <v>750</v>
      </c>
      <c r="S110" s="1" t="s">
        <v>735</v>
      </c>
      <c r="T110" s="4">
        <v>45292</v>
      </c>
      <c r="U110" s="4">
        <v>45657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3064552.5</v>
      </c>
      <c r="AH110" s="5">
        <v>721865.75</v>
      </c>
      <c r="AI110" s="5">
        <v>0</v>
      </c>
      <c r="AJ110" s="5">
        <v>721864.95</v>
      </c>
      <c r="AK110" s="5">
        <v>0</v>
      </c>
      <c r="AL110" s="5">
        <v>0.8</v>
      </c>
      <c r="AM110" s="5">
        <v>0</v>
      </c>
      <c r="AN110" s="5">
        <v>721865.75</v>
      </c>
      <c r="AO110" s="1" t="s">
        <v>1177</v>
      </c>
    </row>
    <row r="111" spans="1:41" x14ac:dyDescent="0.25">
      <c r="A111" s="1">
        <f t="shared" si="3"/>
        <v>95</v>
      </c>
      <c r="B111" s="1" t="s">
        <v>307</v>
      </c>
      <c r="C111" s="1" t="s">
        <v>122</v>
      </c>
      <c r="D111" s="1" t="s">
        <v>735</v>
      </c>
      <c r="E111" s="4">
        <v>45292</v>
      </c>
      <c r="F111" s="4">
        <v>45657</v>
      </c>
      <c r="H111" s="5">
        <v>962176.75</v>
      </c>
      <c r="I111" s="5">
        <v>65609.75</v>
      </c>
      <c r="J111" s="5">
        <v>22250</v>
      </c>
      <c r="K111" s="5">
        <v>38182.92</v>
      </c>
      <c r="L111" s="5">
        <v>0</v>
      </c>
      <c r="M111" s="5">
        <v>126042.67</v>
      </c>
      <c r="N111" s="5">
        <v>749134.08</v>
      </c>
      <c r="O111" s="5">
        <v>0</v>
      </c>
      <c r="P111" s="5">
        <v>87000</v>
      </c>
      <c r="Q111" s="5">
        <v>836134.08</v>
      </c>
      <c r="R111" s="1" t="s">
        <v>751</v>
      </c>
      <c r="S111" s="1" t="s">
        <v>735</v>
      </c>
      <c r="T111" s="4">
        <v>45292</v>
      </c>
      <c r="U111" s="4">
        <v>45657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836134.08</v>
      </c>
      <c r="AH111" s="5">
        <v>111533.52</v>
      </c>
      <c r="AI111" s="5">
        <v>0</v>
      </c>
      <c r="AJ111" s="5">
        <v>113297.67</v>
      </c>
      <c r="AK111" s="5">
        <v>0</v>
      </c>
      <c r="AL111" s="5">
        <v>0</v>
      </c>
      <c r="AM111" s="5">
        <v>1764.15</v>
      </c>
      <c r="AN111" s="5">
        <v>111533.52</v>
      </c>
      <c r="AO111" s="1" t="s">
        <v>1177</v>
      </c>
    </row>
    <row r="112" spans="1:41" x14ac:dyDescent="0.25">
      <c r="A112" s="1">
        <f t="shared" si="3"/>
        <v>96</v>
      </c>
      <c r="B112" s="1" t="s">
        <v>308</v>
      </c>
      <c r="C112" s="1" t="s">
        <v>122</v>
      </c>
      <c r="D112" s="1" t="s">
        <v>735</v>
      </c>
      <c r="E112" s="4">
        <v>45292</v>
      </c>
      <c r="F112" s="4">
        <v>45657</v>
      </c>
      <c r="H112" s="5">
        <v>1610632.17</v>
      </c>
      <c r="I112" s="5">
        <v>90000</v>
      </c>
      <c r="J112" s="5">
        <v>24000</v>
      </c>
      <c r="K112" s="5">
        <v>48500</v>
      </c>
      <c r="L112" s="5">
        <v>0</v>
      </c>
      <c r="M112" s="5">
        <v>162500</v>
      </c>
      <c r="N112" s="5">
        <v>1349622</v>
      </c>
      <c r="O112" s="5">
        <v>26510.17</v>
      </c>
      <c r="P112" s="5">
        <v>72000</v>
      </c>
      <c r="Q112" s="5">
        <v>1448132.17</v>
      </c>
      <c r="R112" s="1" t="s">
        <v>752</v>
      </c>
      <c r="S112" s="1" t="s">
        <v>735</v>
      </c>
      <c r="T112" s="4">
        <v>45292</v>
      </c>
      <c r="U112" s="4">
        <v>45657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1448132.17</v>
      </c>
      <c r="AH112" s="5">
        <v>264533.03999999998</v>
      </c>
      <c r="AI112" s="5">
        <v>0</v>
      </c>
      <c r="AJ112" s="5">
        <v>264531.84000000003</v>
      </c>
      <c r="AK112" s="5">
        <v>0</v>
      </c>
      <c r="AL112" s="5">
        <v>1.2</v>
      </c>
      <c r="AM112" s="5">
        <v>0</v>
      </c>
      <c r="AN112" s="5">
        <v>264533.03999999998</v>
      </c>
      <c r="AO112" s="1" t="s">
        <v>1177</v>
      </c>
    </row>
    <row r="113" spans="1:41" x14ac:dyDescent="0.25">
      <c r="A113" s="1">
        <f t="shared" si="3"/>
        <v>97</v>
      </c>
      <c r="B113" s="1" t="s">
        <v>309</v>
      </c>
      <c r="C113" s="1" t="s">
        <v>122</v>
      </c>
      <c r="D113" s="1" t="s">
        <v>735</v>
      </c>
      <c r="E113" s="4">
        <v>45292</v>
      </c>
      <c r="F113" s="4">
        <v>45657</v>
      </c>
      <c r="H113" s="5">
        <v>574857.93000000005</v>
      </c>
      <c r="I113" s="5">
        <v>42835.23</v>
      </c>
      <c r="J113" s="5">
        <v>18000</v>
      </c>
      <c r="K113" s="5">
        <v>31350.55</v>
      </c>
      <c r="L113" s="5">
        <v>0</v>
      </c>
      <c r="M113" s="5">
        <v>92185.78</v>
      </c>
      <c r="N113" s="5">
        <v>482672.15</v>
      </c>
      <c r="O113" s="5">
        <v>0</v>
      </c>
      <c r="P113" s="5">
        <v>0</v>
      </c>
      <c r="Q113" s="5">
        <v>482672.15</v>
      </c>
      <c r="R113" s="1" t="s">
        <v>753</v>
      </c>
      <c r="S113" s="1" t="s">
        <v>735</v>
      </c>
      <c r="T113" s="4">
        <v>45292</v>
      </c>
      <c r="U113" s="4">
        <v>45657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482672.15</v>
      </c>
      <c r="AH113" s="5">
        <v>39034.43</v>
      </c>
      <c r="AI113" s="5">
        <v>0</v>
      </c>
      <c r="AJ113" s="5">
        <v>39032.86</v>
      </c>
      <c r="AK113" s="5">
        <v>0</v>
      </c>
      <c r="AL113" s="5">
        <v>1.57</v>
      </c>
      <c r="AM113" s="5">
        <v>0</v>
      </c>
      <c r="AN113" s="5">
        <v>39034.43</v>
      </c>
      <c r="AO113" s="1" t="s">
        <v>1177</v>
      </c>
    </row>
    <row r="114" spans="1:41" x14ac:dyDescent="0.25">
      <c r="A114" s="1">
        <f t="shared" si="3"/>
        <v>98</v>
      </c>
      <c r="B114" s="1" t="s">
        <v>310</v>
      </c>
      <c r="C114" s="1" t="s">
        <v>122</v>
      </c>
      <c r="D114" s="1" t="s">
        <v>735</v>
      </c>
      <c r="E114" s="4">
        <v>45292</v>
      </c>
      <c r="F114" s="4">
        <v>45657</v>
      </c>
      <c r="H114" s="5">
        <v>1324964.1000000001</v>
      </c>
      <c r="I114" s="5">
        <v>90000</v>
      </c>
      <c r="J114" s="5">
        <v>39600</v>
      </c>
      <c r="K114" s="5">
        <v>48009.37</v>
      </c>
      <c r="L114" s="5">
        <v>0</v>
      </c>
      <c r="M114" s="5">
        <v>177609.37</v>
      </c>
      <c r="N114" s="5">
        <v>1127997.81</v>
      </c>
      <c r="O114" s="5">
        <v>8000.6</v>
      </c>
      <c r="P114" s="5">
        <v>11356.32</v>
      </c>
      <c r="Q114" s="5">
        <v>1147354.73</v>
      </c>
      <c r="R114" s="1" t="s">
        <v>754</v>
      </c>
      <c r="S114" s="1" t="s">
        <v>735</v>
      </c>
      <c r="T114" s="4">
        <v>45292</v>
      </c>
      <c r="U114" s="4">
        <v>45657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1147354.73</v>
      </c>
      <c r="AH114" s="5">
        <v>189338.68</v>
      </c>
      <c r="AI114" s="5">
        <v>0</v>
      </c>
      <c r="AJ114" s="5">
        <v>189337.49</v>
      </c>
      <c r="AK114" s="5">
        <v>0</v>
      </c>
      <c r="AL114" s="5">
        <v>1.19</v>
      </c>
      <c r="AM114" s="5">
        <v>0</v>
      </c>
      <c r="AN114" s="5">
        <v>189338.68</v>
      </c>
      <c r="AO114" s="1" t="s">
        <v>1177</v>
      </c>
    </row>
    <row r="115" spans="1:41" x14ac:dyDescent="0.25">
      <c r="A115" s="1">
        <f t="shared" si="3"/>
        <v>99</v>
      </c>
      <c r="B115" s="1" t="s">
        <v>311</v>
      </c>
      <c r="C115" s="1" t="s">
        <v>122</v>
      </c>
      <c r="D115" s="1" t="s">
        <v>735</v>
      </c>
      <c r="E115" s="4">
        <v>45292</v>
      </c>
      <c r="F115" s="4">
        <v>45657</v>
      </c>
      <c r="H115" s="5">
        <v>1439125.72</v>
      </c>
      <c r="I115" s="5">
        <v>45029</v>
      </c>
      <c r="J115" s="5">
        <v>39600</v>
      </c>
      <c r="K115" s="5">
        <v>32008.7</v>
      </c>
      <c r="L115" s="5">
        <v>0</v>
      </c>
      <c r="M115" s="5">
        <v>116637.7</v>
      </c>
      <c r="N115" s="5">
        <v>508339.3</v>
      </c>
      <c r="O115" s="5">
        <v>0</v>
      </c>
      <c r="P115" s="5">
        <v>814148.72</v>
      </c>
      <c r="Q115" s="5">
        <v>1322488.02</v>
      </c>
      <c r="R115" s="1" t="s">
        <v>755</v>
      </c>
      <c r="S115" s="1" t="s">
        <v>735</v>
      </c>
      <c r="T115" s="4">
        <v>45292</v>
      </c>
      <c r="U115" s="4">
        <v>45657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1322488.02</v>
      </c>
      <c r="AH115" s="5">
        <v>233122.01</v>
      </c>
      <c r="AI115" s="5">
        <v>0</v>
      </c>
      <c r="AJ115" s="5">
        <v>234377.87</v>
      </c>
      <c r="AK115" s="5">
        <v>0</v>
      </c>
      <c r="AL115" s="5">
        <v>0</v>
      </c>
      <c r="AM115" s="5">
        <v>1255.8599999999999</v>
      </c>
      <c r="AN115" s="5">
        <v>233122.01</v>
      </c>
      <c r="AO115" s="1" t="s">
        <v>1177</v>
      </c>
    </row>
    <row r="116" spans="1:41" x14ac:dyDescent="0.25">
      <c r="A116" s="1">
        <f t="shared" si="3"/>
        <v>100</v>
      </c>
      <c r="B116" s="1" t="s">
        <v>312</v>
      </c>
      <c r="C116" s="1" t="s">
        <v>122</v>
      </c>
      <c r="D116" s="1" t="s">
        <v>735</v>
      </c>
      <c r="E116" s="4">
        <v>45292</v>
      </c>
      <c r="F116" s="4">
        <v>45657</v>
      </c>
      <c r="H116" s="5">
        <v>1222592.6399999999</v>
      </c>
      <c r="I116" s="5">
        <v>74156.539999999994</v>
      </c>
      <c r="J116" s="5">
        <v>39600</v>
      </c>
      <c r="K116" s="5">
        <v>40746.92</v>
      </c>
      <c r="L116" s="5">
        <v>0</v>
      </c>
      <c r="M116" s="5">
        <v>154503.46</v>
      </c>
      <c r="N116" s="5">
        <v>849131.58</v>
      </c>
      <c r="O116" s="5">
        <v>0</v>
      </c>
      <c r="P116" s="5">
        <v>218957.6</v>
      </c>
      <c r="Q116" s="5">
        <v>1068089.18</v>
      </c>
      <c r="R116" s="1" t="s">
        <v>756</v>
      </c>
      <c r="S116" s="1" t="s">
        <v>735</v>
      </c>
      <c r="T116" s="4">
        <v>45292</v>
      </c>
      <c r="U116" s="4">
        <v>45657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1068089.18</v>
      </c>
      <c r="AH116" s="5">
        <v>169522.3</v>
      </c>
      <c r="AI116" s="5">
        <v>0</v>
      </c>
      <c r="AJ116" s="5">
        <v>169196.1</v>
      </c>
      <c r="AK116" s="5">
        <v>0</v>
      </c>
      <c r="AL116" s="5">
        <v>326.2</v>
      </c>
      <c r="AM116" s="5">
        <v>0</v>
      </c>
      <c r="AN116" s="5">
        <v>169522.3</v>
      </c>
      <c r="AO116" s="1" t="s">
        <v>1177</v>
      </c>
    </row>
    <row r="117" spans="1:41" x14ac:dyDescent="0.25">
      <c r="A117" s="1">
        <f t="shared" si="3"/>
        <v>101</v>
      </c>
      <c r="B117" s="1" t="s">
        <v>313</v>
      </c>
      <c r="C117" s="1" t="s">
        <v>122</v>
      </c>
      <c r="D117" s="1" t="s">
        <v>735</v>
      </c>
      <c r="E117" s="4">
        <v>45292</v>
      </c>
      <c r="F117" s="4">
        <v>45657</v>
      </c>
      <c r="H117" s="5">
        <v>2672313.61</v>
      </c>
      <c r="I117" s="5">
        <v>90000</v>
      </c>
      <c r="J117" s="5">
        <v>30000</v>
      </c>
      <c r="K117" s="5">
        <v>48500</v>
      </c>
      <c r="L117" s="5">
        <v>0</v>
      </c>
      <c r="M117" s="5">
        <v>168500</v>
      </c>
      <c r="N117" s="5">
        <v>1691810</v>
      </c>
      <c r="O117" s="5">
        <v>55025.83</v>
      </c>
      <c r="P117" s="5">
        <v>756977.78</v>
      </c>
      <c r="Q117" s="5">
        <v>2503813.61</v>
      </c>
      <c r="R117" s="1" t="s">
        <v>757</v>
      </c>
      <c r="S117" s="1" t="s">
        <v>735</v>
      </c>
      <c r="T117" s="4">
        <v>45292</v>
      </c>
      <c r="U117" s="4">
        <v>45657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2503813.61</v>
      </c>
      <c r="AH117" s="5">
        <v>553644.07999999996</v>
      </c>
      <c r="AI117" s="5">
        <v>0</v>
      </c>
      <c r="AJ117" s="5">
        <v>578920.64</v>
      </c>
      <c r="AK117" s="5">
        <v>0</v>
      </c>
      <c r="AL117" s="5">
        <v>0</v>
      </c>
      <c r="AM117" s="5">
        <v>25276.560000000001</v>
      </c>
      <c r="AN117" s="5">
        <v>553644.07999999996</v>
      </c>
      <c r="AO117" s="1" t="s">
        <v>1177</v>
      </c>
    </row>
    <row r="118" spans="1:41" x14ac:dyDescent="0.25">
      <c r="A118" s="1">
        <f t="shared" si="3"/>
        <v>102</v>
      </c>
      <c r="B118" s="1" t="s">
        <v>314</v>
      </c>
      <c r="C118" s="1" t="s">
        <v>122</v>
      </c>
      <c r="D118" s="1" t="s">
        <v>735</v>
      </c>
      <c r="E118" s="4">
        <v>45292</v>
      </c>
      <c r="F118" s="4">
        <v>45657</v>
      </c>
      <c r="H118" s="5">
        <v>1579938.13</v>
      </c>
      <c r="I118" s="5">
        <v>90000</v>
      </c>
      <c r="J118" s="5">
        <v>24000</v>
      </c>
      <c r="K118" s="5">
        <v>48500</v>
      </c>
      <c r="L118" s="5">
        <v>0</v>
      </c>
      <c r="M118" s="5">
        <v>162500</v>
      </c>
      <c r="N118" s="5">
        <v>1326827.5</v>
      </c>
      <c r="O118" s="5">
        <v>24610.63</v>
      </c>
      <c r="P118" s="5">
        <v>66000</v>
      </c>
      <c r="Q118" s="5">
        <v>1417438.13</v>
      </c>
      <c r="R118" s="1" t="s">
        <v>758</v>
      </c>
      <c r="S118" s="1" t="s">
        <v>735</v>
      </c>
      <c r="T118" s="4">
        <v>45292</v>
      </c>
      <c r="U118" s="4">
        <v>45657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1417438.13</v>
      </c>
      <c r="AH118" s="5">
        <v>256859.53</v>
      </c>
      <c r="AI118" s="5">
        <v>0</v>
      </c>
      <c r="AJ118" s="5">
        <v>256858.42</v>
      </c>
      <c r="AK118" s="5">
        <v>0</v>
      </c>
      <c r="AL118" s="5">
        <v>1.1100000000000001</v>
      </c>
      <c r="AM118" s="5">
        <v>0</v>
      </c>
      <c r="AN118" s="5">
        <v>256859.53</v>
      </c>
      <c r="AO118" s="1" t="s">
        <v>1177</v>
      </c>
    </row>
    <row r="119" spans="1:41" x14ac:dyDescent="0.25">
      <c r="A119" s="1">
        <f t="shared" si="3"/>
        <v>103</v>
      </c>
      <c r="B119" s="1" t="s">
        <v>315</v>
      </c>
      <c r="C119" s="1" t="s">
        <v>122</v>
      </c>
      <c r="D119" s="1" t="s">
        <v>735</v>
      </c>
      <c r="E119" s="4">
        <v>45292</v>
      </c>
      <c r="F119" s="4">
        <v>45657</v>
      </c>
      <c r="H119" s="5">
        <v>981057.08</v>
      </c>
      <c r="I119" s="5">
        <v>60937.5</v>
      </c>
      <c r="J119" s="5">
        <v>23250</v>
      </c>
      <c r="K119" s="5">
        <v>36781.25</v>
      </c>
      <c r="L119" s="5">
        <v>0</v>
      </c>
      <c r="M119" s="5">
        <v>120968.75</v>
      </c>
      <c r="N119" s="5">
        <v>694468.75</v>
      </c>
      <c r="O119" s="5">
        <v>0</v>
      </c>
      <c r="P119" s="5">
        <v>165619.57999999999</v>
      </c>
      <c r="Q119" s="5">
        <v>860088.33</v>
      </c>
      <c r="R119" s="1" t="s">
        <v>759</v>
      </c>
      <c r="S119" s="1" t="s">
        <v>735</v>
      </c>
      <c r="T119" s="4">
        <v>45292</v>
      </c>
      <c r="U119" s="4">
        <v>45657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860088.33</v>
      </c>
      <c r="AH119" s="5">
        <v>117522.08</v>
      </c>
      <c r="AI119" s="5">
        <v>0</v>
      </c>
      <c r="AJ119" s="5">
        <v>121438.86</v>
      </c>
      <c r="AK119" s="5">
        <v>0</v>
      </c>
      <c r="AL119" s="5">
        <v>0</v>
      </c>
      <c r="AM119" s="5">
        <v>3916.78</v>
      </c>
      <c r="AN119" s="5">
        <v>117522.08</v>
      </c>
      <c r="AO119" s="1" t="s">
        <v>1177</v>
      </c>
    </row>
    <row r="120" spans="1:41" x14ac:dyDescent="0.25">
      <c r="A120" s="1">
        <f t="shared" si="3"/>
        <v>104</v>
      </c>
      <c r="B120" s="1" t="s">
        <v>316</v>
      </c>
      <c r="C120" s="1" t="s">
        <v>122</v>
      </c>
      <c r="D120" s="1" t="s">
        <v>735</v>
      </c>
      <c r="E120" s="4">
        <v>45292</v>
      </c>
      <c r="F120" s="4">
        <v>45657</v>
      </c>
      <c r="H120" s="5">
        <v>2461883.75</v>
      </c>
      <c r="I120" s="5">
        <v>90000</v>
      </c>
      <c r="J120" s="5">
        <v>24000</v>
      </c>
      <c r="K120" s="5">
        <v>48500</v>
      </c>
      <c r="L120" s="5">
        <v>0</v>
      </c>
      <c r="M120" s="5">
        <v>162500</v>
      </c>
      <c r="N120" s="5">
        <v>2091085</v>
      </c>
      <c r="O120" s="5">
        <v>88298.75</v>
      </c>
      <c r="P120" s="5">
        <v>120000</v>
      </c>
      <c r="Q120" s="5">
        <v>2299383.75</v>
      </c>
      <c r="R120" s="1" t="s">
        <v>760</v>
      </c>
      <c r="S120" s="1" t="s">
        <v>735</v>
      </c>
      <c r="T120" s="4">
        <v>45292</v>
      </c>
      <c r="U120" s="4">
        <v>45657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2299383.75</v>
      </c>
      <c r="AH120" s="5">
        <v>492315.13</v>
      </c>
      <c r="AI120" s="5">
        <v>0</v>
      </c>
      <c r="AJ120" s="5">
        <v>492314.33</v>
      </c>
      <c r="AK120" s="5">
        <v>0</v>
      </c>
      <c r="AL120" s="5">
        <v>0.8</v>
      </c>
      <c r="AM120" s="5">
        <v>0</v>
      </c>
      <c r="AN120" s="5">
        <v>492315.13</v>
      </c>
      <c r="AO120" s="1" t="s">
        <v>1177</v>
      </c>
    </row>
    <row r="121" spans="1:41" x14ac:dyDescent="0.25">
      <c r="A121" s="1">
        <f t="shared" si="3"/>
        <v>105</v>
      </c>
      <c r="B121" s="1" t="s">
        <v>317</v>
      </c>
      <c r="C121" s="1" t="s">
        <v>122</v>
      </c>
      <c r="D121" s="1" t="s">
        <v>735</v>
      </c>
      <c r="E121" s="4">
        <v>45292</v>
      </c>
      <c r="F121" s="4">
        <v>45657</v>
      </c>
      <c r="H121" s="5">
        <v>697205.07</v>
      </c>
      <c r="I121" s="5">
        <v>45246.67</v>
      </c>
      <c r="J121" s="5">
        <v>39600</v>
      </c>
      <c r="K121" s="5">
        <v>32074</v>
      </c>
      <c r="L121" s="5">
        <v>0</v>
      </c>
      <c r="M121" s="5">
        <v>116920.67</v>
      </c>
      <c r="N121" s="5">
        <v>510886</v>
      </c>
      <c r="O121" s="5">
        <v>0</v>
      </c>
      <c r="P121" s="5">
        <v>69398.399999999994</v>
      </c>
      <c r="Q121" s="5">
        <v>580284.4</v>
      </c>
      <c r="R121" s="1" t="s">
        <v>761</v>
      </c>
      <c r="S121" s="1" t="s">
        <v>735</v>
      </c>
      <c r="T121" s="4">
        <v>45292</v>
      </c>
      <c r="U121" s="4">
        <v>45657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580284.4</v>
      </c>
      <c r="AH121" s="5">
        <v>58556.88</v>
      </c>
      <c r="AI121" s="5">
        <v>0</v>
      </c>
      <c r="AJ121" s="5">
        <v>57994.54</v>
      </c>
      <c r="AK121" s="5">
        <v>0</v>
      </c>
      <c r="AL121" s="5">
        <v>562.34</v>
      </c>
      <c r="AM121" s="5">
        <v>0</v>
      </c>
      <c r="AN121" s="5">
        <v>58556.88</v>
      </c>
      <c r="AO121" s="1" t="s">
        <v>1177</v>
      </c>
    </row>
    <row r="122" spans="1:41" x14ac:dyDescent="0.25">
      <c r="A122" s="1">
        <f t="shared" si="3"/>
        <v>106</v>
      </c>
      <c r="B122" s="1" t="s">
        <v>318</v>
      </c>
      <c r="C122" s="1" t="s">
        <v>122</v>
      </c>
      <c r="D122" s="1" t="s">
        <v>735</v>
      </c>
      <c r="E122" s="4">
        <v>45292</v>
      </c>
      <c r="F122" s="4">
        <v>45657</v>
      </c>
      <c r="H122" s="5">
        <v>2630991.67</v>
      </c>
      <c r="I122" s="5">
        <v>90000</v>
      </c>
      <c r="J122" s="5">
        <v>24000</v>
      </c>
      <c r="K122" s="5">
        <v>48500</v>
      </c>
      <c r="L122" s="5">
        <v>0</v>
      </c>
      <c r="M122" s="5">
        <v>162500</v>
      </c>
      <c r="N122" s="5">
        <v>2263800</v>
      </c>
      <c r="O122" s="5">
        <v>102691.67</v>
      </c>
      <c r="P122" s="5">
        <v>102000</v>
      </c>
      <c r="Q122" s="5">
        <v>2468491.67</v>
      </c>
      <c r="R122" s="1" t="s">
        <v>762</v>
      </c>
      <c r="S122" s="1" t="s">
        <v>735</v>
      </c>
      <c r="T122" s="4">
        <v>45292</v>
      </c>
      <c r="U122" s="4">
        <v>45657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2468491.67</v>
      </c>
      <c r="AH122" s="5">
        <v>543047.5</v>
      </c>
      <c r="AI122" s="5">
        <v>0</v>
      </c>
      <c r="AJ122" s="5">
        <v>543046.69999999995</v>
      </c>
      <c r="AK122" s="5">
        <v>0</v>
      </c>
      <c r="AL122" s="5">
        <v>0.8</v>
      </c>
      <c r="AM122" s="5">
        <v>0</v>
      </c>
      <c r="AN122" s="5">
        <v>543047.5</v>
      </c>
      <c r="AO122" s="1" t="s">
        <v>1177</v>
      </c>
    </row>
    <row r="123" spans="1:41" x14ac:dyDescent="0.25">
      <c r="A123" s="1">
        <f t="shared" si="3"/>
        <v>107</v>
      </c>
      <c r="B123" s="1" t="s">
        <v>319</v>
      </c>
      <c r="C123" s="1" t="s">
        <v>122</v>
      </c>
      <c r="D123" s="1" t="s">
        <v>735</v>
      </c>
      <c r="E123" s="4">
        <v>45292</v>
      </c>
      <c r="F123" s="4">
        <v>45657</v>
      </c>
      <c r="H123" s="5">
        <v>675812.5</v>
      </c>
      <c r="I123" s="5">
        <v>51062.5</v>
      </c>
      <c r="J123" s="5">
        <v>12000</v>
      </c>
      <c r="K123" s="5">
        <v>33818.75</v>
      </c>
      <c r="L123" s="5">
        <v>0</v>
      </c>
      <c r="M123" s="5">
        <v>96881.25</v>
      </c>
      <c r="N123" s="5">
        <v>578931.25</v>
      </c>
      <c r="O123" s="5">
        <v>0</v>
      </c>
      <c r="P123" s="5">
        <v>0</v>
      </c>
      <c r="Q123" s="5">
        <v>578931.25</v>
      </c>
      <c r="R123" s="1" t="s">
        <v>763</v>
      </c>
      <c r="S123" s="1" t="s">
        <v>735</v>
      </c>
      <c r="T123" s="4">
        <v>45292</v>
      </c>
      <c r="U123" s="4">
        <v>45657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578931.25</v>
      </c>
      <c r="AH123" s="5">
        <v>58286.25</v>
      </c>
      <c r="AI123" s="5">
        <v>0</v>
      </c>
      <c r="AJ123" s="5">
        <v>58284.65</v>
      </c>
      <c r="AK123" s="5">
        <v>0</v>
      </c>
      <c r="AL123" s="5">
        <v>1.6</v>
      </c>
      <c r="AM123" s="5">
        <v>0</v>
      </c>
      <c r="AN123" s="5">
        <v>58286.25</v>
      </c>
      <c r="AO123" s="1" t="s">
        <v>1177</v>
      </c>
    </row>
    <row r="124" spans="1:41" x14ac:dyDescent="0.25">
      <c r="A124" s="1">
        <f t="shared" si="3"/>
        <v>108</v>
      </c>
      <c r="B124" s="1" t="s">
        <v>320</v>
      </c>
      <c r="C124" s="1" t="s">
        <v>122</v>
      </c>
      <c r="D124" s="1" t="s">
        <v>735</v>
      </c>
      <c r="E124" s="4">
        <v>45292</v>
      </c>
      <c r="F124" s="4">
        <v>45657</v>
      </c>
      <c r="H124" s="5">
        <v>909919.02</v>
      </c>
      <c r="I124" s="5">
        <v>62892.959999999999</v>
      </c>
      <c r="J124" s="5">
        <v>39600</v>
      </c>
      <c r="K124" s="5">
        <v>37367.85</v>
      </c>
      <c r="L124" s="5">
        <v>0</v>
      </c>
      <c r="M124" s="5">
        <v>139860.81</v>
      </c>
      <c r="N124" s="5">
        <v>717347.65</v>
      </c>
      <c r="O124" s="5">
        <v>0</v>
      </c>
      <c r="P124" s="5">
        <v>52710.559999999998</v>
      </c>
      <c r="Q124" s="5">
        <v>770058.21</v>
      </c>
      <c r="R124" s="1" t="s">
        <v>764</v>
      </c>
      <c r="S124" s="1" t="s">
        <v>735</v>
      </c>
      <c r="T124" s="4">
        <v>45292</v>
      </c>
      <c r="U124" s="4">
        <v>45657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770058.21</v>
      </c>
      <c r="AH124" s="5">
        <v>96511.64</v>
      </c>
      <c r="AI124" s="5">
        <v>0</v>
      </c>
      <c r="AJ124" s="5">
        <v>97191.63</v>
      </c>
      <c r="AK124" s="5">
        <v>0</v>
      </c>
      <c r="AL124" s="5">
        <v>0</v>
      </c>
      <c r="AM124" s="5">
        <v>679.99</v>
      </c>
      <c r="AN124" s="5">
        <v>96511.64</v>
      </c>
      <c r="AO124" s="1" t="s">
        <v>1177</v>
      </c>
    </row>
    <row r="125" spans="1:41" x14ac:dyDescent="0.25">
      <c r="A125" s="1">
        <f t="shared" si="3"/>
        <v>109</v>
      </c>
      <c r="B125" s="1" t="s">
        <v>321</v>
      </c>
      <c r="C125" s="1" t="s">
        <v>122</v>
      </c>
      <c r="D125" s="1" t="s">
        <v>735</v>
      </c>
      <c r="E125" s="4">
        <v>45292</v>
      </c>
      <c r="F125" s="4">
        <v>45657</v>
      </c>
      <c r="H125" s="5">
        <v>509556.43</v>
      </c>
      <c r="I125" s="5">
        <v>31136.67</v>
      </c>
      <c r="J125" s="5">
        <v>31550</v>
      </c>
      <c r="K125" s="5">
        <v>27841</v>
      </c>
      <c r="L125" s="5">
        <v>0</v>
      </c>
      <c r="M125" s="5">
        <v>90527.67</v>
      </c>
      <c r="N125" s="5">
        <v>345799</v>
      </c>
      <c r="O125" s="5">
        <v>0</v>
      </c>
      <c r="P125" s="5">
        <v>73229.759999999995</v>
      </c>
      <c r="Q125" s="5">
        <v>419028.76</v>
      </c>
      <c r="R125" s="1" t="s">
        <v>765</v>
      </c>
      <c r="S125" s="1" t="s">
        <v>735</v>
      </c>
      <c r="T125" s="4">
        <v>45292</v>
      </c>
      <c r="U125" s="4">
        <v>45657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419028.76</v>
      </c>
      <c r="AH125" s="5">
        <v>26305.75</v>
      </c>
      <c r="AI125" s="5">
        <v>0</v>
      </c>
      <c r="AJ125" s="5">
        <v>27107.19</v>
      </c>
      <c r="AK125" s="5">
        <v>0</v>
      </c>
      <c r="AL125" s="5">
        <v>0</v>
      </c>
      <c r="AM125" s="5">
        <v>801.44</v>
      </c>
      <c r="AN125" s="5">
        <v>26305.75</v>
      </c>
      <c r="AO125" s="1" t="s">
        <v>1177</v>
      </c>
    </row>
    <row r="126" spans="1:41" x14ac:dyDescent="0.25">
      <c r="A126" s="1">
        <f t="shared" si="3"/>
        <v>110</v>
      </c>
      <c r="B126" s="1" t="s">
        <v>322</v>
      </c>
      <c r="C126" s="1" t="s">
        <v>122</v>
      </c>
      <c r="D126" s="1" t="s">
        <v>735</v>
      </c>
      <c r="E126" s="4">
        <v>45292</v>
      </c>
      <c r="F126" s="4">
        <v>45657</v>
      </c>
      <c r="H126" s="5">
        <v>684426.83</v>
      </c>
      <c r="I126" s="5">
        <v>49604.17</v>
      </c>
      <c r="J126" s="5">
        <v>33300</v>
      </c>
      <c r="K126" s="5">
        <v>33381.25</v>
      </c>
      <c r="L126" s="5">
        <v>0</v>
      </c>
      <c r="M126" s="5">
        <v>116285.42</v>
      </c>
      <c r="N126" s="5">
        <v>561868.75</v>
      </c>
      <c r="O126" s="5">
        <v>0</v>
      </c>
      <c r="P126" s="5">
        <v>6272.66</v>
      </c>
      <c r="Q126" s="5">
        <v>568141.41</v>
      </c>
      <c r="R126" s="1" t="s">
        <v>766</v>
      </c>
      <c r="S126" s="1" t="s">
        <v>735</v>
      </c>
      <c r="T126" s="4">
        <v>45292</v>
      </c>
      <c r="U126" s="4">
        <v>45657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568141.41</v>
      </c>
      <c r="AH126" s="5">
        <v>56128.28</v>
      </c>
      <c r="AI126" s="5">
        <v>0</v>
      </c>
      <c r="AJ126" s="5">
        <v>56126.68</v>
      </c>
      <c r="AK126" s="5">
        <v>0</v>
      </c>
      <c r="AL126" s="5">
        <v>1.6</v>
      </c>
      <c r="AM126" s="5">
        <v>0</v>
      </c>
      <c r="AN126" s="5">
        <v>56128.28</v>
      </c>
      <c r="AO126" s="1" t="s">
        <v>1177</v>
      </c>
    </row>
    <row r="127" spans="1:41" x14ac:dyDescent="0.25">
      <c r="A127" s="1">
        <f t="shared" si="3"/>
        <v>111</v>
      </c>
      <c r="B127" s="1" t="s">
        <v>323</v>
      </c>
      <c r="C127" s="1" t="s">
        <v>122</v>
      </c>
      <c r="D127" s="1" t="s">
        <v>735</v>
      </c>
      <c r="E127" s="4">
        <v>45292</v>
      </c>
      <c r="F127" s="4">
        <v>45657</v>
      </c>
      <c r="H127" s="5">
        <v>538517.26</v>
      </c>
      <c r="I127" s="5">
        <v>37585.629999999997</v>
      </c>
      <c r="J127" s="5">
        <v>39600</v>
      </c>
      <c r="K127" s="5">
        <v>29775.65</v>
      </c>
      <c r="L127" s="5">
        <v>0</v>
      </c>
      <c r="M127" s="5">
        <v>106961.28</v>
      </c>
      <c r="N127" s="5">
        <v>421251.85</v>
      </c>
      <c r="O127" s="5">
        <v>0</v>
      </c>
      <c r="P127" s="5">
        <v>10304.129999999999</v>
      </c>
      <c r="Q127" s="5">
        <v>431555.98</v>
      </c>
      <c r="R127" s="1" t="s">
        <v>767</v>
      </c>
      <c r="S127" s="1" t="s">
        <v>735</v>
      </c>
      <c r="T127" s="4">
        <v>45292</v>
      </c>
      <c r="U127" s="4">
        <v>45657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431555.98</v>
      </c>
      <c r="AH127" s="5">
        <v>28811.200000000001</v>
      </c>
      <c r="AI127" s="5">
        <v>0</v>
      </c>
      <c r="AJ127" s="5">
        <v>28809.54</v>
      </c>
      <c r="AK127" s="5">
        <v>0</v>
      </c>
      <c r="AL127" s="5">
        <v>1.66</v>
      </c>
      <c r="AM127" s="5">
        <v>0</v>
      </c>
      <c r="AN127" s="5">
        <v>28811.200000000001</v>
      </c>
      <c r="AO127" s="1" t="s">
        <v>1177</v>
      </c>
    </row>
    <row r="128" spans="1:41" x14ac:dyDescent="0.25">
      <c r="A128" s="1">
        <f t="shared" si="3"/>
        <v>112</v>
      </c>
      <c r="B128" s="1" t="s">
        <v>324</v>
      </c>
      <c r="C128" s="1" t="s">
        <v>122</v>
      </c>
      <c r="D128" s="1" t="s">
        <v>735</v>
      </c>
      <c r="E128" s="4">
        <v>45292</v>
      </c>
      <c r="F128" s="4">
        <v>45657</v>
      </c>
      <c r="H128" s="5">
        <v>656884.43999999994</v>
      </c>
      <c r="I128" s="5">
        <v>38761.449999999997</v>
      </c>
      <c r="J128" s="5">
        <v>22960</v>
      </c>
      <c r="K128" s="5">
        <v>30128.43</v>
      </c>
      <c r="L128" s="5">
        <v>0</v>
      </c>
      <c r="M128" s="5">
        <v>91849.88</v>
      </c>
      <c r="N128" s="5">
        <v>435008.97</v>
      </c>
      <c r="O128" s="5">
        <v>0</v>
      </c>
      <c r="P128" s="5">
        <v>130025.59</v>
      </c>
      <c r="Q128" s="5">
        <v>565034.56000000006</v>
      </c>
      <c r="R128" s="1" t="s">
        <v>768</v>
      </c>
      <c r="S128" s="1" t="s">
        <v>735</v>
      </c>
      <c r="T128" s="4">
        <v>45292</v>
      </c>
      <c r="U128" s="4">
        <v>45657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565034.56000000006</v>
      </c>
      <c r="AH128" s="5">
        <v>55506.91</v>
      </c>
      <c r="AI128" s="5">
        <v>0</v>
      </c>
      <c r="AJ128" s="5">
        <v>63132.85</v>
      </c>
      <c r="AK128" s="5">
        <v>0</v>
      </c>
      <c r="AL128" s="5">
        <v>0</v>
      </c>
      <c r="AM128" s="5">
        <v>7625.94</v>
      </c>
      <c r="AN128" s="5">
        <v>55506.91</v>
      </c>
      <c r="AO128" s="1" t="s">
        <v>1177</v>
      </c>
    </row>
    <row r="129" spans="1:41" x14ac:dyDescent="0.25">
      <c r="A129" s="1">
        <f t="shared" si="3"/>
        <v>113</v>
      </c>
      <c r="B129" s="1" t="s">
        <v>325</v>
      </c>
      <c r="C129" s="1" t="s">
        <v>122</v>
      </c>
      <c r="D129" s="1" t="s">
        <v>735</v>
      </c>
      <c r="E129" s="4">
        <v>45292</v>
      </c>
      <c r="F129" s="4">
        <v>45657</v>
      </c>
      <c r="H129" s="5">
        <v>2324489.5</v>
      </c>
      <c r="I129" s="5">
        <v>90000</v>
      </c>
      <c r="J129" s="5">
        <v>24000</v>
      </c>
      <c r="K129" s="5">
        <v>48500</v>
      </c>
      <c r="L129" s="5">
        <v>0</v>
      </c>
      <c r="M129" s="5">
        <v>162500</v>
      </c>
      <c r="N129" s="5">
        <v>2041798</v>
      </c>
      <c r="O129" s="5">
        <v>84191.5</v>
      </c>
      <c r="P129" s="5">
        <v>36000</v>
      </c>
      <c r="Q129" s="5">
        <v>2161989.5</v>
      </c>
      <c r="R129" s="1" t="s">
        <v>769</v>
      </c>
      <c r="S129" s="1" t="s">
        <v>735</v>
      </c>
      <c r="T129" s="4">
        <v>45292</v>
      </c>
      <c r="U129" s="4">
        <v>45657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2161989.5</v>
      </c>
      <c r="AH129" s="5">
        <v>451096.85</v>
      </c>
      <c r="AI129" s="5">
        <v>0</v>
      </c>
      <c r="AJ129" s="5">
        <v>451631.35</v>
      </c>
      <c r="AK129" s="5">
        <v>0</v>
      </c>
      <c r="AL129" s="5">
        <v>0</v>
      </c>
      <c r="AM129" s="5">
        <v>534.5</v>
      </c>
      <c r="AN129" s="5">
        <v>451096.85</v>
      </c>
      <c r="AO129" s="1" t="s">
        <v>1177</v>
      </c>
    </row>
    <row r="130" spans="1:41" x14ac:dyDescent="0.25">
      <c r="A130" s="1">
        <f t="shared" si="3"/>
        <v>114</v>
      </c>
      <c r="B130" s="1" t="s">
        <v>326</v>
      </c>
      <c r="C130" s="1" t="s">
        <v>122</v>
      </c>
      <c r="D130" s="1" t="s">
        <v>735</v>
      </c>
      <c r="E130" s="4">
        <v>45292</v>
      </c>
      <c r="F130" s="4">
        <v>45657</v>
      </c>
      <c r="H130" s="5">
        <v>452514.54</v>
      </c>
      <c r="I130" s="5">
        <v>31062.5</v>
      </c>
      <c r="J130" s="5">
        <v>39600</v>
      </c>
      <c r="K130" s="5">
        <v>27818.75</v>
      </c>
      <c r="L130" s="5">
        <v>0</v>
      </c>
      <c r="M130" s="5">
        <v>98481.25</v>
      </c>
      <c r="N130" s="5">
        <v>344931.25</v>
      </c>
      <c r="O130" s="5">
        <v>0</v>
      </c>
      <c r="P130" s="5">
        <v>9102.0400000000009</v>
      </c>
      <c r="Q130" s="5">
        <v>354033.29</v>
      </c>
      <c r="R130" s="1" t="s">
        <v>770</v>
      </c>
      <c r="S130" s="1" t="s">
        <v>735</v>
      </c>
      <c r="T130" s="4">
        <v>45292</v>
      </c>
      <c r="U130" s="4">
        <v>45657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354033.29</v>
      </c>
      <c r="AH130" s="5">
        <v>15604.99</v>
      </c>
      <c r="AI130" s="5">
        <v>0</v>
      </c>
      <c r="AJ130" s="5">
        <v>15612.16</v>
      </c>
      <c r="AK130" s="5">
        <v>0</v>
      </c>
      <c r="AL130" s="5">
        <v>0</v>
      </c>
      <c r="AM130" s="5">
        <v>7.17</v>
      </c>
      <c r="AN130" s="5">
        <v>15604.99</v>
      </c>
      <c r="AO130" s="1" t="s">
        <v>1177</v>
      </c>
    </row>
    <row r="131" spans="1:41" x14ac:dyDescent="0.25">
      <c r="A131" s="1">
        <f t="shared" si="3"/>
        <v>115</v>
      </c>
      <c r="B131" s="1" t="s">
        <v>327</v>
      </c>
      <c r="C131" s="1" t="s">
        <v>122</v>
      </c>
      <c r="D131" s="1" t="s">
        <v>735</v>
      </c>
      <c r="E131" s="4">
        <v>45292</v>
      </c>
      <c r="F131" s="4">
        <v>45657</v>
      </c>
      <c r="H131" s="5">
        <v>489985.54</v>
      </c>
      <c r="I131" s="5">
        <v>34645.040000000001</v>
      </c>
      <c r="J131" s="5">
        <v>39600</v>
      </c>
      <c r="K131" s="5">
        <v>28893.47</v>
      </c>
      <c r="L131" s="5">
        <v>0</v>
      </c>
      <c r="M131" s="5">
        <v>103138.51</v>
      </c>
      <c r="N131" s="5">
        <v>386847.03</v>
      </c>
      <c r="O131" s="5">
        <v>0</v>
      </c>
      <c r="P131" s="5">
        <v>0</v>
      </c>
      <c r="Q131" s="5">
        <v>386847.03</v>
      </c>
      <c r="R131" s="1" t="s">
        <v>771</v>
      </c>
      <c r="S131" s="1" t="s">
        <v>735</v>
      </c>
      <c r="T131" s="4">
        <v>45292</v>
      </c>
      <c r="U131" s="4">
        <v>45657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386847.03</v>
      </c>
      <c r="AH131" s="5">
        <v>20527.05</v>
      </c>
      <c r="AI131" s="5">
        <v>0</v>
      </c>
      <c r="AJ131" s="5">
        <v>20525.919999999998</v>
      </c>
      <c r="AK131" s="5">
        <v>0</v>
      </c>
      <c r="AL131" s="5">
        <v>1.1299999999999999</v>
      </c>
      <c r="AM131" s="5">
        <v>0</v>
      </c>
      <c r="AN131" s="5">
        <v>20527.05</v>
      </c>
      <c r="AO131" s="1" t="s">
        <v>1177</v>
      </c>
    </row>
    <row r="132" spans="1:41" x14ac:dyDescent="0.25">
      <c r="A132" s="1">
        <f t="shared" si="3"/>
        <v>116</v>
      </c>
      <c r="B132" s="1" t="s">
        <v>328</v>
      </c>
      <c r="C132" s="1" t="s">
        <v>122</v>
      </c>
      <c r="D132" s="1" t="s">
        <v>735</v>
      </c>
      <c r="E132" s="4">
        <v>45292</v>
      </c>
      <c r="F132" s="4">
        <v>45657</v>
      </c>
      <c r="H132" s="5">
        <v>2577995</v>
      </c>
      <c r="I132" s="5">
        <v>90000</v>
      </c>
      <c r="J132" s="5">
        <v>24000</v>
      </c>
      <c r="K132" s="5">
        <v>48500</v>
      </c>
      <c r="L132" s="5">
        <v>0</v>
      </c>
      <c r="M132" s="5">
        <v>162500</v>
      </c>
      <c r="N132" s="5">
        <v>2214880</v>
      </c>
      <c r="O132" s="5">
        <v>98615</v>
      </c>
      <c r="P132" s="5">
        <v>102000</v>
      </c>
      <c r="Q132" s="5">
        <v>2415495</v>
      </c>
      <c r="R132" s="1" t="s">
        <v>772</v>
      </c>
      <c r="S132" s="1" t="s">
        <v>735</v>
      </c>
      <c r="T132" s="4">
        <v>45292</v>
      </c>
      <c r="U132" s="4">
        <v>45657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2415495</v>
      </c>
      <c r="AH132" s="5">
        <v>527148.5</v>
      </c>
      <c r="AI132" s="5">
        <v>0</v>
      </c>
      <c r="AJ132" s="5">
        <v>527147.71</v>
      </c>
      <c r="AK132" s="5">
        <v>0</v>
      </c>
      <c r="AL132" s="5">
        <v>0.79</v>
      </c>
      <c r="AM132" s="5">
        <v>0</v>
      </c>
      <c r="AN132" s="5">
        <v>527148.5</v>
      </c>
      <c r="AO132" s="1" t="s">
        <v>1177</v>
      </c>
    </row>
    <row r="133" spans="1:41" x14ac:dyDescent="0.25">
      <c r="A133" s="1">
        <f t="shared" si="3"/>
        <v>117</v>
      </c>
      <c r="B133" s="1" t="s">
        <v>329</v>
      </c>
      <c r="C133" s="1" t="s">
        <v>122</v>
      </c>
      <c r="D133" s="1" t="s">
        <v>735</v>
      </c>
      <c r="E133" s="4">
        <v>45292</v>
      </c>
      <c r="F133" s="4">
        <v>45657</v>
      </c>
      <c r="H133" s="5">
        <v>3257239.58</v>
      </c>
      <c r="I133" s="5">
        <v>90000</v>
      </c>
      <c r="J133" s="5">
        <v>24000</v>
      </c>
      <c r="K133" s="5">
        <v>48500</v>
      </c>
      <c r="L133" s="5">
        <v>0</v>
      </c>
      <c r="M133" s="5">
        <v>162500</v>
      </c>
      <c r="N133" s="5">
        <v>2841875</v>
      </c>
      <c r="O133" s="5">
        <v>150864.57999999999</v>
      </c>
      <c r="P133" s="5">
        <v>102000</v>
      </c>
      <c r="Q133" s="5">
        <v>3094739.58</v>
      </c>
      <c r="R133" s="1" t="s">
        <v>773</v>
      </c>
      <c r="S133" s="1" t="s">
        <v>735</v>
      </c>
      <c r="T133" s="4">
        <v>45292</v>
      </c>
      <c r="U133" s="4">
        <v>45657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3094739.58</v>
      </c>
      <c r="AH133" s="5">
        <v>730921.88</v>
      </c>
      <c r="AI133" s="5">
        <v>0</v>
      </c>
      <c r="AJ133" s="5">
        <v>730921.08</v>
      </c>
      <c r="AK133" s="5">
        <v>0</v>
      </c>
      <c r="AL133" s="5">
        <v>0.79</v>
      </c>
      <c r="AM133" s="5">
        <v>0</v>
      </c>
      <c r="AN133" s="5">
        <v>730921.88</v>
      </c>
      <c r="AO133" s="1" t="s">
        <v>1177</v>
      </c>
    </row>
    <row r="134" spans="1:41" x14ac:dyDescent="0.25">
      <c r="A134" s="1">
        <f t="shared" si="3"/>
        <v>118</v>
      </c>
      <c r="B134" s="1" t="s">
        <v>330</v>
      </c>
      <c r="C134" s="1" t="s">
        <v>122</v>
      </c>
      <c r="D134" s="1" t="s">
        <v>735</v>
      </c>
      <c r="E134" s="4">
        <v>45292</v>
      </c>
      <c r="F134" s="4">
        <v>45657</v>
      </c>
      <c r="H134" s="5">
        <v>6122312.5599999996</v>
      </c>
      <c r="I134" s="5">
        <v>90000</v>
      </c>
      <c r="J134" s="5">
        <v>42000</v>
      </c>
      <c r="K134" s="5">
        <v>48500</v>
      </c>
      <c r="L134" s="5">
        <v>0</v>
      </c>
      <c r="M134" s="5">
        <v>180500</v>
      </c>
      <c r="N134" s="5">
        <v>4300250</v>
      </c>
      <c r="O134" s="5">
        <v>272395.83</v>
      </c>
      <c r="P134" s="5">
        <v>1369166.73</v>
      </c>
      <c r="Q134" s="5">
        <v>5941812.5599999996</v>
      </c>
      <c r="R134" s="1" t="s">
        <v>774</v>
      </c>
      <c r="S134" s="1" t="s">
        <v>735</v>
      </c>
      <c r="T134" s="4">
        <v>45292</v>
      </c>
      <c r="U134" s="4">
        <v>45657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5941812.5599999996</v>
      </c>
      <c r="AH134" s="5">
        <v>1585043.77</v>
      </c>
      <c r="AI134" s="5">
        <v>0</v>
      </c>
      <c r="AJ134" s="5">
        <v>1611706.32</v>
      </c>
      <c r="AK134" s="5">
        <v>0</v>
      </c>
      <c r="AL134" s="5">
        <v>0</v>
      </c>
      <c r="AM134" s="5">
        <v>26662.55</v>
      </c>
      <c r="AN134" s="5">
        <v>1585043.77</v>
      </c>
      <c r="AO134" s="1" t="s">
        <v>1177</v>
      </c>
    </row>
    <row r="135" spans="1:41" x14ac:dyDescent="0.25">
      <c r="A135" s="1">
        <f t="shared" si="3"/>
        <v>119</v>
      </c>
      <c r="B135" s="1" t="s">
        <v>331</v>
      </c>
      <c r="C135" s="1" t="s">
        <v>122</v>
      </c>
      <c r="D135" s="1" t="s">
        <v>735</v>
      </c>
      <c r="E135" s="4">
        <v>45292</v>
      </c>
      <c r="F135" s="4">
        <v>45657</v>
      </c>
      <c r="H135" s="5">
        <v>558851.43000000005</v>
      </c>
      <c r="I135" s="5">
        <v>20190.63</v>
      </c>
      <c r="J135" s="5">
        <v>113810</v>
      </c>
      <c r="K135" s="5">
        <v>24557.15</v>
      </c>
      <c r="L135" s="5">
        <v>0</v>
      </c>
      <c r="M135" s="5">
        <v>158557.78</v>
      </c>
      <c r="N135" s="5">
        <v>217730.35</v>
      </c>
      <c r="O135" s="5">
        <v>0</v>
      </c>
      <c r="P135" s="5">
        <v>182563.3</v>
      </c>
      <c r="Q135" s="5">
        <v>400293.65</v>
      </c>
      <c r="R135" s="1" t="s">
        <v>775</v>
      </c>
      <c r="S135" s="1" t="s">
        <v>735</v>
      </c>
      <c r="T135" s="4">
        <v>45292</v>
      </c>
      <c r="U135" s="4">
        <v>45657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400293.65</v>
      </c>
      <c r="AH135" s="5">
        <v>22558.73</v>
      </c>
      <c r="AI135" s="5">
        <v>0</v>
      </c>
      <c r="AJ135" s="5">
        <v>23443.37</v>
      </c>
      <c r="AK135" s="5">
        <v>0</v>
      </c>
      <c r="AL135" s="5">
        <v>0</v>
      </c>
      <c r="AM135" s="5">
        <v>884.64</v>
      </c>
      <c r="AN135" s="5">
        <v>22558.73</v>
      </c>
      <c r="AO135" s="1" t="s">
        <v>1177</v>
      </c>
    </row>
    <row r="136" spans="1:41" x14ac:dyDescent="0.25">
      <c r="A136" s="1">
        <f t="shared" si="3"/>
        <v>120</v>
      </c>
      <c r="B136" s="1" t="s">
        <v>332</v>
      </c>
      <c r="C136" s="1" t="s">
        <v>122</v>
      </c>
      <c r="D136" s="1" t="s">
        <v>735</v>
      </c>
      <c r="E136" s="4">
        <v>45292</v>
      </c>
      <c r="F136" s="4">
        <v>45657</v>
      </c>
      <c r="H136" s="5">
        <v>460592.06</v>
      </c>
      <c r="I136" s="5">
        <v>30703.9</v>
      </c>
      <c r="J136" s="5">
        <v>18000</v>
      </c>
      <c r="K136" s="5">
        <v>27711.13</v>
      </c>
      <c r="L136" s="5">
        <v>0</v>
      </c>
      <c r="M136" s="5">
        <v>76415.03</v>
      </c>
      <c r="N136" s="5">
        <v>340735.62</v>
      </c>
      <c r="O136" s="5">
        <v>0</v>
      </c>
      <c r="P136" s="5">
        <v>43441.41</v>
      </c>
      <c r="Q136" s="5">
        <v>384177.03</v>
      </c>
      <c r="R136" s="1" t="s">
        <v>776</v>
      </c>
      <c r="S136" s="1" t="s">
        <v>735</v>
      </c>
      <c r="T136" s="4">
        <v>45292</v>
      </c>
      <c r="U136" s="4">
        <v>45657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384177.03</v>
      </c>
      <c r="AH136" s="5">
        <v>20126.55</v>
      </c>
      <c r="AI136" s="5">
        <v>0</v>
      </c>
      <c r="AJ136" s="5">
        <v>20446.810000000001</v>
      </c>
      <c r="AK136" s="5">
        <v>0</v>
      </c>
      <c r="AL136" s="5">
        <v>0</v>
      </c>
      <c r="AM136" s="5">
        <v>320.26</v>
      </c>
      <c r="AN136" s="5">
        <v>20126.55</v>
      </c>
      <c r="AO136" s="1" t="s">
        <v>1177</v>
      </c>
    </row>
    <row r="137" spans="1:41" x14ac:dyDescent="0.25">
      <c r="A137" s="1">
        <f t="shared" si="3"/>
        <v>121</v>
      </c>
      <c r="B137" s="1" t="s">
        <v>333</v>
      </c>
      <c r="C137" s="1" t="s">
        <v>122</v>
      </c>
      <c r="D137" s="1" t="s">
        <v>735</v>
      </c>
      <c r="E137" s="4">
        <v>45292</v>
      </c>
      <c r="F137" s="4">
        <v>45657</v>
      </c>
      <c r="H137" s="5">
        <v>1129704.02</v>
      </c>
      <c r="I137" s="5">
        <v>85919.54</v>
      </c>
      <c r="J137" s="5">
        <v>12750</v>
      </c>
      <c r="K137" s="5">
        <v>35100</v>
      </c>
      <c r="L137" s="5">
        <v>0</v>
      </c>
      <c r="M137" s="5">
        <v>133769.54</v>
      </c>
      <c r="N137" s="5">
        <v>995934.48</v>
      </c>
      <c r="O137" s="5">
        <v>0</v>
      </c>
      <c r="P137" s="5">
        <v>0</v>
      </c>
      <c r="Q137" s="5">
        <v>995934.48</v>
      </c>
      <c r="R137" s="1" t="s">
        <v>777</v>
      </c>
      <c r="S137" s="1" t="s">
        <v>735</v>
      </c>
      <c r="T137" s="4">
        <v>45292</v>
      </c>
      <c r="U137" s="4">
        <v>45657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995934.48</v>
      </c>
      <c r="AH137" s="5">
        <v>151483.62</v>
      </c>
      <c r="AI137" s="5">
        <v>0</v>
      </c>
      <c r="AJ137" s="5">
        <v>179920.27</v>
      </c>
      <c r="AK137" s="5">
        <v>0</v>
      </c>
      <c r="AL137" s="5">
        <v>0</v>
      </c>
      <c r="AM137" s="5">
        <v>28436.65</v>
      </c>
      <c r="AN137" s="5">
        <v>151483.62</v>
      </c>
      <c r="AO137" s="1" t="s">
        <v>1177</v>
      </c>
    </row>
    <row r="138" spans="1:41" x14ac:dyDescent="0.25">
      <c r="A138" s="1">
        <f t="shared" si="3"/>
        <v>122</v>
      </c>
      <c r="B138" s="1" t="s">
        <v>334</v>
      </c>
      <c r="C138" s="1" t="s">
        <v>122</v>
      </c>
      <c r="D138" s="1" t="s">
        <v>735</v>
      </c>
      <c r="E138" s="4">
        <v>45292</v>
      </c>
      <c r="F138" s="4">
        <v>45657</v>
      </c>
      <c r="H138" s="5">
        <v>900114.76</v>
      </c>
      <c r="I138" s="5">
        <v>53943.75</v>
      </c>
      <c r="J138" s="5">
        <v>22250</v>
      </c>
      <c r="K138" s="5">
        <v>34683.120000000003</v>
      </c>
      <c r="L138" s="5">
        <v>0</v>
      </c>
      <c r="M138" s="5">
        <v>110876.87</v>
      </c>
      <c r="N138" s="5">
        <v>612641.88</v>
      </c>
      <c r="O138" s="5">
        <v>0</v>
      </c>
      <c r="P138" s="5">
        <v>176596.01</v>
      </c>
      <c r="Q138" s="5">
        <v>789237.89</v>
      </c>
      <c r="R138" s="1" t="s">
        <v>778</v>
      </c>
      <c r="S138" s="1" t="s">
        <v>735</v>
      </c>
      <c r="T138" s="4">
        <v>45292</v>
      </c>
      <c r="U138" s="4">
        <v>45657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789237.89</v>
      </c>
      <c r="AH138" s="5">
        <v>100347.58</v>
      </c>
      <c r="AI138" s="5">
        <v>0</v>
      </c>
      <c r="AJ138" s="5">
        <v>102063.87</v>
      </c>
      <c r="AK138" s="5">
        <v>0</v>
      </c>
      <c r="AL138" s="5">
        <v>0</v>
      </c>
      <c r="AM138" s="5">
        <v>1716.29</v>
      </c>
      <c r="AN138" s="5">
        <v>100347.58</v>
      </c>
      <c r="AO138" s="1" t="s">
        <v>1177</v>
      </c>
    </row>
    <row r="139" spans="1:41" x14ac:dyDescent="0.25">
      <c r="A139" s="1">
        <f t="shared" si="3"/>
        <v>123</v>
      </c>
      <c r="B139" s="1" t="s">
        <v>335</v>
      </c>
      <c r="C139" s="1" t="s">
        <v>122</v>
      </c>
      <c r="D139" s="1" t="s">
        <v>735</v>
      </c>
      <c r="E139" s="4">
        <v>45292</v>
      </c>
      <c r="F139" s="4">
        <v>45657</v>
      </c>
      <c r="H139" s="5">
        <v>1734136.99</v>
      </c>
      <c r="I139" s="5">
        <v>90000</v>
      </c>
      <c r="J139" s="5">
        <v>22250</v>
      </c>
      <c r="K139" s="5">
        <v>48500</v>
      </c>
      <c r="L139" s="5">
        <v>0</v>
      </c>
      <c r="M139" s="5">
        <v>160750</v>
      </c>
      <c r="N139" s="5">
        <v>1458500</v>
      </c>
      <c r="O139" s="5">
        <v>35583.33</v>
      </c>
      <c r="P139" s="5">
        <v>79303.66</v>
      </c>
      <c r="Q139" s="5">
        <v>1573386.99</v>
      </c>
      <c r="R139" s="1" t="s">
        <v>779</v>
      </c>
      <c r="S139" s="1" t="s">
        <v>735</v>
      </c>
      <c r="T139" s="4">
        <v>45292</v>
      </c>
      <c r="U139" s="4">
        <v>45657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1573386.99</v>
      </c>
      <c r="AH139" s="5">
        <v>295846.75</v>
      </c>
      <c r="AI139" s="5">
        <v>0</v>
      </c>
      <c r="AJ139" s="5">
        <v>295144.63</v>
      </c>
      <c r="AK139" s="5">
        <v>0</v>
      </c>
      <c r="AL139" s="5">
        <v>702.12</v>
      </c>
      <c r="AM139" s="5">
        <v>0</v>
      </c>
      <c r="AN139" s="5">
        <v>295846.75</v>
      </c>
      <c r="AO139" s="1" t="s">
        <v>1177</v>
      </c>
    </row>
    <row r="140" spans="1:41" x14ac:dyDescent="0.25">
      <c r="A140" s="1">
        <f t="shared" si="3"/>
        <v>124</v>
      </c>
      <c r="B140" s="1" t="s">
        <v>336</v>
      </c>
      <c r="C140" s="1" t="s">
        <v>122</v>
      </c>
      <c r="D140" s="1" t="s">
        <v>735</v>
      </c>
      <c r="E140" s="4">
        <v>45292</v>
      </c>
      <c r="F140" s="4">
        <v>45657</v>
      </c>
      <c r="H140" s="5">
        <v>1183705.33</v>
      </c>
      <c r="I140" s="5">
        <v>85421.88</v>
      </c>
      <c r="J140" s="5">
        <v>39600</v>
      </c>
      <c r="K140" s="5">
        <v>44126.52</v>
      </c>
      <c r="L140" s="5">
        <v>0</v>
      </c>
      <c r="M140" s="5">
        <v>169148.4</v>
      </c>
      <c r="N140" s="5">
        <v>980935.98</v>
      </c>
      <c r="O140" s="5">
        <v>0</v>
      </c>
      <c r="P140" s="5">
        <v>33620.949999999997</v>
      </c>
      <c r="Q140" s="5">
        <v>1014556.93</v>
      </c>
      <c r="R140" s="1" t="s">
        <v>780</v>
      </c>
      <c r="S140" s="1" t="s">
        <v>735</v>
      </c>
      <c r="T140" s="4">
        <v>45292</v>
      </c>
      <c r="U140" s="4">
        <v>45657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1014556.93</v>
      </c>
      <c r="AH140" s="5">
        <v>156139.23000000001</v>
      </c>
      <c r="AI140" s="5">
        <v>0</v>
      </c>
      <c r="AJ140" s="5">
        <v>156138.03</v>
      </c>
      <c r="AK140" s="5">
        <v>0</v>
      </c>
      <c r="AL140" s="5">
        <v>1.2</v>
      </c>
      <c r="AM140" s="5">
        <v>0</v>
      </c>
      <c r="AN140" s="5">
        <v>156139.23000000001</v>
      </c>
      <c r="AO140" s="1" t="s">
        <v>1177</v>
      </c>
    </row>
    <row r="141" spans="1:41" x14ac:dyDescent="0.25">
      <c r="A141" s="1">
        <f t="shared" si="3"/>
        <v>125</v>
      </c>
      <c r="B141" s="1" t="s">
        <v>337</v>
      </c>
      <c r="C141" s="1" t="s">
        <v>122</v>
      </c>
      <c r="D141" s="1" t="s">
        <v>735</v>
      </c>
      <c r="E141" s="4">
        <v>45292</v>
      </c>
      <c r="F141" s="4">
        <v>45657</v>
      </c>
      <c r="H141" s="5">
        <v>1550613.54</v>
      </c>
      <c r="I141" s="5">
        <v>90000</v>
      </c>
      <c r="J141" s="5">
        <v>24000</v>
      </c>
      <c r="K141" s="5">
        <v>48500</v>
      </c>
      <c r="L141" s="5">
        <v>0</v>
      </c>
      <c r="M141" s="5">
        <v>162500</v>
      </c>
      <c r="N141" s="5">
        <v>1249912.5</v>
      </c>
      <c r="O141" s="5">
        <v>18201.04</v>
      </c>
      <c r="P141" s="5">
        <v>120000</v>
      </c>
      <c r="Q141" s="5">
        <v>1388113.54</v>
      </c>
      <c r="R141" s="1" t="s">
        <v>781</v>
      </c>
      <c r="S141" s="1" t="s">
        <v>735</v>
      </c>
      <c r="T141" s="4">
        <v>45292</v>
      </c>
      <c r="U141" s="4">
        <v>45657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1388113.54</v>
      </c>
      <c r="AH141" s="5">
        <v>249528.39</v>
      </c>
      <c r="AI141" s="5">
        <v>0</v>
      </c>
      <c r="AJ141" s="5">
        <v>249527.26</v>
      </c>
      <c r="AK141" s="5">
        <v>0</v>
      </c>
      <c r="AL141" s="5">
        <v>1.1299999999999999</v>
      </c>
      <c r="AM141" s="5">
        <v>0</v>
      </c>
      <c r="AN141" s="5">
        <v>249528.39</v>
      </c>
      <c r="AO141" s="1" t="s">
        <v>1177</v>
      </c>
    </row>
    <row r="142" spans="1:41" x14ac:dyDescent="0.25">
      <c r="A142" s="1">
        <f t="shared" si="3"/>
        <v>126</v>
      </c>
      <c r="B142" s="1" t="s">
        <v>338</v>
      </c>
      <c r="C142" s="1" t="s">
        <v>122</v>
      </c>
      <c r="D142" s="1" t="s">
        <v>735</v>
      </c>
      <c r="E142" s="4">
        <v>45292</v>
      </c>
      <c r="F142" s="4">
        <v>45657</v>
      </c>
      <c r="H142" s="5">
        <v>308377.46000000002</v>
      </c>
      <c r="I142" s="5">
        <v>14396.67</v>
      </c>
      <c r="J142" s="5">
        <v>71450</v>
      </c>
      <c r="K142" s="5">
        <v>17419</v>
      </c>
      <c r="L142" s="5">
        <v>0</v>
      </c>
      <c r="M142" s="5">
        <v>103265.67</v>
      </c>
      <c r="N142" s="5">
        <v>155341</v>
      </c>
      <c r="O142" s="5">
        <v>0</v>
      </c>
      <c r="P142" s="5">
        <v>49770.79</v>
      </c>
      <c r="Q142" s="5">
        <v>205111.79</v>
      </c>
      <c r="R142" s="1" t="s">
        <v>782</v>
      </c>
      <c r="S142" s="1" t="s">
        <v>735</v>
      </c>
      <c r="T142" s="4">
        <v>45292</v>
      </c>
      <c r="U142" s="4">
        <v>45657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205111.79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1" t="s">
        <v>1177</v>
      </c>
    </row>
    <row r="143" spans="1:41" x14ac:dyDescent="0.25">
      <c r="A143" s="1">
        <f t="shared" si="3"/>
        <v>127</v>
      </c>
      <c r="B143" s="1" t="s">
        <v>339</v>
      </c>
      <c r="C143" s="1" t="s">
        <v>122</v>
      </c>
      <c r="D143" s="1" t="s">
        <v>735</v>
      </c>
      <c r="E143" s="4">
        <v>45292</v>
      </c>
      <c r="F143" s="4">
        <v>45657</v>
      </c>
      <c r="H143" s="5">
        <v>1024381.15</v>
      </c>
      <c r="I143" s="5">
        <v>73072.800000000003</v>
      </c>
      <c r="J143" s="5">
        <v>36000</v>
      </c>
      <c r="K143" s="5">
        <v>40850</v>
      </c>
      <c r="L143" s="5">
        <v>0</v>
      </c>
      <c r="M143" s="5">
        <v>149922.79999999999</v>
      </c>
      <c r="N143" s="5">
        <v>836023.57</v>
      </c>
      <c r="O143" s="5">
        <v>0</v>
      </c>
      <c r="P143" s="5">
        <v>38434.78</v>
      </c>
      <c r="Q143" s="5">
        <v>874458.35</v>
      </c>
      <c r="R143" s="1" t="s">
        <v>783</v>
      </c>
      <c r="S143" s="1" t="s">
        <v>735</v>
      </c>
      <c r="T143" s="4">
        <v>45292</v>
      </c>
      <c r="U143" s="4">
        <v>45657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874458.35</v>
      </c>
      <c r="AH143" s="5">
        <v>121114.59</v>
      </c>
      <c r="AI143" s="5">
        <v>0</v>
      </c>
      <c r="AJ143" s="5">
        <v>121452.43</v>
      </c>
      <c r="AK143" s="5">
        <v>0</v>
      </c>
      <c r="AL143" s="5">
        <v>0</v>
      </c>
      <c r="AM143" s="5">
        <v>337.84</v>
      </c>
      <c r="AN143" s="5">
        <v>121114.59</v>
      </c>
      <c r="AO143" s="1" t="s">
        <v>1177</v>
      </c>
    </row>
    <row r="144" spans="1:41" x14ac:dyDescent="0.25">
      <c r="A144" s="1">
        <f t="shared" si="3"/>
        <v>128</v>
      </c>
      <c r="B144" s="1" t="s">
        <v>340</v>
      </c>
      <c r="C144" s="1" t="s">
        <v>122</v>
      </c>
      <c r="D144" s="1" t="s">
        <v>735</v>
      </c>
      <c r="E144" s="4">
        <v>45292</v>
      </c>
      <c r="F144" s="4">
        <v>45657</v>
      </c>
      <c r="H144" s="5">
        <v>2016616.06</v>
      </c>
      <c r="I144" s="5">
        <v>90000</v>
      </c>
      <c r="J144" s="5">
        <v>24000</v>
      </c>
      <c r="K144" s="5">
        <v>48500</v>
      </c>
      <c r="L144" s="5">
        <v>0</v>
      </c>
      <c r="M144" s="5">
        <v>162500</v>
      </c>
      <c r="N144" s="5">
        <v>1571125</v>
      </c>
      <c r="O144" s="5">
        <v>44968.75</v>
      </c>
      <c r="P144" s="5">
        <v>238022.31</v>
      </c>
      <c r="Q144" s="5">
        <v>1854116.06</v>
      </c>
      <c r="R144" s="1" t="s">
        <v>784</v>
      </c>
      <c r="S144" s="1" t="s">
        <v>735</v>
      </c>
      <c r="T144" s="4">
        <v>45292</v>
      </c>
      <c r="U144" s="4">
        <v>45657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1854116.06</v>
      </c>
      <c r="AH144" s="5">
        <v>366029.02</v>
      </c>
      <c r="AI144" s="5">
        <v>0</v>
      </c>
      <c r="AJ144" s="5">
        <v>374175.74</v>
      </c>
      <c r="AK144" s="5">
        <v>0</v>
      </c>
      <c r="AL144" s="5">
        <v>0</v>
      </c>
      <c r="AM144" s="5">
        <v>8146.73</v>
      </c>
      <c r="AN144" s="5">
        <v>366029.02</v>
      </c>
      <c r="AO144" s="1" t="s">
        <v>1177</v>
      </c>
    </row>
    <row r="145" spans="1:41" x14ac:dyDescent="0.25">
      <c r="A145" s="1">
        <f t="shared" si="3"/>
        <v>129</v>
      </c>
      <c r="B145" s="1" t="s">
        <v>341</v>
      </c>
      <c r="C145" s="1" t="s">
        <v>122</v>
      </c>
      <c r="D145" s="1" t="s">
        <v>735</v>
      </c>
      <c r="E145" s="4">
        <v>45292</v>
      </c>
      <c r="F145" s="4">
        <v>45657</v>
      </c>
      <c r="H145" s="5">
        <v>1693061.71</v>
      </c>
      <c r="I145" s="5">
        <v>90000</v>
      </c>
      <c r="J145" s="5">
        <v>24000</v>
      </c>
      <c r="K145" s="5">
        <v>48500</v>
      </c>
      <c r="L145" s="5">
        <v>0</v>
      </c>
      <c r="M145" s="5">
        <v>162500</v>
      </c>
      <c r="N145" s="5">
        <v>1398018.5</v>
      </c>
      <c r="O145" s="5">
        <v>30543.21</v>
      </c>
      <c r="P145" s="5">
        <v>102000</v>
      </c>
      <c r="Q145" s="5">
        <v>1530561.71</v>
      </c>
      <c r="R145" s="1" t="s">
        <v>785</v>
      </c>
      <c r="S145" s="1" t="s">
        <v>735</v>
      </c>
      <c r="T145" s="4">
        <v>45292</v>
      </c>
      <c r="U145" s="4">
        <v>45657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1530561.71</v>
      </c>
      <c r="AH145" s="5">
        <v>285140.43</v>
      </c>
      <c r="AI145" s="5">
        <v>0</v>
      </c>
      <c r="AJ145" s="5">
        <v>285139.31</v>
      </c>
      <c r="AK145" s="5">
        <v>0</v>
      </c>
      <c r="AL145" s="5">
        <v>1.1200000000000001</v>
      </c>
      <c r="AM145" s="5">
        <v>0</v>
      </c>
      <c r="AN145" s="5">
        <v>285140.43</v>
      </c>
      <c r="AO145" s="1" t="s">
        <v>1177</v>
      </c>
    </row>
    <row r="146" spans="1:41" x14ac:dyDescent="0.25">
      <c r="A146" s="1">
        <f t="shared" si="3"/>
        <v>130</v>
      </c>
      <c r="B146" s="1" t="s">
        <v>342</v>
      </c>
      <c r="C146" s="1" t="s">
        <v>122</v>
      </c>
      <c r="D146" s="1" t="s">
        <v>735</v>
      </c>
      <c r="E146" s="4">
        <v>45292</v>
      </c>
      <c r="F146" s="4">
        <v>45657</v>
      </c>
      <c r="H146" s="5">
        <v>1060711.67</v>
      </c>
      <c r="I146" s="5">
        <v>79031.67</v>
      </c>
      <c r="J146" s="5">
        <v>33300</v>
      </c>
      <c r="K146" s="5">
        <v>42209.5</v>
      </c>
      <c r="L146" s="5">
        <v>0</v>
      </c>
      <c r="M146" s="5">
        <v>154541.17000000001</v>
      </c>
      <c r="N146" s="5">
        <v>906170.5</v>
      </c>
      <c r="O146" s="5">
        <v>0</v>
      </c>
      <c r="P146" s="5">
        <v>0</v>
      </c>
      <c r="Q146" s="5">
        <v>906170.5</v>
      </c>
      <c r="R146" s="1" t="s">
        <v>786</v>
      </c>
      <c r="S146" s="1" t="s">
        <v>735</v>
      </c>
      <c r="T146" s="4">
        <v>45292</v>
      </c>
      <c r="U146" s="4">
        <v>45657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906170.5</v>
      </c>
      <c r="AH146" s="5">
        <v>129042.63</v>
      </c>
      <c r="AI146" s="5">
        <v>0</v>
      </c>
      <c r="AJ146" s="5">
        <v>129041.46</v>
      </c>
      <c r="AK146" s="5">
        <v>0</v>
      </c>
      <c r="AL146" s="5">
        <v>1.1599999999999999</v>
      </c>
      <c r="AM146" s="5">
        <v>0</v>
      </c>
      <c r="AN146" s="5">
        <v>129042.63</v>
      </c>
      <c r="AO146" s="1" t="s">
        <v>1177</v>
      </c>
    </row>
    <row r="147" spans="1:41" x14ac:dyDescent="0.25">
      <c r="A147" s="1">
        <f t="shared" si="3"/>
        <v>131</v>
      </c>
      <c r="B147" s="1" t="s">
        <v>343</v>
      </c>
      <c r="C147" s="1" t="s">
        <v>122</v>
      </c>
      <c r="D147" s="1" t="s">
        <v>735</v>
      </c>
      <c r="E147" s="4">
        <v>45292</v>
      </c>
      <c r="F147" s="4">
        <v>45657</v>
      </c>
      <c r="H147" s="5">
        <v>930244.69</v>
      </c>
      <c r="I147" s="5">
        <v>53667.79</v>
      </c>
      <c r="J147" s="5">
        <v>39600</v>
      </c>
      <c r="K147" s="5">
        <v>34854.47</v>
      </c>
      <c r="L147" s="5">
        <v>0</v>
      </c>
      <c r="M147" s="5">
        <v>128122.26</v>
      </c>
      <c r="N147" s="5">
        <v>609159.04</v>
      </c>
      <c r="O147" s="5">
        <v>0</v>
      </c>
      <c r="P147" s="5">
        <v>192963.39</v>
      </c>
      <c r="Q147" s="5">
        <v>802122.43</v>
      </c>
      <c r="R147" s="1" t="s">
        <v>787</v>
      </c>
      <c r="S147" s="1" t="s">
        <v>735</v>
      </c>
      <c r="T147" s="4">
        <v>45292</v>
      </c>
      <c r="U147" s="4">
        <v>45657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802122.43</v>
      </c>
      <c r="AH147" s="5">
        <v>103030.61</v>
      </c>
      <c r="AI147" s="5">
        <v>0</v>
      </c>
      <c r="AJ147" s="5">
        <v>106199.67999999999</v>
      </c>
      <c r="AK147" s="5">
        <v>0</v>
      </c>
      <c r="AL147" s="5">
        <v>0</v>
      </c>
      <c r="AM147" s="5">
        <v>3169.07</v>
      </c>
      <c r="AN147" s="5">
        <v>103030.61</v>
      </c>
      <c r="AO147" s="1" t="s">
        <v>1177</v>
      </c>
    </row>
    <row r="148" spans="1:41" x14ac:dyDescent="0.25">
      <c r="A148" s="1">
        <f t="shared" si="3"/>
        <v>132</v>
      </c>
      <c r="B148" s="1" t="s">
        <v>344</v>
      </c>
      <c r="C148" s="1" t="s">
        <v>122</v>
      </c>
      <c r="D148" s="1" t="s">
        <v>735</v>
      </c>
      <c r="E148" s="4">
        <v>45292</v>
      </c>
      <c r="F148" s="4">
        <v>45657</v>
      </c>
      <c r="H148" s="5">
        <v>974560.54</v>
      </c>
      <c r="I148" s="5">
        <v>71920.039999999994</v>
      </c>
      <c r="J148" s="5">
        <v>39600</v>
      </c>
      <c r="K148" s="5">
        <v>40075.97</v>
      </c>
      <c r="L148" s="5">
        <v>0</v>
      </c>
      <c r="M148" s="5">
        <v>151596.01</v>
      </c>
      <c r="N148" s="5">
        <v>822964.53</v>
      </c>
      <c r="O148" s="5">
        <v>0</v>
      </c>
      <c r="P148" s="5">
        <v>0</v>
      </c>
      <c r="Q148" s="5">
        <v>822964.53</v>
      </c>
      <c r="R148" s="1" t="s">
        <v>788</v>
      </c>
      <c r="S148" s="1" t="s">
        <v>735</v>
      </c>
      <c r="T148" s="4">
        <v>45292</v>
      </c>
      <c r="U148" s="4">
        <v>45657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822964.53</v>
      </c>
      <c r="AH148" s="5">
        <v>108241.13</v>
      </c>
      <c r="AI148" s="5">
        <v>0</v>
      </c>
      <c r="AJ148" s="5">
        <v>108439.19</v>
      </c>
      <c r="AK148" s="5">
        <v>0</v>
      </c>
      <c r="AL148" s="5">
        <v>0</v>
      </c>
      <c r="AM148" s="5">
        <v>198.06</v>
      </c>
      <c r="AN148" s="5">
        <v>108241.13</v>
      </c>
      <c r="AO148" s="1" t="s">
        <v>1177</v>
      </c>
    </row>
    <row r="149" spans="1:41" x14ac:dyDescent="0.25">
      <c r="A149" s="1">
        <f t="shared" si="3"/>
        <v>133</v>
      </c>
      <c r="B149" s="1" t="s">
        <v>345</v>
      </c>
      <c r="C149" s="1" t="s">
        <v>122</v>
      </c>
      <c r="D149" s="1" t="s">
        <v>735</v>
      </c>
      <c r="E149" s="4">
        <v>45292</v>
      </c>
      <c r="F149" s="4">
        <v>45657</v>
      </c>
      <c r="H149" s="5">
        <v>1414341.67</v>
      </c>
      <c r="I149" s="5">
        <v>90000</v>
      </c>
      <c r="J149" s="5">
        <v>24000</v>
      </c>
      <c r="K149" s="5">
        <v>48071.25</v>
      </c>
      <c r="L149" s="5">
        <v>0</v>
      </c>
      <c r="M149" s="5">
        <v>162071.25</v>
      </c>
      <c r="N149" s="5">
        <v>1135628.75</v>
      </c>
      <c r="O149" s="5">
        <v>8641.67</v>
      </c>
      <c r="P149" s="5">
        <v>108000</v>
      </c>
      <c r="Q149" s="5">
        <v>1252270.42</v>
      </c>
      <c r="R149" s="1" t="s">
        <v>789</v>
      </c>
      <c r="S149" s="1" t="s">
        <v>735</v>
      </c>
      <c r="T149" s="4">
        <v>45292</v>
      </c>
      <c r="U149" s="4">
        <v>45657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1252270.42</v>
      </c>
      <c r="AH149" s="5">
        <v>215567.6</v>
      </c>
      <c r="AI149" s="5">
        <v>0</v>
      </c>
      <c r="AJ149" s="5">
        <v>215566.39</v>
      </c>
      <c r="AK149" s="5">
        <v>0</v>
      </c>
      <c r="AL149" s="5">
        <v>1.21</v>
      </c>
      <c r="AM149" s="5">
        <v>0</v>
      </c>
      <c r="AN149" s="5">
        <v>215567.6</v>
      </c>
      <c r="AO149" s="1" t="s">
        <v>1177</v>
      </c>
    </row>
    <row r="150" spans="1:41" x14ac:dyDescent="0.25">
      <c r="A150" s="1">
        <f t="shared" si="3"/>
        <v>134</v>
      </c>
      <c r="B150" s="1" t="s">
        <v>346</v>
      </c>
      <c r="C150" s="1" t="s">
        <v>122</v>
      </c>
      <c r="D150" s="1" t="s">
        <v>735</v>
      </c>
      <c r="E150" s="4">
        <v>45292</v>
      </c>
      <c r="F150" s="4">
        <v>45657</v>
      </c>
      <c r="H150" s="5">
        <v>379186</v>
      </c>
      <c r="I150" s="5">
        <v>26122</v>
      </c>
      <c r="J150" s="5">
        <v>39600</v>
      </c>
      <c r="K150" s="5">
        <v>24761.599999999999</v>
      </c>
      <c r="L150" s="5">
        <v>0</v>
      </c>
      <c r="M150" s="5">
        <v>90483.6</v>
      </c>
      <c r="N150" s="5">
        <v>288702.40000000002</v>
      </c>
      <c r="O150" s="5">
        <v>0</v>
      </c>
      <c r="P150" s="5">
        <v>0</v>
      </c>
      <c r="Q150" s="5">
        <v>288702.40000000002</v>
      </c>
      <c r="R150" s="1" t="s">
        <v>790</v>
      </c>
      <c r="S150" s="1" t="s">
        <v>735</v>
      </c>
      <c r="T150" s="4">
        <v>45292</v>
      </c>
      <c r="U150" s="4">
        <v>45657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288702.40000000002</v>
      </c>
      <c r="AH150" s="5">
        <v>5805.36</v>
      </c>
      <c r="AI150" s="5">
        <v>0</v>
      </c>
      <c r="AJ150" s="5">
        <v>5804.23</v>
      </c>
      <c r="AK150" s="5">
        <v>0</v>
      </c>
      <c r="AL150" s="5">
        <v>1.1299999999999999</v>
      </c>
      <c r="AM150" s="5">
        <v>0</v>
      </c>
      <c r="AN150" s="5">
        <v>5805.36</v>
      </c>
      <c r="AO150" s="1" t="s">
        <v>1177</v>
      </c>
    </row>
    <row r="151" spans="1:41" x14ac:dyDescent="0.25">
      <c r="A151" s="1">
        <f t="shared" si="3"/>
        <v>135</v>
      </c>
      <c r="B151" s="1" t="s">
        <v>347</v>
      </c>
      <c r="C151" s="1" t="s">
        <v>122</v>
      </c>
      <c r="D151" s="1" t="s">
        <v>735</v>
      </c>
      <c r="E151" s="4">
        <v>45292</v>
      </c>
      <c r="F151" s="4">
        <v>45657</v>
      </c>
      <c r="H151" s="5">
        <v>2502005.61</v>
      </c>
      <c r="I151" s="5">
        <v>90000</v>
      </c>
      <c r="J151" s="5">
        <v>42000</v>
      </c>
      <c r="K151" s="5">
        <v>48500</v>
      </c>
      <c r="L151" s="5">
        <v>0</v>
      </c>
      <c r="M151" s="5">
        <v>180500</v>
      </c>
      <c r="N151" s="5">
        <v>2093724</v>
      </c>
      <c r="O151" s="5">
        <v>88518.67</v>
      </c>
      <c r="P151" s="5">
        <v>139262.94</v>
      </c>
      <c r="Q151" s="5">
        <v>2321505.61</v>
      </c>
      <c r="R151" s="1" t="s">
        <v>791</v>
      </c>
      <c r="S151" s="1" t="s">
        <v>735</v>
      </c>
      <c r="T151" s="4">
        <v>45292</v>
      </c>
      <c r="U151" s="4">
        <v>45657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2321505.61</v>
      </c>
      <c r="AH151" s="5">
        <v>498951.67999999999</v>
      </c>
      <c r="AI151" s="5">
        <v>0</v>
      </c>
      <c r="AJ151" s="5">
        <v>499576.14</v>
      </c>
      <c r="AK151" s="5">
        <v>0</v>
      </c>
      <c r="AL151" s="5">
        <v>0</v>
      </c>
      <c r="AM151" s="5">
        <v>624.46</v>
      </c>
      <c r="AN151" s="5">
        <v>498951.67999999999</v>
      </c>
      <c r="AO151" s="1" t="s">
        <v>1177</v>
      </c>
    </row>
    <row r="152" spans="1:41" x14ac:dyDescent="0.25">
      <c r="A152" s="1">
        <f t="shared" si="3"/>
        <v>136</v>
      </c>
      <c r="B152" s="1" t="s">
        <v>348</v>
      </c>
      <c r="C152" s="1" t="s">
        <v>122</v>
      </c>
      <c r="D152" s="1" t="s">
        <v>735</v>
      </c>
      <c r="E152" s="4">
        <v>45292</v>
      </c>
      <c r="F152" s="4">
        <v>45657</v>
      </c>
      <c r="H152" s="5">
        <v>2263873.37</v>
      </c>
      <c r="I152" s="5">
        <v>90000</v>
      </c>
      <c r="J152" s="5">
        <v>36750</v>
      </c>
      <c r="K152" s="5">
        <v>48500</v>
      </c>
      <c r="L152" s="5">
        <v>0</v>
      </c>
      <c r="M152" s="5">
        <v>175250</v>
      </c>
      <c r="N152" s="5">
        <v>1664000</v>
      </c>
      <c r="O152" s="5">
        <v>52708.33</v>
      </c>
      <c r="P152" s="5">
        <v>371915.04</v>
      </c>
      <c r="Q152" s="5">
        <v>2088623.37</v>
      </c>
      <c r="R152" s="1" t="s">
        <v>792</v>
      </c>
      <c r="S152" s="1" t="s">
        <v>735</v>
      </c>
      <c r="T152" s="4">
        <v>45292</v>
      </c>
      <c r="U152" s="4">
        <v>45657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2088623.37</v>
      </c>
      <c r="AH152" s="5">
        <v>429087.01</v>
      </c>
      <c r="AI152" s="5">
        <v>0</v>
      </c>
      <c r="AJ152" s="5">
        <v>442715.69</v>
      </c>
      <c r="AK152" s="5">
        <v>0</v>
      </c>
      <c r="AL152" s="5">
        <v>0</v>
      </c>
      <c r="AM152" s="5">
        <v>13628.68</v>
      </c>
      <c r="AN152" s="5">
        <v>429087.01</v>
      </c>
      <c r="AO152" s="1" t="s">
        <v>1177</v>
      </c>
    </row>
    <row r="153" spans="1:41" x14ac:dyDescent="0.25">
      <c r="A153" s="1">
        <f t="shared" si="3"/>
        <v>137</v>
      </c>
      <c r="B153" s="1" t="s">
        <v>349</v>
      </c>
      <c r="C153" s="1" t="s">
        <v>122</v>
      </c>
      <c r="D153" s="1" t="s">
        <v>735</v>
      </c>
      <c r="E153" s="4">
        <v>45292</v>
      </c>
      <c r="F153" s="4">
        <v>45657</v>
      </c>
      <c r="H153" s="5">
        <v>1145455</v>
      </c>
      <c r="I153" s="5">
        <v>77035</v>
      </c>
      <c r="J153" s="5">
        <v>24000</v>
      </c>
      <c r="K153" s="5">
        <v>41610.5</v>
      </c>
      <c r="L153" s="5">
        <v>0</v>
      </c>
      <c r="M153" s="5">
        <v>142645.5</v>
      </c>
      <c r="N153" s="5">
        <v>882809.5</v>
      </c>
      <c r="O153" s="5">
        <v>0</v>
      </c>
      <c r="P153" s="5">
        <v>120000</v>
      </c>
      <c r="Q153" s="5">
        <v>1002809.5</v>
      </c>
      <c r="R153" s="1" t="s">
        <v>793</v>
      </c>
      <c r="S153" s="1" t="s">
        <v>735</v>
      </c>
      <c r="T153" s="4">
        <v>45292</v>
      </c>
      <c r="U153" s="4">
        <v>45657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1002809.5</v>
      </c>
      <c r="AH153" s="5">
        <v>153202.38</v>
      </c>
      <c r="AI153" s="5">
        <v>0</v>
      </c>
      <c r="AJ153" s="5">
        <v>153201.21</v>
      </c>
      <c r="AK153" s="5">
        <v>0</v>
      </c>
      <c r="AL153" s="5">
        <v>1.1599999999999999</v>
      </c>
      <c r="AM153" s="5">
        <v>0</v>
      </c>
      <c r="AN153" s="5">
        <v>153202.38</v>
      </c>
      <c r="AO153" s="1" t="s">
        <v>1177</v>
      </c>
    </row>
    <row r="154" spans="1:41" x14ac:dyDescent="0.25">
      <c r="A154" s="1">
        <f t="shared" si="3"/>
        <v>138</v>
      </c>
      <c r="B154" s="1" t="s">
        <v>350</v>
      </c>
      <c r="C154" s="1" t="s">
        <v>122</v>
      </c>
      <c r="D154" s="1" t="s">
        <v>735</v>
      </c>
      <c r="E154" s="4">
        <v>45292</v>
      </c>
      <c r="F154" s="4">
        <v>45657</v>
      </c>
      <c r="H154" s="5">
        <v>412312.71</v>
      </c>
      <c r="I154" s="5">
        <v>28670.21</v>
      </c>
      <c r="J154" s="5">
        <v>39600</v>
      </c>
      <c r="K154" s="5">
        <v>26606.02</v>
      </c>
      <c r="L154" s="5">
        <v>0</v>
      </c>
      <c r="M154" s="5">
        <v>94876.23</v>
      </c>
      <c r="N154" s="5">
        <v>317436.48</v>
      </c>
      <c r="O154" s="5">
        <v>0</v>
      </c>
      <c r="P154" s="5">
        <v>0</v>
      </c>
      <c r="Q154" s="5">
        <v>317436.48</v>
      </c>
      <c r="R154" s="1" t="s">
        <v>794</v>
      </c>
      <c r="S154" s="1" t="s">
        <v>735</v>
      </c>
      <c r="T154" s="4">
        <v>45292</v>
      </c>
      <c r="U154" s="4">
        <v>45657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317436.48</v>
      </c>
      <c r="AH154" s="5">
        <v>10115.469999999999</v>
      </c>
      <c r="AI154" s="5">
        <v>0</v>
      </c>
      <c r="AJ154" s="5">
        <v>10114.290000000001</v>
      </c>
      <c r="AK154" s="5">
        <v>0</v>
      </c>
      <c r="AL154" s="5">
        <v>1.18</v>
      </c>
      <c r="AM154" s="5">
        <v>0</v>
      </c>
      <c r="AN154" s="5">
        <v>10115.469999999999</v>
      </c>
      <c r="AO154" s="1" t="s">
        <v>1177</v>
      </c>
    </row>
    <row r="155" spans="1:41" x14ac:dyDescent="0.25">
      <c r="A155" s="1">
        <f t="shared" si="3"/>
        <v>139</v>
      </c>
      <c r="B155" s="1" t="s">
        <v>351</v>
      </c>
      <c r="C155" s="1" t="s">
        <v>122</v>
      </c>
      <c r="D155" s="1" t="s">
        <v>735</v>
      </c>
      <c r="E155" s="4">
        <v>45292</v>
      </c>
      <c r="F155" s="4">
        <v>45657</v>
      </c>
      <c r="H155" s="5">
        <v>993208.1</v>
      </c>
      <c r="I155" s="5">
        <v>69103.710000000006</v>
      </c>
      <c r="J155" s="5">
        <v>39600</v>
      </c>
      <c r="K155" s="5">
        <v>39231.07</v>
      </c>
      <c r="L155" s="5">
        <v>0</v>
      </c>
      <c r="M155" s="5">
        <v>147934.78</v>
      </c>
      <c r="N155" s="5">
        <v>790013.43</v>
      </c>
      <c r="O155" s="5">
        <v>0</v>
      </c>
      <c r="P155" s="5">
        <v>55259.89</v>
      </c>
      <c r="Q155" s="5">
        <v>845273.32</v>
      </c>
      <c r="R155" s="1" t="s">
        <v>795</v>
      </c>
      <c r="S155" s="1" t="s">
        <v>735</v>
      </c>
      <c r="T155" s="4">
        <v>45292</v>
      </c>
      <c r="U155" s="4">
        <v>45657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845273.32</v>
      </c>
      <c r="AH155" s="5">
        <v>113818.33</v>
      </c>
      <c r="AI155" s="5">
        <v>0</v>
      </c>
      <c r="AJ155" s="5">
        <v>114486.16</v>
      </c>
      <c r="AK155" s="5">
        <v>0</v>
      </c>
      <c r="AL155" s="5">
        <v>0</v>
      </c>
      <c r="AM155" s="5">
        <v>667.83</v>
      </c>
      <c r="AN155" s="5">
        <v>113818.33</v>
      </c>
      <c r="AO155" s="1" t="s">
        <v>1177</v>
      </c>
    </row>
    <row r="156" spans="1:41" x14ac:dyDescent="0.25">
      <c r="A156" s="1">
        <f t="shared" si="3"/>
        <v>140</v>
      </c>
      <c r="B156" s="1" t="s">
        <v>352</v>
      </c>
      <c r="C156" s="1" t="s">
        <v>122</v>
      </c>
      <c r="D156" s="1" t="s">
        <v>735</v>
      </c>
      <c r="E156" s="4">
        <v>45292</v>
      </c>
      <c r="F156" s="4">
        <v>45657</v>
      </c>
      <c r="H156" s="5">
        <v>803080.45</v>
      </c>
      <c r="I156" s="5">
        <v>57467.75</v>
      </c>
      <c r="J156" s="5">
        <v>0</v>
      </c>
      <c r="K156" s="5">
        <v>35740.300000000003</v>
      </c>
      <c r="L156" s="5">
        <v>0</v>
      </c>
      <c r="M156" s="5">
        <v>93208.05</v>
      </c>
      <c r="N156" s="5">
        <v>653872.75</v>
      </c>
      <c r="O156" s="5">
        <v>0</v>
      </c>
      <c r="P156" s="5">
        <v>55999.65</v>
      </c>
      <c r="Q156" s="5">
        <v>709872.4</v>
      </c>
      <c r="R156" s="1" t="s">
        <v>796</v>
      </c>
      <c r="S156" s="1" t="s">
        <v>735</v>
      </c>
      <c r="T156" s="4">
        <v>45292</v>
      </c>
      <c r="U156" s="4">
        <v>45657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709872.4</v>
      </c>
      <c r="AH156" s="5">
        <v>84474.48</v>
      </c>
      <c r="AI156" s="5">
        <v>0</v>
      </c>
      <c r="AJ156" s="5">
        <v>84607.039999999994</v>
      </c>
      <c r="AK156" s="5">
        <v>0</v>
      </c>
      <c r="AL156" s="5">
        <v>0</v>
      </c>
      <c r="AM156" s="5">
        <v>132.56</v>
      </c>
      <c r="AN156" s="5">
        <v>84474.48</v>
      </c>
      <c r="AO156" s="1" t="s">
        <v>1177</v>
      </c>
    </row>
    <row r="157" spans="1:41" x14ac:dyDescent="0.25">
      <c r="A157" s="1">
        <f t="shared" si="3"/>
        <v>141</v>
      </c>
      <c r="B157" s="1" t="s">
        <v>353</v>
      </c>
      <c r="C157" s="1" t="s">
        <v>122</v>
      </c>
      <c r="D157" s="1" t="s">
        <v>735</v>
      </c>
      <c r="E157" s="4">
        <v>45292</v>
      </c>
      <c r="F157" s="4">
        <v>45657</v>
      </c>
      <c r="H157" s="5">
        <v>1552472.13</v>
      </c>
      <c r="I157" s="5">
        <v>90000</v>
      </c>
      <c r="J157" s="5">
        <v>24000</v>
      </c>
      <c r="K157" s="5">
        <v>48500</v>
      </c>
      <c r="L157" s="5">
        <v>0</v>
      </c>
      <c r="M157" s="5">
        <v>162500</v>
      </c>
      <c r="N157" s="5">
        <v>1168500</v>
      </c>
      <c r="O157" s="5">
        <v>11416.67</v>
      </c>
      <c r="P157" s="5">
        <v>210055.46</v>
      </c>
      <c r="Q157" s="5">
        <v>1389972.13</v>
      </c>
      <c r="R157" s="1" t="s">
        <v>797</v>
      </c>
      <c r="S157" s="1" t="s">
        <v>735</v>
      </c>
      <c r="T157" s="4">
        <v>45292</v>
      </c>
      <c r="U157" s="4">
        <v>45657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1389972.13</v>
      </c>
      <c r="AH157" s="5">
        <v>249993.03</v>
      </c>
      <c r="AI157" s="5">
        <v>0</v>
      </c>
      <c r="AJ157" s="5">
        <v>262175.71999999997</v>
      </c>
      <c r="AK157" s="5">
        <v>0</v>
      </c>
      <c r="AL157" s="5">
        <v>0</v>
      </c>
      <c r="AM157" s="5">
        <v>12182.69</v>
      </c>
      <c r="AN157" s="5">
        <v>249993.03</v>
      </c>
      <c r="AO157" s="1" t="s">
        <v>1177</v>
      </c>
    </row>
    <row r="158" spans="1:41" x14ac:dyDescent="0.25">
      <c r="A158" s="1">
        <f t="shared" si="3"/>
        <v>142</v>
      </c>
      <c r="B158" s="1" t="s">
        <v>354</v>
      </c>
      <c r="C158" s="1" t="s">
        <v>122</v>
      </c>
      <c r="D158" s="1" t="s">
        <v>735</v>
      </c>
      <c r="E158" s="4">
        <v>45292</v>
      </c>
      <c r="F158" s="4">
        <v>45657</v>
      </c>
      <c r="H158" s="5">
        <v>2700216.67</v>
      </c>
      <c r="I158" s="5">
        <v>90000</v>
      </c>
      <c r="J158" s="5">
        <v>24000</v>
      </c>
      <c r="K158" s="5">
        <v>48500</v>
      </c>
      <c r="L158" s="5">
        <v>0</v>
      </c>
      <c r="M158" s="5">
        <v>162500</v>
      </c>
      <c r="N158" s="5">
        <v>2327700</v>
      </c>
      <c r="O158" s="5">
        <v>108016.67</v>
      </c>
      <c r="P158" s="5">
        <v>102000</v>
      </c>
      <c r="Q158" s="5">
        <v>2537716.67</v>
      </c>
      <c r="R158" s="1" t="s">
        <v>798</v>
      </c>
      <c r="S158" s="1" t="s">
        <v>735</v>
      </c>
      <c r="T158" s="4">
        <v>45292</v>
      </c>
      <c r="U158" s="4">
        <v>45657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2537716.67</v>
      </c>
      <c r="AH158" s="5">
        <v>563815</v>
      </c>
      <c r="AI158" s="5">
        <v>0</v>
      </c>
      <c r="AJ158" s="5">
        <v>563814.19999999995</v>
      </c>
      <c r="AK158" s="5">
        <v>0</v>
      </c>
      <c r="AL158" s="5">
        <v>0.8</v>
      </c>
      <c r="AM158" s="5">
        <v>0</v>
      </c>
      <c r="AN158" s="5">
        <v>563815</v>
      </c>
      <c r="AO158" s="1" t="s">
        <v>1177</v>
      </c>
    </row>
    <row r="159" spans="1:41" x14ac:dyDescent="0.25">
      <c r="A159" s="1">
        <f t="shared" ref="A159:A222" si="4">A158+1</f>
        <v>143</v>
      </c>
      <c r="B159" s="1" t="s">
        <v>355</v>
      </c>
      <c r="C159" s="1" t="s">
        <v>122</v>
      </c>
      <c r="D159" s="1" t="s">
        <v>735</v>
      </c>
      <c r="E159" s="4">
        <v>45292</v>
      </c>
      <c r="F159" s="4">
        <v>45657</v>
      </c>
      <c r="H159" s="5">
        <v>3452041.67</v>
      </c>
      <c r="I159" s="5">
        <v>90000</v>
      </c>
      <c r="J159" s="5">
        <v>36000</v>
      </c>
      <c r="K159" s="5">
        <v>48500</v>
      </c>
      <c r="L159" s="5">
        <v>0</v>
      </c>
      <c r="M159" s="5">
        <v>174500</v>
      </c>
      <c r="N159" s="5">
        <v>2994000</v>
      </c>
      <c r="O159" s="5">
        <v>163541.67000000001</v>
      </c>
      <c r="P159" s="5">
        <v>120000</v>
      </c>
      <c r="Q159" s="5">
        <v>3277541.67</v>
      </c>
      <c r="R159" s="1" t="s">
        <v>799</v>
      </c>
      <c r="S159" s="1" t="s">
        <v>735</v>
      </c>
      <c r="T159" s="4">
        <v>45292</v>
      </c>
      <c r="U159" s="4">
        <v>45657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3277541.67</v>
      </c>
      <c r="AH159" s="5">
        <v>785762.5</v>
      </c>
      <c r="AI159" s="5">
        <v>0</v>
      </c>
      <c r="AJ159" s="5">
        <v>785761.7</v>
      </c>
      <c r="AK159" s="5">
        <v>0</v>
      </c>
      <c r="AL159" s="5">
        <v>0.8</v>
      </c>
      <c r="AM159" s="5">
        <v>0</v>
      </c>
      <c r="AN159" s="5">
        <v>785762.5</v>
      </c>
      <c r="AO159" s="1" t="s">
        <v>1177</v>
      </c>
    </row>
    <row r="160" spans="1:41" x14ac:dyDescent="0.25">
      <c r="A160" s="1">
        <f t="shared" si="4"/>
        <v>144</v>
      </c>
      <c r="B160" s="1" t="s">
        <v>356</v>
      </c>
      <c r="C160" s="1" t="s">
        <v>122</v>
      </c>
      <c r="D160" s="1" t="s">
        <v>735</v>
      </c>
      <c r="E160" s="4">
        <v>45292</v>
      </c>
      <c r="F160" s="4">
        <v>45657</v>
      </c>
      <c r="H160" s="5">
        <v>220860.36</v>
      </c>
      <c r="I160" s="5">
        <v>13184.17</v>
      </c>
      <c r="J160" s="5">
        <v>39600</v>
      </c>
      <c r="K160" s="5">
        <v>14287.75</v>
      </c>
      <c r="L160" s="5">
        <v>0</v>
      </c>
      <c r="M160" s="5">
        <v>67071.92</v>
      </c>
      <c r="N160" s="5">
        <v>143922.25</v>
      </c>
      <c r="O160" s="5">
        <v>0</v>
      </c>
      <c r="P160" s="5">
        <v>9866.19</v>
      </c>
      <c r="Q160" s="5">
        <v>153788.44</v>
      </c>
      <c r="R160" s="1" t="s">
        <v>800</v>
      </c>
      <c r="S160" s="1" t="s">
        <v>735</v>
      </c>
      <c r="T160" s="4">
        <v>45292</v>
      </c>
      <c r="U160" s="4">
        <v>45657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153788.44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1" t="s">
        <v>1177</v>
      </c>
    </row>
    <row r="161" spans="1:41" x14ac:dyDescent="0.25">
      <c r="A161" s="1">
        <f t="shared" si="4"/>
        <v>145</v>
      </c>
      <c r="B161" s="1" t="s">
        <v>357</v>
      </c>
      <c r="C161" s="1" t="s">
        <v>122</v>
      </c>
      <c r="D161" s="1" t="s">
        <v>735</v>
      </c>
      <c r="E161" s="4">
        <v>45292</v>
      </c>
      <c r="F161" s="4">
        <v>45657</v>
      </c>
      <c r="H161" s="5">
        <v>804676.75</v>
      </c>
      <c r="I161" s="5">
        <v>20190.63</v>
      </c>
      <c r="J161" s="5">
        <v>152870</v>
      </c>
      <c r="K161" s="5">
        <v>24557.15</v>
      </c>
      <c r="L161" s="5">
        <v>0</v>
      </c>
      <c r="M161" s="5">
        <v>197617.78</v>
      </c>
      <c r="N161" s="5">
        <v>217730.35</v>
      </c>
      <c r="O161" s="5">
        <v>0</v>
      </c>
      <c r="P161" s="5">
        <v>389328.62</v>
      </c>
      <c r="Q161" s="5">
        <v>607058.97</v>
      </c>
      <c r="R161" s="1" t="s">
        <v>801</v>
      </c>
      <c r="S161" s="1" t="s">
        <v>735</v>
      </c>
      <c r="T161" s="4">
        <v>45292</v>
      </c>
      <c r="U161" s="4">
        <v>45657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607058.97</v>
      </c>
      <c r="AH161" s="5">
        <v>63911.79</v>
      </c>
      <c r="AI161" s="5">
        <v>0</v>
      </c>
      <c r="AJ161" s="5">
        <v>64574.05</v>
      </c>
      <c r="AK161" s="5">
        <v>0</v>
      </c>
      <c r="AL161" s="5">
        <v>0</v>
      </c>
      <c r="AM161" s="5">
        <v>662.26</v>
      </c>
      <c r="AN161" s="5">
        <v>63911.79</v>
      </c>
      <c r="AO161" s="1" t="s">
        <v>1177</v>
      </c>
    </row>
    <row r="162" spans="1:41" x14ac:dyDescent="0.25">
      <c r="A162" s="1">
        <f t="shared" si="4"/>
        <v>146</v>
      </c>
      <c r="B162" s="1" t="s">
        <v>358</v>
      </c>
      <c r="C162" s="1" t="s">
        <v>122</v>
      </c>
      <c r="D162" s="1" t="s">
        <v>735</v>
      </c>
      <c r="E162" s="4">
        <v>45292</v>
      </c>
      <c r="F162" s="4">
        <v>45657</v>
      </c>
      <c r="H162" s="5">
        <v>1547463.52</v>
      </c>
      <c r="I162" s="5">
        <v>90000</v>
      </c>
      <c r="J162" s="5">
        <v>18000</v>
      </c>
      <c r="K162" s="5">
        <v>48500</v>
      </c>
      <c r="L162" s="5">
        <v>0</v>
      </c>
      <c r="M162" s="5">
        <v>156500</v>
      </c>
      <c r="N162" s="5">
        <v>1185500</v>
      </c>
      <c r="O162" s="5">
        <v>12833.33</v>
      </c>
      <c r="P162" s="5">
        <v>192630.19</v>
      </c>
      <c r="Q162" s="5">
        <v>1390963.52</v>
      </c>
      <c r="R162" s="1" t="s">
        <v>802</v>
      </c>
      <c r="S162" s="1" t="s">
        <v>735</v>
      </c>
      <c r="T162" s="4">
        <v>45292</v>
      </c>
      <c r="U162" s="4">
        <v>45657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1390963.52</v>
      </c>
      <c r="AH162" s="5">
        <v>250240.88</v>
      </c>
      <c r="AI162" s="5">
        <v>0</v>
      </c>
      <c r="AJ162" s="5">
        <v>259523.79</v>
      </c>
      <c r="AK162" s="5">
        <v>0</v>
      </c>
      <c r="AL162" s="5">
        <v>0</v>
      </c>
      <c r="AM162" s="5">
        <v>9282.91</v>
      </c>
      <c r="AN162" s="5">
        <v>250240.88</v>
      </c>
      <c r="AO162" s="1" t="s">
        <v>1177</v>
      </c>
    </row>
    <row r="163" spans="1:41" x14ac:dyDescent="0.25">
      <c r="A163" s="1">
        <f t="shared" si="4"/>
        <v>147</v>
      </c>
      <c r="B163" s="1" t="s">
        <v>359</v>
      </c>
      <c r="C163" s="1" t="s">
        <v>122</v>
      </c>
      <c r="D163" s="1" t="s">
        <v>735</v>
      </c>
      <c r="E163" s="4">
        <v>45292</v>
      </c>
      <c r="F163" s="4">
        <v>45657</v>
      </c>
      <c r="H163" s="5">
        <v>692060.84</v>
      </c>
      <c r="I163" s="5">
        <v>46290.63</v>
      </c>
      <c r="J163" s="5">
        <v>39600</v>
      </c>
      <c r="K163" s="5">
        <v>32165.55</v>
      </c>
      <c r="L163" s="5">
        <v>0</v>
      </c>
      <c r="M163" s="5">
        <v>118056.18</v>
      </c>
      <c r="N163" s="5">
        <v>523321.95</v>
      </c>
      <c r="O163" s="5">
        <v>0</v>
      </c>
      <c r="P163" s="5">
        <v>50682.71</v>
      </c>
      <c r="Q163" s="5">
        <v>574004.66</v>
      </c>
      <c r="R163" s="1" t="s">
        <v>803</v>
      </c>
      <c r="S163" s="1" t="s">
        <v>735</v>
      </c>
      <c r="T163" s="4">
        <v>45292</v>
      </c>
      <c r="U163" s="4">
        <v>45657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574004.66</v>
      </c>
      <c r="AH163" s="5">
        <v>57300.93</v>
      </c>
      <c r="AI163" s="5">
        <v>0</v>
      </c>
      <c r="AJ163" s="5">
        <v>57299.360000000001</v>
      </c>
      <c r="AK163" s="5">
        <v>0</v>
      </c>
      <c r="AL163" s="5">
        <v>1.57</v>
      </c>
      <c r="AM163" s="5">
        <v>0</v>
      </c>
      <c r="AN163" s="5">
        <v>57300.93</v>
      </c>
      <c r="AO163" s="1" t="s">
        <v>1177</v>
      </c>
    </row>
    <row r="164" spans="1:41" x14ac:dyDescent="0.25">
      <c r="A164" s="1">
        <f t="shared" si="4"/>
        <v>148</v>
      </c>
      <c r="B164" s="1" t="s">
        <v>360</v>
      </c>
      <c r="C164" s="1" t="s">
        <v>122</v>
      </c>
      <c r="D164" s="1" t="s">
        <v>735</v>
      </c>
      <c r="E164" s="4">
        <v>45292</v>
      </c>
      <c r="F164" s="4">
        <v>45657</v>
      </c>
      <c r="H164" s="5">
        <v>3488015.18</v>
      </c>
      <c r="I164" s="5">
        <v>90000</v>
      </c>
      <c r="J164" s="5">
        <v>36000</v>
      </c>
      <c r="K164" s="5">
        <v>48500</v>
      </c>
      <c r="L164" s="5">
        <v>0</v>
      </c>
      <c r="M164" s="5">
        <v>174500</v>
      </c>
      <c r="N164" s="5">
        <v>3043821.7</v>
      </c>
      <c r="O164" s="5">
        <v>167693.48000000001</v>
      </c>
      <c r="P164" s="5">
        <v>102000</v>
      </c>
      <c r="Q164" s="5">
        <v>3313515.18</v>
      </c>
      <c r="R164" s="1" t="s">
        <v>804</v>
      </c>
      <c r="S164" s="1" t="s">
        <v>735</v>
      </c>
      <c r="T164" s="4">
        <v>45292</v>
      </c>
      <c r="U164" s="4">
        <v>45657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3313515.18</v>
      </c>
      <c r="AH164" s="5">
        <v>796554.55</v>
      </c>
      <c r="AI164" s="5">
        <v>0</v>
      </c>
      <c r="AJ164" s="5">
        <v>796553.76</v>
      </c>
      <c r="AK164" s="5">
        <v>0</v>
      </c>
      <c r="AL164" s="5">
        <v>0.79</v>
      </c>
      <c r="AM164" s="5">
        <v>0</v>
      </c>
      <c r="AN164" s="5">
        <v>796554.55</v>
      </c>
      <c r="AO164" s="1" t="s">
        <v>1177</v>
      </c>
    </row>
    <row r="165" spans="1:41" x14ac:dyDescent="0.25">
      <c r="A165" s="1">
        <f t="shared" si="4"/>
        <v>149</v>
      </c>
      <c r="B165" s="1" t="s">
        <v>361</v>
      </c>
      <c r="C165" s="1" t="s">
        <v>122</v>
      </c>
      <c r="D165" s="1" t="s">
        <v>735</v>
      </c>
      <c r="E165" s="4">
        <v>45292</v>
      </c>
      <c r="F165" s="4">
        <v>45657</v>
      </c>
      <c r="H165" s="5">
        <v>1752998.75</v>
      </c>
      <c r="I165" s="5">
        <v>90000</v>
      </c>
      <c r="J165" s="5">
        <v>24000</v>
      </c>
      <c r="K165" s="5">
        <v>48500</v>
      </c>
      <c r="L165" s="5">
        <v>0</v>
      </c>
      <c r="M165" s="5">
        <v>162500</v>
      </c>
      <c r="N165" s="5">
        <v>1382545</v>
      </c>
      <c r="O165" s="5">
        <v>29253.75</v>
      </c>
      <c r="P165" s="5">
        <v>178700</v>
      </c>
      <c r="Q165" s="5">
        <v>1590498.75</v>
      </c>
      <c r="R165" s="1" t="s">
        <v>805</v>
      </c>
      <c r="S165" s="1" t="s">
        <v>735</v>
      </c>
      <c r="T165" s="4">
        <v>45292</v>
      </c>
      <c r="U165" s="4">
        <v>45657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1590498.75</v>
      </c>
      <c r="AH165" s="5">
        <v>300124.69</v>
      </c>
      <c r="AI165" s="5">
        <v>0</v>
      </c>
      <c r="AJ165" s="5">
        <v>315492.49</v>
      </c>
      <c r="AK165" s="5">
        <v>0</v>
      </c>
      <c r="AL165" s="5">
        <v>0</v>
      </c>
      <c r="AM165" s="5">
        <v>15367.8</v>
      </c>
      <c r="AN165" s="5">
        <v>300124.69</v>
      </c>
      <c r="AO165" s="1" t="s">
        <v>1177</v>
      </c>
    </row>
    <row r="166" spans="1:41" x14ac:dyDescent="0.25">
      <c r="A166" s="1">
        <f t="shared" si="4"/>
        <v>150</v>
      </c>
      <c r="B166" s="1" t="s">
        <v>362</v>
      </c>
      <c r="C166" s="1" t="s">
        <v>122</v>
      </c>
      <c r="D166" s="1" t="s">
        <v>735</v>
      </c>
      <c r="E166" s="4">
        <v>45292</v>
      </c>
      <c r="F166" s="4">
        <v>45657</v>
      </c>
      <c r="H166" s="5">
        <v>707556.88</v>
      </c>
      <c r="I166" s="5">
        <v>51865.91</v>
      </c>
      <c r="J166" s="5">
        <v>33300</v>
      </c>
      <c r="K166" s="5">
        <v>34119.39</v>
      </c>
      <c r="L166" s="5">
        <v>0</v>
      </c>
      <c r="M166" s="5">
        <v>119285.3</v>
      </c>
      <c r="N166" s="5">
        <v>588271.57999999996</v>
      </c>
      <c r="O166" s="5">
        <v>0</v>
      </c>
      <c r="P166" s="5">
        <v>0</v>
      </c>
      <c r="Q166" s="5">
        <v>588271.57999999996</v>
      </c>
      <c r="R166" s="1" t="s">
        <v>806</v>
      </c>
      <c r="S166" s="1" t="s">
        <v>735</v>
      </c>
      <c r="T166" s="4">
        <v>45292</v>
      </c>
      <c r="U166" s="4">
        <v>45657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588271.57999999996</v>
      </c>
      <c r="AH166" s="5">
        <v>60154.32</v>
      </c>
      <c r="AI166" s="5">
        <v>0</v>
      </c>
      <c r="AJ166" s="5">
        <v>60152.75</v>
      </c>
      <c r="AK166" s="5">
        <v>0</v>
      </c>
      <c r="AL166" s="5">
        <v>1.57</v>
      </c>
      <c r="AM166" s="5">
        <v>0</v>
      </c>
      <c r="AN166" s="5">
        <v>60154.32</v>
      </c>
      <c r="AO166" s="1" t="s">
        <v>1177</v>
      </c>
    </row>
    <row r="167" spans="1:41" x14ac:dyDescent="0.25">
      <c r="A167" s="1">
        <f t="shared" si="4"/>
        <v>151</v>
      </c>
      <c r="B167" s="1" t="s">
        <v>363</v>
      </c>
      <c r="C167" s="1" t="s">
        <v>122</v>
      </c>
      <c r="D167" s="1" t="s">
        <v>735</v>
      </c>
      <c r="E167" s="4">
        <v>45292</v>
      </c>
      <c r="F167" s="4">
        <v>45657</v>
      </c>
      <c r="H167" s="5">
        <v>1441228.3</v>
      </c>
      <c r="I167" s="5">
        <v>90000</v>
      </c>
      <c r="J167" s="5">
        <v>39600</v>
      </c>
      <c r="K167" s="5">
        <v>48500</v>
      </c>
      <c r="L167" s="5">
        <v>0</v>
      </c>
      <c r="M167" s="5">
        <v>178100</v>
      </c>
      <c r="N167" s="5">
        <v>1206347</v>
      </c>
      <c r="O167" s="5">
        <v>14570.58</v>
      </c>
      <c r="P167" s="5">
        <v>42210.720000000001</v>
      </c>
      <c r="Q167" s="5">
        <v>1263128.3</v>
      </c>
      <c r="R167" s="1" t="s">
        <v>807</v>
      </c>
      <c r="S167" s="1" t="s">
        <v>735</v>
      </c>
      <c r="T167" s="4">
        <v>45292</v>
      </c>
      <c r="U167" s="4">
        <v>45657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1263128.3</v>
      </c>
      <c r="AH167" s="5">
        <v>218282.08</v>
      </c>
      <c r="AI167" s="5">
        <v>0</v>
      </c>
      <c r="AJ167" s="5">
        <v>218280.88</v>
      </c>
      <c r="AK167" s="5">
        <v>0</v>
      </c>
      <c r="AL167" s="5">
        <v>1.2</v>
      </c>
      <c r="AM167" s="5">
        <v>0</v>
      </c>
      <c r="AN167" s="5">
        <v>218282.08</v>
      </c>
      <c r="AO167" s="1" t="s">
        <v>1177</v>
      </c>
    </row>
    <row r="168" spans="1:41" x14ac:dyDescent="0.25">
      <c r="A168" s="1">
        <f t="shared" si="4"/>
        <v>152</v>
      </c>
      <c r="B168" s="1" t="s">
        <v>364</v>
      </c>
      <c r="C168" s="1" t="s">
        <v>122</v>
      </c>
      <c r="D168" s="1" t="s">
        <v>735</v>
      </c>
      <c r="E168" s="4">
        <v>45292</v>
      </c>
      <c r="F168" s="4">
        <v>45657</v>
      </c>
      <c r="H168" s="5">
        <v>563949.6</v>
      </c>
      <c r="I168" s="5">
        <v>31055.67</v>
      </c>
      <c r="J168" s="5">
        <v>39600</v>
      </c>
      <c r="K168" s="5">
        <v>27816.7</v>
      </c>
      <c r="L168" s="5">
        <v>0</v>
      </c>
      <c r="M168" s="5">
        <v>98472.37</v>
      </c>
      <c r="N168" s="5">
        <v>344851.3</v>
      </c>
      <c r="O168" s="5">
        <v>0</v>
      </c>
      <c r="P168" s="5">
        <v>120625.93</v>
      </c>
      <c r="Q168" s="5">
        <v>465477.23</v>
      </c>
      <c r="R168" s="1" t="s">
        <v>808</v>
      </c>
      <c r="S168" s="1" t="s">
        <v>735</v>
      </c>
      <c r="T168" s="4">
        <v>45292</v>
      </c>
      <c r="U168" s="4">
        <v>45657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465477.23</v>
      </c>
      <c r="AH168" s="5">
        <v>35595.449999999997</v>
      </c>
      <c r="AI168" s="5">
        <v>0</v>
      </c>
      <c r="AJ168" s="5">
        <v>35224.379999999997</v>
      </c>
      <c r="AK168" s="5">
        <v>0</v>
      </c>
      <c r="AL168" s="5">
        <v>371.07</v>
      </c>
      <c r="AM168" s="5">
        <v>0</v>
      </c>
      <c r="AN168" s="5">
        <v>35595.449999999997</v>
      </c>
      <c r="AO168" s="1" t="s">
        <v>1177</v>
      </c>
    </row>
    <row r="169" spans="1:41" x14ac:dyDescent="0.25">
      <c r="A169" s="1">
        <f t="shared" si="4"/>
        <v>153</v>
      </c>
      <c r="B169" s="1" t="s">
        <v>365</v>
      </c>
      <c r="C169" s="1" t="s">
        <v>122</v>
      </c>
      <c r="D169" s="1" t="s">
        <v>735</v>
      </c>
      <c r="E169" s="4">
        <v>45292</v>
      </c>
      <c r="F169" s="4">
        <v>45657</v>
      </c>
      <c r="H169" s="5">
        <v>1843110.57</v>
      </c>
      <c r="I169" s="5">
        <v>90000</v>
      </c>
      <c r="J169" s="5">
        <v>24000</v>
      </c>
      <c r="K169" s="5">
        <v>48500</v>
      </c>
      <c r="L169" s="5">
        <v>0</v>
      </c>
      <c r="M169" s="5">
        <v>162500</v>
      </c>
      <c r="N169" s="5">
        <v>1530986.68</v>
      </c>
      <c r="O169" s="5">
        <v>41623.89</v>
      </c>
      <c r="P169" s="5">
        <v>108000</v>
      </c>
      <c r="Q169" s="5">
        <v>1680610.57</v>
      </c>
      <c r="R169" s="1" t="s">
        <v>809</v>
      </c>
      <c r="S169" s="1" t="s">
        <v>735</v>
      </c>
      <c r="T169" s="4">
        <v>45292</v>
      </c>
      <c r="U169" s="4">
        <v>45657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1680610.57</v>
      </c>
      <c r="AH169" s="5">
        <v>322652.64</v>
      </c>
      <c r="AI169" s="5">
        <v>0</v>
      </c>
      <c r="AJ169" s="5">
        <v>322651.44</v>
      </c>
      <c r="AK169" s="5">
        <v>0</v>
      </c>
      <c r="AL169" s="5">
        <v>1.2</v>
      </c>
      <c r="AM169" s="5">
        <v>0</v>
      </c>
      <c r="AN169" s="5">
        <v>322652.64</v>
      </c>
      <c r="AO169" s="1" t="s">
        <v>1177</v>
      </c>
    </row>
    <row r="170" spans="1:41" x14ac:dyDescent="0.25">
      <c r="A170" s="1">
        <f t="shared" si="4"/>
        <v>154</v>
      </c>
      <c r="B170" s="1" t="s">
        <v>366</v>
      </c>
      <c r="C170" s="1" t="s">
        <v>122</v>
      </c>
      <c r="D170" s="1" t="s">
        <v>735</v>
      </c>
      <c r="E170" s="4">
        <v>45292</v>
      </c>
      <c r="F170" s="4">
        <v>45657</v>
      </c>
      <c r="H170" s="5">
        <v>435092</v>
      </c>
      <c r="I170" s="5">
        <v>32084</v>
      </c>
      <c r="J170" s="5">
        <v>18000</v>
      </c>
      <c r="K170" s="5">
        <v>28125.200000000001</v>
      </c>
      <c r="L170" s="5">
        <v>0</v>
      </c>
      <c r="M170" s="5">
        <v>78209.2</v>
      </c>
      <c r="N170" s="5">
        <v>356882.8</v>
      </c>
      <c r="O170" s="5">
        <v>0</v>
      </c>
      <c r="P170" s="5">
        <v>0</v>
      </c>
      <c r="Q170" s="5">
        <v>356882.8</v>
      </c>
      <c r="R170" s="1" t="s">
        <v>810</v>
      </c>
      <c r="S170" s="1" t="s">
        <v>735</v>
      </c>
      <c r="T170" s="4">
        <v>45292</v>
      </c>
      <c r="U170" s="4">
        <v>45657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356882.8</v>
      </c>
      <c r="AH170" s="5">
        <v>16032.42</v>
      </c>
      <c r="AI170" s="5">
        <v>0</v>
      </c>
      <c r="AJ170" s="5">
        <v>16031.26</v>
      </c>
      <c r="AK170" s="5">
        <v>0</v>
      </c>
      <c r="AL170" s="5">
        <v>1.1599999999999999</v>
      </c>
      <c r="AM170" s="5">
        <v>0</v>
      </c>
      <c r="AN170" s="5">
        <v>16032.42</v>
      </c>
      <c r="AO170" s="1" t="s">
        <v>1177</v>
      </c>
    </row>
    <row r="171" spans="1:41" x14ac:dyDescent="0.25">
      <c r="A171" s="1">
        <f t="shared" si="4"/>
        <v>155</v>
      </c>
      <c r="B171" s="1" t="s">
        <v>367</v>
      </c>
      <c r="C171" s="1" t="s">
        <v>122</v>
      </c>
      <c r="D171" s="1" t="s">
        <v>735</v>
      </c>
      <c r="E171" s="4">
        <v>45292</v>
      </c>
      <c r="F171" s="4">
        <v>45657</v>
      </c>
      <c r="H171" s="5">
        <v>677553.77</v>
      </c>
      <c r="I171" s="5">
        <v>50964.2</v>
      </c>
      <c r="J171" s="5">
        <v>12000</v>
      </c>
      <c r="K171" s="5">
        <v>33789.26</v>
      </c>
      <c r="L171" s="5">
        <v>0</v>
      </c>
      <c r="M171" s="5">
        <v>96753.46</v>
      </c>
      <c r="N171" s="5">
        <v>577781.14</v>
      </c>
      <c r="O171" s="5">
        <v>0</v>
      </c>
      <c r="P171" s="5">
        <v>3019.17</v>
      </c>
      <c r="Q171" s="5">
        <v>580800.31000000006</v>
      </c>
      <c r="R171" s="1" t="s">
        <v>811</v>
      </c>
      <c r="S171" s="1" t="s">
        <v>735</v>
      </c>
      <c r="T171" s="4">
        <v>45292</v>
      </c>
      <c r="U171" s="4">
        <v>45657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580800.31000000006</v>
      </c>
      <c r="AH171" s="5">
        <v>58660.06</v>
      </c>
      <c r="AI171" s="5">
        <v>0</v>
      </c>
      <c r="AJ171" s="5">
        <v>58658.39</v>
      </c>
      <c r="AK171" s="5">
        <v>0</v>
      </c>
      <c r="AL171" s="5">
        <v>1.67</v>
      </c>
      <c r="AM171" s="5">
        <v>0</v>
      </c>
      <c r="AN171" s="5">
        <v>58660.06</v>
      </c>
      <c r="AO171" s="1" t="s">
        <v>1177</v>
      </c>
    </row>
    <row r="172" spans="1:41" x14ac:dyDescent="0.25">
      <c r="A172" s="1">
        <f t="shared" si="4"/>
        <v>156</v>
      </c>
      <c r="B172" s="1" t="s">
        <v>368</v>
      </c>
      <c r="C172" s="1" t="s">
        <v>122</v>
      </c>
      <c r="D172" s="1" t="s">
        <v>735</v>
      </c>
      <c r="E172" s="4">
        <v>45292</v>
      </c>
      <c r="F172" s="4">
        <v>45657</v>
      </c>
      <c r="H172" s="5">
        <v>1087092.8799999999</v>
      </c>
      <c r="I172" s="5">
        <v>67447.039999999994</v>
      </c>
      <c r="J172" s="5">
        <v>39600</v>
      </c>
      <c r="K172" s="5">
        <v>38734.07</v>
      </c>
      <c r="L172" s="5">
        <v>0</v>
      </c>
      <c r="M172" s="5">
        <v>145781.10999999999</v>
      </c>
      <c r="N172" s="5">
        <v>770630.43</v>
      </c>
      <c r="O172" s="5">
        <v>0</v>
      </c>
      <c r="P172" s="5">
        <v>170681.34</v>
      </c>
      <c r="Q172" s="5">
        <v>941311.77</v>
      </c>
      <c r="R172" s="1" t="s">
        <v>812</v>
      </c>
      <c r="S172" s="1" t="s">
        <v>735</v>
      </c>
      <c r="T172" s="4">
        <v>45292</v>
      </c>
      <c r="U172" s="4">
        <v>45657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941311.77</v>
      </c>
      <c r="AH172" s="5">
        <v>137827.94</v>
      </c>
      <c r="AI172" s="5">
        <v>0</v>
      </c>
      <c r="AJ172" s="5">
        <v>138514.43</v>
      </c>
      <c r="AK172" s="5">
        <v>0</v>
      </c>
      <c r="AL172" s="5">
        <v>0</v>
      </c>
      <c r="AM172" s="5">
        <v>686.49</v>
      </c>
      <c r="AN172" s="5">
        <v>137827.94</v>
      </c>
      <c r="AO172" s="1" t="s">
        <v>1177</v>
      </c>
    </row>
    <row r="173" spans="1:41" x14ac:dyDescent="0.25">
      <c r="A173" s="1">
        <f t="shared" si="4"/>
        <v>157</v>
      </c>
      <c r="B173" s="1" t="s">
        <v>369</v>
      </c>
      <c r="C173" s="1" t="s">
        <v>122</v>
      </c>
      <c r="D173" s="1" t="s">
        <v>735</v>
      </c>
      <c r="E173" s="4">
        <v>45292</v>
      </c>
      <c r="F173" s="4">
        <v>45657</v>
      </c>
      <c r="H173" s="5">
        <v>1333119.77</v>
      </c>
      <c r="I173" s="5">
        <v>90000</v>
      </c>
      <c r="J173" s="5">
        <v>28550</v>
      </c>
      <c r="K173" s="5">
        <v>46935.05</v>
      </c>
      <c r="L173" s="5">
        <v>0</v>
      </c>
      <c r="M173" s="5">
        <v>165485.04999999999</v>
      </c>
      <c r="N173" s="5">
        <v>1085936.74</v>
      </c>
      <c r="O173" s="5">
        <v>4405.9799999999996</v>
      </c>
      <c r="P173" s="5">
        <v>77292</v>
      </c>
      <c r="Q173" s="5">
        <v>1167634.72</v>
      </c>
      <c r="R173" s="1" t="s">
        <v>813</v>
      </c>
      <c r="S173" s="1" t="s">
        <v>735</v>
      </c>
      <c r="T173" s="4">
        <v>45292</v>
      </c>
      <c r="U173" s="4">
        <v>45657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1167634.72</v>
      </c>
      <c r="AH173" s="5">
        <v>194408.68</v>
      </c>
      <c r="AI173" s="5">
        <v>0</v>
      </c>
      <c r="AJ173" s="5">
        <v>194407.53</v>
      </c>
      <c r="AK173" s="5">
        <v>0</v>
      </c>
      <c r="AL173" s="5">
        <v>1.1499999999999999</v>
      </c>
      <c r="AM173" s="5">
        <v>0</v>
      </c>
      <c r="AN173" s="5">
        <v>194408.68</v>
      </c>
      <c r="AO173" s="1" t="s">
        <v>1177</v>
      </c>
    </row>
    <row r="174" spans="1:41" x14ac:dyDescent="0.25">
      <c r="A174" s="1">
        <f t="shared" si="4"/>
        <v>158</v>
      </c>
      <c r="B174" s="1" t="s">
        <v>370</v>
      </c>
      <c r="C174" s="1" t="s">
        <v>122</v>
      </c>
      <c r="D174" s="1" t="s">
        <v>735</v>
      </c>
      <c r="E174" s="4">
        <v>45292</v>
      </c>
      <c r="F174" s="4">
        <v>45657</v>
      </c>
      <c r="H174" s="5">
        <v>387883.87</v>
      </c>
      <c r="I174" s="5">
        <v>25288.880000000001</v>
      </c>
      <c r="J174" s="5">
        <v>39600</v>
      </c>
      <c r="K174" s="5">
        <v>24849.119999999999</v>
      </c>
      <c r="L174" s="5">
        <v>0</v>
      </c>
      <c r="M174" s="5">
        <v>89738</v>
      </c>
      <c r="N174" s="5">
        <v>278617.38</v>
      </c>
      <c r="O174" s="5">
        <v>0</v>
      </c>
      <c r="P174" s="5">
        <v>19528.490000000002</v>
      </c>
      <c r="Q174" s="5">
        <v>298145.87</v>
      </c>
      <c r="R174" s="1" t="s">
        <v>814</v>
      </c>
      <c r="S174" s="1" t="s">
        <v>735</v>
      </c>
      <c r="T174" s="4">
        <v>45292</v>
      </c>
      <c r="U174" s="4">
        <v>45657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298145.87</v>
      </c>
      <c r="AH174" s="5">
        <v>7221.88</v>
      </c>
      <c r="AI174" s="5">
        <v>0</v>
      </c>
      <c r="AJ174" s="5">
        <v>7220.7</v>
      </c>
      <c r="AK174" s="5">
        <v>0</v>
      </c>
      <c r="AL174" s="5">
        <v>1.18</v>
      </c>
      <c r="AM174" s="5">
        <v>0</v>
      </c>
      <c r="AN174" s="5">
        <v>7221.88</v>
      </c>
      <c r="AO174" s="1" t="s">
        <v>1177</v>
      </c>
    </row>
    <row r="175" spans="1:41" x14ac:dyDescent="0.25">
      <c r="A175" s="1">
        <f t="shared" si="4"/>
        <v>159</v>
      </c>
      <c r="B175" s="1" t="s">
        <v>371</v>
      </c>
      <c r="C175" s="1" t="s">
        <v>122</v>
      </c>
      <c r="D175" s="1" t="s">
        <v>735</v>
      </c>
      <c r="E175" s="4">
        <v>45292</v>
      </c>
      <c r="F175" s="4">
        <v>45657</v>
      </c>
      <c r="H175" s="5">
        <v>469341.15</v>
      </c>
      <c r="I175" s="5">
        <v>30145.67</v>
      </c>
      <c r="J175" s="5">
        <v>39600</v>
      </c>
      <c r="K175" s="5">
        <v>27408.7</v>
      </c>
      <c r="L175" s="5">
        <v>0</v>
      </c>
      <c r="M175" s="5">
        <v>97154.37</v>
      </c>
      <c r="N175" s="5">
        <v>334339.3</v>
      </c>
      <c r="O175" s="5">
        <v>0</v>
      </c>
      <c r="P175" s="5">
        <v>37847.480000000003</v>
      </c>
      <c r="Q175" s="5">
        <v>372186.78</v>
      </c>
      <c r="R175" s="1" t="s">
        <v>815</v>
      </c>
      <c r="S175" s="1" t="s">
        <v>735</v>
      </c>
      <c r="T175" s="4">
        <v>45292</v>
      </c>
      <c r="U175" s="4">
        <v>45657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372186.78</v>
      </c>
      <c r="AH175" s="5">
        <v>18328.02</v>
      </c>
      <c r="AI175" s="5">
        <v>0</v>
      </c>
      <c r="AJ175" s="5">
        <v>18971.53</v>
      </c>
      <c r="AK175" s="5">
        <v>0</v>
      </c>
      <c r="AL175" s="5">
        <v>0</v>
      </c>
      <c r="AM175" s="5">
        <v>643.51</v>
      </c>
      <c r="AN175" s="5">
        <v>18328.02</v>
      </c>
      <c r="AO175" s="1" t="s">
        <v>1177</v>
      </c>
    </row>
    <row r="176" spans="1:41" x14ac:dyDescent="0.25">
      <c r="A176" s="1">
        <f t="shared" si="4"/>
        <v>160</v>
      </c>
      <c r="B176" s="1" t="s">
        <v>372</v>
      </c>
      <c r="C176" s="1" t="s">
        <v>122</v>
      </c>
      <c r="D176" s="1" t="s">
        <v>735</v>
      </c>
      <c r="E176" s="4">
        <v>45292</v>
      </c>
      <c r="F176" s="4">
        <v>45657</v>
      </c>
      <c r="H176" s="5">
        <v>697871.67</v>
      </c>
      <c r="I176" s="5">
        <v>50451.67</v>
      </c>
      <c r="J176" s="5">
        <v>42000</v>
      </c>
      <c r="K176" s="5">
        <v>33635.5</v>
      </c>
      <c r="L176" s="5">
        <v>0</v>
      </c>
      <c r="M176" s="5">
        <v>126087.17</v>
      </c>
      <c r="N176" s="5">
        <v>571784.5</v>
      </c>
      <c r="O176" s="5">
        <v>0</v>
      </c>
      <c r="P176" s="5">
        <v>0</v>
      </c>
      <c r="Q176" s="5">
        <v>571784.5</v>
      </c>
      <c r="R176" s="1" t="s">
        <v>816</v>
      </c>
      <c r="S176" s="1" t="s">
        <v>735</v>
      </c>
      <c r="T176" s="4">
        <v>45292</v>
      </c>
      <c r="U176" s="4">
        <v>45657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571784.5</v>
      </c>
      <c r="AH176" s="5">
        <v>56856.9</v>
      </c>
      <c r="AI176" s="5">
        <v>0</v>
      </c>
      <c r="AJ176" s="5">
        <v>56855.3</v>
      </c>
      <c r="AK176" s="5">
        <v>0</v>
      </c>
      <c r="AL176" s="5">
        <v>1.6</v>
      </c>
      <c r="AM176" s="5">
        <v>0</v>
      </c>
      <c r="AN176" s="5">
        <v>56856.9</v>
      </c>
      <c r="AO176" s="1" t="s">
        <v>1177</v>
      </c>
    </row>
    <row r="177" spans="1:41" x14ac:dyDescent="0.25">
      <c r="A177" s="1">
        <f t="shared" si="4"/>
        <v>161</v>
      </c>
      <c r="B177" s="1" t="s">
        <v>373</v>
      </c>
      <c r="C177" s="1" t="s">
        <v>122</v>
      </c>
      <c r="D177" s="1" t="s">
        <v>735</v>
      </c>
      <c r="E177" s="4">
        <v>45292</v>
      </c>
      <c r="F177" s="4">
        <v>45657</v>
      </c>
      <c r="H177" s="5">
        <v>1107245.1200000001</v>
      </c>
      <c r="I177" s="5">
        <v>35307.71</v>
      </c>
      <c r="J177" s="5">
        <v>39600</v>
      </c>
      <c r="K177" s="5">
        <v>29092.27</v>
      </c>
      <c r="L177" s="5">
        <v>0</v>
      </c>
      <c r="M177" s="5">
        <v>103999.98</v>
      </c>
      <c r="N177" s="5">
        <v>394600.23</v>
      </c>
      <c r="O177" s="5">
        <v>0</v>
      </c>
      <c r="P177" s="5">
        <v>608644.91</v>
      </c>
      <c r="Q177" s="5">
        <v>1003245.14</v>
      </c>
      <c r="R177" s="1" t="s">
        <v>817</v>
      </c>
      <c r="S177" s="1" t="s">
        <v>735</v>
      </c>
      <c r="T177" s="4">
        <v>45292</v>
      </c>
      <c r="U177" s="4">
        <v>45657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1003245.14</v>
      </c>
      <c r="AH177" s="5">
        <v>153311.29</v>
      </c>
      <c r="AI177" s="5">
        <v>0</v>
      </c>
      <c r="AJ177" s="5">
        <v>154836.41</v>
      </c>
      <c r="AK177" s="5">
        <v>0</v>
      </c>
      <c r="AL177" s="5">
        <v>0</v>
      </c>
      <c r="AM177" s="5">
        <v>1525.13</v>
      </c>
      <c r="AN177" s="5">
        <v>153311.29</v>
      </c>
      <c r="AO177" s="1" t="s">
        <v>1177</v>
      </c>
    </row>
    <row r="178" spans="1:41" x14ac:dyDescent="0.25">
      <c r="A178" s="1">
        <f t="shared" si="4"/>
        <v>162</v>
      </c>
      <c r="B178" s="1" t="s">
        <v>374</v>
      </c>
      <c r="C178" s="1" t="s">
        <v>122</v>
      </c>
      <c r="D178" s="1" t="s">
        <v>735</v>
      </c>
      <c r="E178" s="4">
        <v>45292</v>
      </c>
      <c r="F178" s="4">
        <v>45657</v>
      </c>
      <c r="H178" s="5">
        <v>630674.57999999996</v>
      </c>
      <c r="I178" s="5">
        <v>34013.79</v>
      </c>
      <c r="J178" s="5">
        <v>39600</v>
      </c>
      <c r="K178" s="5">
        <v>28704.1</v>
      </c>
      <c r="L178" s="5">
        <v>14000</v>
      </c>
      <c r="M178" s="5">
        <v>116317.89</v>
      </c>
      <c r="N178" s="5">
        <v>379461.4</v>
      </c>
      <c r="O178" s="5">
        <v>0</v>
      </c>
      <c r="P178" s="5">
        <v>134895.29</v>
      </c>
      <c r="Q178" s="5">
        <v>514356.69</v>
      </c>
      <c r="R178" s="1" t="s">
        <v>818</v>
      </c>
      <c r="S178" s="1" t="s">
        <v>735</v>
      </c>
      <c r="T178" s="4">
        <v>45292</v>
      </c>
      <c r="U178" s="4">
        <v>45657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514356.69</v>
      </c>
      <c r="AH178" s="5">
        <v>45371.34</v>
      </c>
      <c r="AI178" s="5">
        <v>0</v>
      </c>
      <c r="AJ178" s="5">
        <v>45386.45</v>
      </c>
      <c r="AK178" s="5">
        <v>0</v>
      </c>
      <c r="AL178" s="5">
        <v>0</v>
      </c>
      <c r="AM178" s="5">
        <v>15.11</v>
      </c>
      <c r="AN178" s="5">
        <v>45371.34</v>
      </c>
      <c r="AO178" s="1" t="s">
        <v>1177</v>
      </c>
    </row>
    <row r="179" spans="1:41" x14ac:dyDescent="0.25">
      <c r="A179" s="1">
        <f t="shared" si="4"/>
        <v>163</v>
      </c>
      <c r="B179" s="1" t="s">
        <v>375</v>
      </c>
      <c r="C179" s="1" t="s">
        <v>122</v>
      </c>
      <c r="D179" s="1" t="s">
        <v>735</v>
      </c>
      <c r="E179" s="4">
        <v>45292</v>
      </c>
      <c r="F179" s="4">
        <v>45657</v>
      </c>
      <c r="H179" s="5">
        <v>1590447.23</v>
      </c>
      <c r="I179" s="5">
        <v>75402.3</v>
      </c>
      <c r="J179" s="5">
        <v>64650</v>
      </c>
      <c r="K179" s="5">
        <v>42500</v>
      </c>
      <c r="L179" s="5">
        <v>0</v>
      </c>
      <c r="M179" s="5">
        <v>182552.3</v>
      </c>
      <c r="N179" s="5">
        <v>862327.58</v>
      </c>
      <c r="O179" s="5">
        <v>0</v>
      </c>
      <c r="P179" s="5">
        <v>545567.35</v>
      </c>
      <c r="Q179" s="5">
        <v>1407894.93</v>
      </c>
      <c r="R179" s="1" t="s">
        <v>819</v>
      </c>
      <c r="S179" s="1" t="s">
        <v>735</v>
      </c>
      <c r="T179" s="4">
        <v>45292</v>
      </c>
      <c r="U179" s="4">
        <v>45657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1407894.93</v>
      </c>
      <c r="AH179" s="5">
        <v>254473.73</v>
      </c>
      <c r="AI179" s="5">
        <v>0</v>
      </c>
      <c r="AJ179" s="5">
        <v>259617.08</v>
      </c>
      <c r="AK179" s="5">
        <v>0</v>
      </c>
      <c r="AL179" s="5">
        <v>0</v>
      </c>
      <c r="AM179" s="5">
        <v>5143.3500000000004</v>
      </c>
      <c r="AN179" s="5">
        <v>254473.73</v>
      </c>
      <c r="AO179" s="1" t="s">
        <v>1177</v>
      </c>
    </row>
    <row r="180" spans="1:41" x14ac:dyDescent="0.25">
      <c r="A180" s="1">
        <f t="shared" si="4"/>
        <v>164</v>
      </c>
      <c r="B180" s="1" t="s">
        <v>376</v>
      </c>
      <c r="C180" s="1" t="s">
        <v>122</v>
      </c>
      <c r="D180" s="1" t="s">
        <v>735</v>
      </c>
      <c r="E180" s="4">
        <v>45292</v>
      </c>
      <c r="F180" s="4">
        <v>45657</v>
      </c>
      <c r="H180" s="5">
        <v>3013589.98</v>
      </c>
      <c r="I180" s="5">
        <v>90000</v>
      </c>
      <c r="J180" s="5">
        <v>23000</v>
      </c>
      <c r="K180" s="5">
        <v>47150</v>
      </c>
      <c r="L180" s="5">
        <v>0</v>
      </c>
      <c r="M180" s="5">
        <v>160150</v>
      </c>
      <c r="N180" s="5">
        <v>1968175</v>
      </c>
      <c r="O180" s="5">
        <v>77943.75</v>
      </c>
      <c r="P180" s="5">
        <v>807321.23</v>
      </c>
      <c r="Q180" s="5">
        <v>2853439.98</v>
      </c>
      <c r="R180" s="1" t="s">
        <v>820</v>
      </c>
      <c r="S180" s="1" t="s">
        <v>735</v>
      </c>
      <c r="T180" s="4">
        <v>45292</v>
      </c>
      <c r="U180" s="4">
        <v>45657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2853439.98</v>
      </c>
      <c r="AH180" s="5">
        <v>658531.99</v>
      </c>
      <c r="AI180" s="5">
        <v>0</v>
      </c>
      <c r="AJ180" s="5">
        <v>680951.82</v>
      </c>
      <c r="AK180" s="5">
        <v>0</v>
      </c>
      <c r="AL180" s="5">
        <v>0</v>
      </c>
      <c r="AM180" s="5">
        <v>22419.83</v>
      </c>
      <c r="AN180" s="5">
        <v>658531.99</v>
      </c>
      <c r="AO180" s="1" t="s">
        <v>1177</v>
      </c>
    </row>
    <row r="181" spans="1:41" x14ac:dyDescent="0.25">
      <c r="A181" s="1">
        <f t="shared" si="4"/>
        <v>165</v>
      </c>
      <c r="B181" s="1" t="s">
        <v>377</v>
      </c>
      <c r="C181" s="1" t="s">
        <v>122</v>
      </c>
      <c r="D181" s="1" t="s">
        <v>735</v>
      </c>
      <c r="E181" s="4">
        <v>45292</v>
      </c>
      <c r="F181" s="4">
        <v>45657</v>
      </c>
      <c r="H181" s="5">
        <v>929108.18</v>
      </c>
      <c r="I181" s="5">
        <v>63689.67</v>
      </c>
      <c r="J181" s="5">
        <v>39600</v>
      </c>
      <c r="K181" s="5">
        <v>37606.9</v>
      </c>
      <c r="L181" s="5">
        <v>0</v>
      </c>
      <c r="M181" s="5">
        <v>140896.57</v>
      </c>
      <c r="N181" s="5">
        <v>726669.1</v>
      </c>
      <c r="O181" s="5">
        <v>0</v>
      </c>
      <c r="P181" s="5">
        <v>61542.51</v>
      </c>
      <c r="Q181" s="5">
        <v>788211.61</v>
      </c>
      <c r="R181" s="1" t="s">
        <v>821</v>
      </c>
      <c r="S181" s="1" t="s">
        <v>735</v>
      </c>
      <c r="T181" s="4">
        <v>45292</v>
      </c>
      <c r="U181" s="4">
        <v>45657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788211.61</v>
      </c>
      <c r="AH181" s="5">
        <v>100142.32</v>
      </c>
      <c r="AI181" s="5">
        <v>0</v>
      </c>
      <c r="AJ181" s="5">
        <v>102491.36</v>
      </c>
      <c r="AK181" s="5">
        <v>0</v>
      </c>
      <c r="AL181" s="5">
        <v>0</v>
      </c>
      <c r="AM181" s="5">
        <v>2349.04</v>
      </c>
      <c r="AN181" s="5">
        <v>100142.32</v>
      </c>
      <c r="AO181" s="1" t="s">
        <v>1177</v>
      </c>
    </row>
    <row r="182" spans="1:41" x14ac:dyDescent="0.25">
      <c r="A182" s="1">
        <f t="shared" si="4"/>
        <v>166</v>
      </c>
      <c r="B182" s="1" t="s">
        <v>378</v>
      </c>
      <c r="C182" s="1" t="s">
        <v>122</v>
      </c>
      <c r="D182" s="1" t="s">
        <v>735</v>
      </c>
      <c r="E182" s="4">
        <v>45292</v>
      </c>
      <c r="F182" s="4">
        <v>45657</v>
      </c>
      <c r="H182" s="5">
        <v>2875086.5</v>
      </c>
      <c r="I182" s="5">
        <v>90000</v>
      </c>
      <c r="J182" s="5">
        <v>24000</v>
      </c>
      <c r="K182" s="5">
        <v>48500</v>
      </c>
      <c r="L182" s="5">
        <v>0</v>
      </c>
      <c r="M182" s="5">
        <v>162500</v>
      </c>
      <c r="N182" s="5">
        <v>1875535</v>
      </c>
      <c r="O182" s="5">
        <v>70336.25</v>
      </c>
      <c r="P182" s="5">
        <v>766715.25</v>
      </c>
      <c r="Q182" s="5">
        <v>2712586.5</v>
      </c>
      <c r="R182" s="1" t="s">
        <v>822</v>
      </c>
      <c r="S182" s="1" t="s">
        <v>735</v>
      </c>
      <c r="T182" s="4">
        <v>45292</v>
      </c>
      <c r="U182" s="4">
        <v>45657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2712586.5</v>
      </c>
      <c r="AH182" s="5">
        <v>616275.94999999995</v>
      </c>
      <c r="AI182" s="5">
        <v>0</v>
      </c>
      <c r="AJ182" s="5">
        <v>625226.68000000005</v>
      </c>
      <c r="AK182" s="5">
        <v>0</v>
      </c>
      <c r="AL182" s="5">
        <v>0</v>
      </c>
      <c r="AM182" s="5">
        <v>8950.73</v>
      </c>
      <c r="AN182" s="5">
        <v>616275.94999999995</v>
      </c>
      <c r="AO182" s="1" t="s">
        <v>1177</v>
      </c>
    </row>
    <row r="183" spans="1:41" x14ac:dyDescent="0.25">
      <c r="A183" s="1">
        <f t="shared" si="4"/>
        <v>167</v>
      </c>
      <c r="B183" s="1" t="s">
        <v>379</v>
      </c>
      <c r="C183" s="1" t="s">
        <v>122</v>
      </c>
      <c r="D183" s="1" t="s">
        <v>735</v>
      </c>
      <c r="E183" s="4">
        <v>45292</v>
      </c>
      <c r="F183" s="4">
        <v>45657</v>
      </c>
      <c r="H183" s="5">
        <v>715525.5</v>
      </c>
      <c r="I183" s="5">
        <v>47546.33</v>
      </c>
      <c r="J183" s="5">
        <v>39600</v>
      </c>
      <c r="K183" s="5">
        <v>32763.9</v>
      </c>
      <c r="L183" s="5">
        <v>0</v>
      </c>
      <c r="M183" s="5">
        <v>119910.23</v>
      </c>
      <c r="N183" s="5">
        <v>537792.1</v>
      </c>
      <c r="O183" s="5">
        <v>0</v>
      </c>
      <c r="P183" s="5">
        <v>57823.17</v>
      </c>
      <c r="Q183" s="5">
        <v>595615.27</v>
      </c>
      <c r="R183" s="1" t="s">
        <v>823</v>
      </c>
      <c r="S183" s="1" t="s">
        <v>735</v>
      </c>
      <c r="T183" s="4">
        <v>45292</v>
      </c>
      <c r="U183" s="4">
        <v>45657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595615.27</v>
      </c>
      <c r="AH183" s="5">
        <v>61623.05</v>
      </c>
      <c r="AI183" s="5">
        <v>0</v>
      </c>
      <c r="AJ183" s="5">
        <v>61361.45</v>
      </c>
      <c r="AK183" s="5">
        <v>0</v>
      </c>
      <c r="AL183" s="5">
        <v>261.60000000000002</v>
      </c>
      <c r="AM183" s="5">
        <v>0</v>
      </c>
      <c r="AN183" s="5">
        <v>61623.05</v>
      </c>
      <c r="AO183" s="1" t="s">
        <v>1177</v>
      </c>
    </row>
    <row r="184" spans="1:41" x14ac:dyDescent="0.25">
      <c r="A184" s="1">
        <f t="shared" si="4"/>
        <v>168</v>
      </c>
      <c r="B184" s="1" t="s">
        <v>380</v>
      </c>
      <c r="C184" s="1" t="s">
        <v>122</v>
      </c>
      <c r="D184" s="1" t="s">
        <v>735</v>
      </c>
      <c r="E184" s="4">
        <v>45292</v>
      </c>
      <c r="F184" s="4">
        <v>45657</v>
      </c>
      <c r="H184" s="5">
        <v>956518.83</v>
      </c>
      <c r="I184" s="5">
        <v>71016.83</v>
      </c>
      <c r="J184" s="5">
        <v>33300</v>
      </c>
      <c r="K184" s="5">
        <v>39805.050000000003</v>
      </c>
      <c r="L184" s="5">
        <v>0</v>
      </c>
      <c r="M184" s="5">
        <v>144121.88</v>
      </c>
      <c r="N184" s="5">
        <v>812396.95</v>
      </c>
      <c r="O184" s="5">
        <v>0</v>
      </c>
      <c r="P184" s="5">
        <v>0</v>
      </c>
      <c r="Q184" s="5">
        <v>812396.95</v>
      </c>
      <c r="R184" s="1" t="s">
        <v>824</v>
      </c>
      <c r="S184" s="1" t="s">
        <v>735</v>
      </c>
      <c r="T184" s="4">
        <v>45292</v>
      </c>
      <c r="U184" s="4">
        <v>45657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812396.95</v>
      </c>
      <c r="AH184" s="5">
        <v>105599.24</v>
      </c>
      <c r="AI184" s="5">
        <v>0</v>
      </c>
      <c r="AJ184" s="5">
        <v>105752.74</v>
      </c>
      <c r="AK184" s="5">
        <v>0</v>
      </c>
      <c r="AL184" s="5">
        <v>0</v>
      </c>
      <c r="AM184" s="5">
        <v>153.5</v>
      </c>
      <c r="AN184" s="5">
        <v>105599.24</v>
      </c>
      <c r="AO184" s="1" t="s">
        <v>1177</v>
      </c>
    </row>
    <row r="185" spans="1:41" x14ac:dyDescent="0.25">
      <c r="A185" s="1">
        <f t="shared" si="4"/>
        <v>169</v>
      </c>
      <c r="B185" s="1" t="s">
        <v>381</v>
      </c>
      <c r="C185" s="1" t="s">
        <v>122</v>
      </c>
      <c r="D185" s="1" t="s">
        <v>735</v>
      </c>
      <c r="E185" s="4">
        <v>45292</v>
      </c>
      <c r="F185" s="4">
        <v>45657</v>
      </c>
      <c r="H185" s="5">
        <v>1707841.67</v>
      </c>
      <c r="I185" s="5">
        <v>84483.33</v>
      </c>
      <c r="J185" s="5">
        <v>24000</v>
      </c>
      <c r="K185" s="5">
        <v>43845</v>
      </c>
      <c r="L185" s="5">
        <v>14000</v>
      </c>
      <c r="M185" s="5">
        <v>166328.32999999999</v>
      </c>
      <c r="N185" s="5">
        <v>969955</v>
      </c>
      <c r="O185" s="5">
        <v>0</v>
      </c>
      <c r="P185" s="5">
        <v>571558.34</v>
      </c>
      <c r="Q185" s="5">
        <v>1541513.34</v>
      </c>
      <c r="R185" s="1" t="s">
        <v>825</v>
      </c>
      <c r="S185" s="1" t="s">
        <v>735</v>
      </c>
      <c r="T185" s="4">
        <v>45292</v>
      </c>
      <c r="U185" s="4">
        <v>45657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1541513.34</v>
      </c>
      <c r="AH185" s="5">
        <v>287878.34000000003</v>
      </c>
      <c r="AI185" s="5">
        <v>0</v>
      </c>
      <c r="AJ185" s="5">
        <v>320326.21999999997</v>
      </c>
      <c r="AK185" s="5">
        <v>0</v>
      </c>
      <c r="AL185" s="5">
        <v>0</v>
      </c>
      <c r="AM185" s="5">
        <v>32447.89</v>
      </c>
      <c r="AN185" s="5">
        <v>287878.34000000003</v>
      </c>
      <c r="AO185" s="1" t="s">
        <v>1177</v>
      </c>
    </row>
    <row r="186" spans="1:41" x14ac:dyDescent="0.25">
      <c r="A186" s="1">
        <f t="shared" si="4"/>
        <v>170</v>
      </c>
      <c r="B186" s="1" t="s">
        <v>382</v>
      </c>
      <c r="C186" s="1" t="s">
        <v>122</v>
      </c>
      <c r="D186" s="1" t="s">
        <v>735</v>
      </c>
      <c r="E186" s="4">
        <v>45292</v>
      </c>
      <c r="F186" s="4">
        <v>45657</v>
      </c>
      <c r="H186" s="5">
        <v>444257.52</v>
      </c>
      <c r="I186" s="5">
        <v>32859</v>
      </c>
      <c r="J186" s="5">
        <v>12000</v>
      </c>
      <c r="K186" s="5">
        <v>28357.7</v>
      </c>
      <c r="L186" s="5">
        <v>0</v>
      </c>
      <c r="M186" s="5">
        <v>73216.7</v>
      </c>
      <c r="N186" s="5">
        <v>365950.3</v>
      </c>
      <c r="O186" s="5">
        <v>0</v>
      </c>
      <c r="P186" s="5">
        <v>5090.5200000000004</v>
      </c>
      <c r="Q186" s="5">
        <v>371040.82</v>
      </c>
      <c r="R186" s="1" t="s">
        <v>826</v>
      </c>
      <c r="S186" s="1" t="s">
        <v>735</v>
      </c>
      <c r="T186" s="4">
        <v>45292</v>
      </c>
      <c r="U186" s="4">
        <v>45657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371040.82</v>
      </c>
      <c r="AH186" s="5">
        <v>18156.12</v>
      </c>
      <c r="AI186" s="5">
        <v>0</v>
      </c>
      <c r="AJ186" s="5">
        <v>18277.79</v>
      </c>
      <c r="AK186" s="5">
        <v>0</v>
      </c>
      <c r="AL186" s="5">
        <v>0</v>
      </c>
      <c r="AM186" s="5">
        <v>121.67</v>
      </c>
      <c r="AN186" s="5">
        <v>18156.12</v>
      </c>
      <c r="AO186" s="1" t="s">
        <v>1177</v>
      </c>
    </row>
    <row r="187" spans="1:41" x14ac:dyDescent="0.25">
      <c r="A187" s="1">
        <f t="shared" si="4"/>
        <v>171</v>
      </c>
      <c r="B187" s="1" t="s">
        <v>383</v>
      </c>
      <c r="C187" s="1" t="s">
        <v>122</v>
      </c>
      <c r="D187" s="1" t="s">
        <v>735</v>
      </c>
      <c r="E187" s="4">
        <v>45292</v>
      </c>
      <c r="F187" s="4">
        <v>45657</v>
      </c>
      <c r="H187" s="5">
        <v>2148525.25</v>
      </c>
      <c r="I187" s="5">
        <v>90000</v>
      </c>
      <c r="J187" s="5">
        <v>36000</v>
      </c>
      <c r="K187" s="5">
        <v>48500</v>
      </c>
      <c r="L187" s="5">
        <v>0</v>
      </c>
      <c r="M187" s="5">
        <v>174500</v>
      </c>
      <c r="N187" s="5">
        <v>1801831</v>
      </c>
      <c r="O187" s="5">
        <v>64194.25</v>
      </c>
      <c r="P187" s="5">
        <v>108000</v>
      </c>
      <c r="Q187" s="5">
        <v>1974025.25</v>
      </c>
      <c r="R187" s="1" t="s">
        <v>827</v>
      </c>
      <c r="S187" s="1" t="s">
        <v>735</v>
      </c>
      <c r="T187" s="4">
        <v>45292</v>
      </c>
      <c r="U187" s="4">
        <v>45657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1974025.25</v>
      </c>
      <c r="AH187" s="5">
        <v>396006.31</v>
      </c>
      <c r="AI187" s="5">
        <v>0</v>
      </c>
      <c r="AJ187" s="5">
        <v>396005.11</v>
      </c>
      <c r="AK187" s="5">
        <v>0</v>
      </c>
      <c r="AL187" s="5">
        <v>1.2</v>
      </c>
      <c r="AM187" s="5">
        <v>0</v>
      </c>
      <c r="AN187" s="5">
        <v>396006.31</v>
      </c>
      <c r="AO187" s="1" t="s">
        <v>1177</v>
      </c>
    </row>
    <row r="188" spans="1:41" x14ac:dyDescent="0.25">
      <c r="A188" s="1">
        <f t="shared" si="4"/>
        <v>172</v>
      </c>
      <c r="B188" s="1" t="s">
        <v>384</v>
      </c>
      <c r="C188" s="1" t="s">
        <v>122</v>
      </c>
      <c r="D188" s="1" t="s">
        <v>735</v>
      </c>
      <c r="E188" s="4">
        <v>45292</v>
      </c>
      <c r="F188" s="4">
        <v>45657</v>
      </c>
      <c r="H188" s="5">
        <v>550000.56999999995</v>
      </c>
      <c r="I188" s="5">
        <v>35769.660000000003</v>
      </c>
      <c r="J188" s="5">
        <v>0</v>
      </c>
      <c r="K188" s="5">
        <v>29230.86</v>
      </c>
      <c r="L188" s="5">
        <v>0</v>
      </c>
      <c r="M188" s="5">
        <v>65000.52</v>
      </c>
      <c r="N188" s="5">
        <v>400005.04</v>
      </c>
      <c r="O188" s="5">
        <v>0</v>
      </c>
      <c r="P188" s="5">
        <v>84995.01</v>
      </c>
      <c r="Q188" s="5">
        <v>485000.05</v>
      </c>
      <c r="R188" s="1" t="s">
        <v>828</v>
      </c>
      <c r="S188" s="1" t="s">
        <v>735</v>
      </c>
      <c r="T188" s="4">
        <v>45292</v>
      </c>
      <c r="U188" s="4">
        <v>45657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485000.05</v>
      </c>
      <c r="AH188" s="5">
        <v>39500.01</v>
      </c>
      <c r="AI188" s="5">
        <v>0</v>
      </c>
      <c r="AJ188" s="5">
        <v>39498.400000000001</v>
      </c>
      <c r="AK188" s="5">
        <v>0</v>
      </c>
      <c r="AL188" s="5">
        <v>1.61</v>
      </c>
      <c r="AM188" s="5">
        <v>0</v>
      </c>
      <c r="AN188" s="5">
        <v>39500.01</v>
      </c>
      <c r="AO188" s="1" t="s">
        <v>1177</v>
      </c>
    </row>
    <row r="189" spans="1:41" x14ac:dyDescent="0.25">
      <c r="A189" s="1">
        <f t="shared" si="4"/>
        <v>173</v>
      </c>
      <c r="B189" s="1" t="s">
        <v>385</v>
      </c>
      <c r="C189" s="1" t="s">
        <v>122</v>
      </c>
      <c r="D189" s="1" t="s">
        <v>735</v>
      </c>
      <c r="E189" s="4">
        <v>45292</v>
      </c>
      <c r="F189" s="4">
        <v>45657</v>
      </c>
      <c r="H189" s="5">
        <v>780843.4</v>
      </c>
      <c r="I189" s="5">
        <v>54038.75</v>
      </c>
      <c r="J189" s="5">
        <v>39600</v>
      </c>
      <c r="K189" s="5">
        <v>34711.620000000003</v>
      </c>
      <c r="L189" s="5">
        <v>0</v>
      </c>
      <c r="M189" s="5">
        <v>128350.37</v>
      </c>
      <c r="N189" s="5">
        <v>613753.38</v>
      </c>
      <c r="O189" s="5">
        <v>0</v>
      </c>
      <c r="P189" s="5">
        <v>38739.65</v>
      </c>
      <c r="Q189" s="5">
        <v>652493.03</v>
      </c>
      <c r="R189" s="1" t="s">
        <v>829</v>
      </c>
      <c r="S189" s="1" t="s">
        <v>735</v>
      </c>
      <c r="T189" s="4">
        <v>45292</v>
      </c>
      <c r="U189" s="4">
        <v>45657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652493.03</v>
      </c>
      <c r="AH189" s="5">
        <v>72998.61</v>
      </c>
      <c r="AI189" s="5">
        <v>0</v>
      </c>
      <c r="AJ189" s="5">
        <v>73002.37</v>
      </c>
      <c r="AK189" s="5">
        <v>0</v>
      </c>
      <c r="AL189" s="5">
        <v>0</v>
      </c>
      <c r="AM189" s="5">
        <v>3.76</v>
      </c>
      <c r="AN189" s="5">
        <v>72998.61</v>
      </c>
      <c r="AO189" s="1" t="s">
        <v>1177</v>
      </c>
    </row>
    <row r="190" spans="1:41" x14ac:dyDescent="0.25">
      <c r="A190" s="1">
        <f t="shared" si="4"/>
        <v>174</v>
      </c>
      <c r="B190" s="1" t="s">
        <v>386</v>
      </c>
      <c r="C190" s="1" t="s">
        <v>122</v>
      </c>
      <c r="D190" s="1" t="s">
        <v>735</v>
      </c>
      <c r="E190" s="4">
        <v>45292</v>
      </c>
      <c r="F190" s="4">
        <v>45657</v>
      </c>
      <c r="H190" s="5">
        <v>383498.52</v>
      </c>
      <c r="I190" s="5">
        <v>23172.63</v>
      </c>
      <c r="J190" s="5">
        <v>39600</v>
      </c>
      <c r="K190" s="5">
        <v>23629.25</v>
      </c>
      <c r="L190" s="5">
        <v>0</v>
      </c>
      <c r="M190" s="5">
        <v>86401.88</v>
      </c>
      <c r="N190" s="5">
        <v>254442.25</v>
      </c>
      <c r="O190" s="5">
        <v>0</v>
      </c>
      <c r="P190" s="5">
        <v>42654.39</v>
      </c>
      <c r="Q190" s="5">
        <v>297096.64</v>
      </c>
      <c r="R190" s="1" t="s">
        <v>830</v>
      </c>
      <c r="S190" s="1" t="s">
        <v>735</v>
      </c>
      <c r="T190" s="4">
        <v>45292</v>
      </c>
      <c r="U190" s="4">
        <v>45657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297096.64</v>
      </c>
      <c r="AH190" s="5">
        <v>7064.5</v>
      </c>
      <c r="AI190" s="5">
        <v>0</v>
      </c>
      <c r="AJ190" s="5">
        <v>7324.21</v>
      </c>
      <c r="AK190" s="5">
        <v>0</v>
      </c>
      <c r="AL190" s="5">
        <v>0</v>
      </c>
      <c r="AM190" s="5">
        <v>259.70999999999998</v>
      </c>
      <c r="AN190" s="5">
        <v>7064.5</v>
      </c>
      <c r="AO190" s="1" t="s">
        <v>1177</v>
      </c>
    </row>
    <row r="191" spans="1:41" x14ac:dyDescent="0.25">
      <c r="A191" s="1">
        <f t="shared" si="4"/>
        <v>175</v>
      </c>
      <c r="B191" s="1" t="s">
        <v>387</v>
      </c>
      <c r="C191" s="1" t="s">
        <v>122</v>
      </c>
      <c r="D191" s="1" t="s">
        <v>735</v>
      </c>
      <c r="E191" s="4">
        <v>45292</v>
      </c>
      <c r="F191" s="4">
        <v>45657</v>
      </c>
      <c r="H191" s="5">
        <v>507884.88</v>
      </c>
      <c r="I191" s="5">
        <v>26041.08</v>
      </c>
      <c r="J191" s="5">
        <v>39600</v>
      </c>
      <c r="K191" s="5">
        <v>26267.32</v>
      </c>
      <c r="L191" s="5">
        <v>0</v>
      </c>
      <c r="M191" s="5">
        <v>91908.4</v>
      </c>
      <c r="N191" s="5">
        <v>286225.68</v>
      </c>
      <c r="O191" s="5">
        <v>0</v>
      </c>
      <c r="P191" s="5">
        <v>129750.8</v>
      </c>
      <c r="Q191" s="5">
        <v>415976.48</v>
      </c>
      <c r="R191" s="1" t="s">
        <v>831</v>
      </c>
      <c r="S191" s="1" t="s">
        <v>735</v>
      </c>
      <c r="T191" s="4">
        <v>45292</v>
      </c>
      <c r="U191" s="4">
        <v>45657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415976.48</v>
      </c>
      <c r="AH191" s="5">
        <v>25695.3</v>
      </c>
      <c r="AI191" s="5">
        <v>0</v>
      </c>
      <c r="AJ191" s="5">
        <v>26954.74</v>
      </c>
      <c r="AK191" s="5">
        <v>0</v>
      </c>
      <c r="AL191" s="5">
        <v>0</v>
      </c>
      <c r="AM191" s="5">
        <v>1259.44</v>
      </c>
      <c r="AN191" s="5">
        <v>25695.3</v>
      </c>
      <c r="AO191" s="1" t="s">
        <v>1177</v>
      </c>
    </row>
    <row r="192" spans="1:41" x14ac:dyDescent="0.25">
      <c r="A192" s="1">
        <f t="shared" si="4"/>
        <v>176</v>
      </c>
      <c r="B192" s="1" t="s">
        <v>388</v>
      </c>
      <c r="C192" s="1" t="s">
        <v>122</v>
      </c>
      <c r="D192" s="1" t="s">
        <v>735</v>
      </c>
      <c r="E192" s="4">
        <v>45292</v>
      </c>
      <c r="F192" s="4">
        <v>45657</v>
      </c>
      <c r="H192" s="5">
        <v>1038895.29</v>
      </c>
      <c r="I192" s="5">
        <v>42185.04</v>
      </c>
      <c r="J192" s="5">
        <v>39600</v>
      </c>
      <c r="K192" s="5">
        <v>31010.25</v>
      </c>
      <c r="L192" s="5">
        <v>0</v>
      </c>
      <c r="M192" s="5">
        <v>112795.29</v>
      </c>
      <c r="N192" s="5">
        <v>475210.26</v>
      </c>
      <c r="O192" s="5">
        <v>0</v>
      </c>
      <c r="P192" s="5">
        <v>450889.74</v>
      </c>
      <c r="Q192" s="5">
        <v>926100</v>
      </c>
      <c r="R192" s="1" t="s">
        <v>832</v>
      </c>
      <c r="S192" s="1" t="s">
        <v>735</v>
      </c>
      <c r="T192" s="4">
        <v>45292</v>
      </c>
      <c r="U192" s="4">
        <v>45657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926100</v>
      </c>
      <c r="AH192" s="5">
        <v>134025</v>
      </c>
      <c r="AI192" s="5">
        <v>0</v>
      </c>
      <c r="AJ192" s="5">
        <v>140345.34</v>
      </c>
      <c r="AK192" s="5">
        <v>0</v>
      </c>
      <c r="AL192" s="5">
        <v>0</v>
      </c>
      <c r="AM192" s="5">
        <v>6320.34</v>
      </c>
      <c r="AN192" s="5">
        <v>134025</v>
      </c>
      <c r="AO192" s="1" t="s">
        <v>1177</v>
      </c>
    </row>
    <row r="193" spans="1:41" x14ac:dyDescent="0.25">
      <c r="A193" s="1">
        <f t="shared" si="4"/>
        <v>177</v>
      </c>
      <c r="B193" s="1" t="s">
        <v>389</v>
      </c>
      <c r="C193" s="1" t="s">
        <v>122</v>
      </c>
      <c r="D193" s="1" t="s">
        <v>735</v>
      </c>
      <c r="E193" s="4">
        <v>45292</v>
      </c>
      <c r="F193" s="4">
        <v>45657</v>
      </c>
      <c r="H193" s="5">
        <v>2299379.56</v>
      </c>
      <c r="I193" s="5">
        <v>90000</v>
      </c>
      <c r="J193" s="5">
        <v>42000</v>
      </c>
      <c r="K193" s="5">
        <v>48500</v>
      </c>
      <c r="L193" s="5">
        <v>0</v>
      </c>
      <c r="M193" s="5">
        <v>180500</v>
      </c>
      <c r="N193" s="5">
        <v>1924465.75</v>
      </c>
      <c r="O193" s="5">
        <v>74413.81</v>
      </c>
      <c r="P193" s="5">
        <v>120000</v>
      </c>
      <c r="Q193" s="5">
        <v>2118879.56</v>
      </c>
      <c r="R193" s="1" t="s">
        <v>833</v>
      </c>
      <c r="S193" s="1" t="s">
        <v>735</v>
      </c>
      <c r="T193" s="4">
        <v>45292</v>
      </c>
      <c r="U193" s="4">
        <v>45657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2118879.56</v>
      </c>
      <c r="AH193" s="5">
        <v>438163.87</v>
      </c>
      <c r="AI193" s="5">
        <v>0</v>
      </c>
      <c r="AJ193" s="5">
        <v>440229.7</v>
      </c>
      <c r="AK193" s="5">
        <v>0</v>
      </c>
      <c r="AL193" s="5">
        <v>0</v>
      </c>
      <c r="AM193" s="5">
        <v>2065.83</v>
      </c>
      <c r="AN193" s="5">
        <v>438163.87</v>
      </c>
      <c r="AO193" s="1" t="s">
        <v>1177</v>
      </c>
    </row>
    <row r="194" spans="1:41" x14ac:dyDescent="0.25">
      <c r="A194" s="1">
        <f t="shared" si="4"/>
        <v>178</v>
      </c>
      <c r="B194" s="1" t="s">
        <v>390</v>
      </c>
      <c r="C194" s="1" t="s">
        <v>122</v>
      </c>
      <c r="D194" s="1" t="s">
        <v>735</v>
      </c>
      <c r="E194" s="4">
        <v>45292</v>
      </c>
      <c r="F194" s="4">
        <v>45657</v>
      </c>
      <c r="H194" s="5">
        <v>892969.56</v>
      </c>
      <c r="I194" s="5">
        <v>60555.75</v>
      </c>
      <c r="J194" s="5">
        <v>39600</v>
      </c>
      <c r="K194" s="5">
        <v>36666.720000000001</v>
      </c>
      <c r="L194" s="5">
        <v>0</v>
      </c>
      <c r="M194" s="5">
        <v>136822.47</v>
      </c>
      <c r="N194" s="5">
        <v>690002.28</v>
      </c>
      <c r="O194" s="5">
        <v>0</v>
      </c>
      <c r="P194" s="5">
        <v>66144.81</v>
      </c>
      <c r="Q194" s="5">
        <v>756147.09</v>
      </c>
      <c r="R194" s="1" t="s">
        <v>834</v>
      </c>
      <c r="S194" s="1" t="s">
        <v>735</v>
      </c>
      <c r="T194" s="4">
        <v>45292</v>
      </c>
      <c r="U194" s="4">
        <v>45657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756147.09</v>
      </c>
      <c r="AH194" s="5">
        <v>93729.42</v>
      </c>
      <c r="AI194" s="5">
        <v>0</v>
      </c>
      <c r="AJ194" s="5">
        <v>95217.51</v>
      </c>
      <c r="AK194" s="5">
        <v>0</v>
      </c>
      <c r="AL194" s="5">
        <v>0</v>
      </c>
      <c r="AM194" s="5">
        <v>1488.09</v>
      </c>
      <c r="AN194" s="5">
        <v>93729.42</v>
      </c>
      <c r="AO194" s="1" t="s">
        <v>1177</v>
      </c>
    </row>
    <row r="195" spans="1:41" x14ac:dyDescent="0.25">
      <c r="A195" s="1">
        <f t="shared" si="4"/>
        <v>179</v>
      </c>
      <c r="B195" s="1" t="s">
        <v>391</v>
      </c>
      <c r="C195" s="1" t="s">
        <v>122</v>
      </c>
      <c r="D195" s="1" t="s">
        <v>735</v>
      </c>
      <c r="E195" s="4">
        <v>45292</v>
      </c>
      <c r="F195" s="4">
        <v>45657</v>
      </c>
      <c r="H195" s="5">
        <v>2914761.96</v>
      </c>
      <c r="I195" s="5">
        <v>90000</v>
      </c>
      <c r="J195" s="5">
        <v>36000</v>
      </c>
      <c r="K195" s="5">
        <v>48500</v>
      </c>
      <c r="L195" s="5">
        <v>0</v>
      </c>
      <c r="M195" s="5">
        <v>174500</v>
      </c>
      <c r="N195" s="5">
        <v>2218675</v>
      </c>
      <c r="O195" s="5">
        <v>98931.25</v>
      </c>
      <c r="P195" s="5">
        <v>422655.71</v>
      </c>
      <c r="Q195" s="5">
        <v>2740261.96</v>
      </c>
      <c r="R195" s="1" t="s">
        <v>835</v>
      </c>
      <c r="S195" s="1" t="s">
        <v>735</v>
      </c>
      <c r="T195" s="4">
        <v>45292</v>
      </c>
      <c r="U195" s="4">
        <v>45657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2740261.96</v>
      </c>
      <c r="AH195" s="5">
        <v>624578.59</v>
      </c>
      <c r="AI195" s="5">
        <v>0</v>
      </c>
      <c r="AJ195" s="5">
        <v>630630.91</v>
      </c>
      <c r="AK195" s="5">
        <v>0</v>
      </c>
      <c r="AL195" s="5">
        <v>0</v>
      </c>
      <c r="AM195" s="5">
        <v>6052.32</v>
      </c>
      <c r="AN195" s="5">
        <v>624578.59</v>
      </c>
      <c r="AO195" s="1" t="s">
        <v>1177</v>
      </c>
    </row>
    <row r="196" spans="1:41" x14ac:dyDescent="0.25">
      <c r="A196" s="1">
        <f t="shared" si="4"/>
        <v>180</v>
      </c>
      <c r="B196" s="1" t="s">
        <v>392</v>
      </c>
      <c r="C196" s="1" t="s">
        <v>122</v>
      </c>
      <c r="D196" s="1" t="s">
        <v>735</v>
      </c>
      <c r="E196" s="4">
        <v>45292</v>
      </c>
      <c r="F196" s="4">
        <v>45657</v>
      </c>
      <c r="H196" s="5">
        <v>863721.74</v>
      </c>
      <c r="I196" s="5">
        <v>55069.25</v>
      </c>
      <c r="J196" s="5">
        <v>39600</v>
      </c>
      <c r="K196" s="5">
        <v>35020.769999999997</v>
      </c>
      <c r="L196" s="5">
        <v>0</v>
      </c>
      <c r="M196" s="5">
        <v>129690.02</v>
      </c>
      <c r="N196" s="5">
        <v>625810.23</v>
      </c>
      <c r="O196" s="5">
        <v>0</v>
      </c>
      <c r="P196" s="5">
        <v>108221.49</v>
      </c>
      <c r="Q196" s="5">
        <v>734031.72</v>
      </c>
      <c r="R196" s="1" t="s">
        <v>836</v>
      </c>
      <c r="S196" s="1" t="s">
        <v>735</v>
      </c>
      <c r="T196" s="4">
        <v>45292</v>
      </c>
      <c r="U196" s="4">
        <v>45657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734031.72</v>
      </c>
      <c r="AH196" s="5">
        <v>89306.34</v>
      </c>
      <c r="AI196" s="5">
        <v>0</v>
      </c>
      <c r="AJ196" s="5">
        <v>88993.75</v>
      </c>
      <c r="AK196" s="5">
        <v>0</v>
      </c>
      <c r="AL196" s="5">
        <v>312.58999999999997</v>
      </c>
      <c r="AM196" s="5">
        <v>0</v>
      </c>
      <c r="AN196" s="5">
        <v>89306.34</v>
      </c>
      <c r="AO196" s="1" t="s">
        <v>1177</v>
      </c>
    </row>
    <row r="197" spans="1:41" x14ac:dyDescent="0.25">
      <c r="A197" s="1">
        <f t="shared" si="4"/>
        <v>181</v>
      </c>
      <c r="B197" s="1" t="s">
        <v>393</v>
      </c>
      <c r="C197" s="1" t="s">
        <v>122</v>
      </c>
      <c r="D197" s="1" t="s">
        <v>735</v>
      </c>
      <c r="E197" s="4">
        <v>45292</v>
      </c>
      <c r="F197" s="4">
        <v>45657</v>
      </c>
      <c r="H197" s="5">
        <v>3130321.97</v>
      </c>
      <c r="I197" s="5">
        <v>90000</v>
      </c>
      <c r="J197" s="5">
        <v>42000</v>
      </c>
      <c r="K197" s="5">
        <v>48500</v>
      </c>
      <c r="L197" s="5">
        <v>0</v>
      </c>
      <c r="M197" s="5">
        <v>180500</v>
      </c>
      <c r="N197" s="5">
        <v>2041500</v>
      </c>
      <c r="O197" s="5">
        <v>84166.67</v>
      </c>
      <c r="P197" s="5">
        <v>824155.3</v>
      </c>
      <c r="Q197" s="5">
        <v>2949821.97</v>
      </c>
      <c r="R197" s="1" t="s">
        <v>837</v>
      </c>
      <c r="S197" s="1" t="s">
        <v>735</v>
      </c>
      <c r="T197" s="4">
        <v>45292</v>
      </c>
      <c r="U197" s="4">
        <v>45657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2949821.97</v>
      </c>
      <c r="AH197" s="5">
        <v>687446.59</v>
      </c>
      <c r="AI197" s="5">
        <v>0</v>
      </c>
      <c r="AJ197" s="5">
        <v>696537.47</v>
      </c>
      <c r="AK197" s="5">
        <v>0</v>
      </c>
      <c r="AL197" s="5">
        <v>0</v>
      </c>
      <c r="AM197" s="5">
        <v>9090.8799999999992</v>
      </c>
      <c r="AN197" s="5">
        <v>687446.59</v>
      </c>
      <c r="AO197" s="1" t="s">
        <v>1177</v>
      </c>
    </row>
    <row r="198" spans="1:41" x14ac:dyDescent="0.25">
      <c r="A198" s="1">
        <f t="shared" si="4"/>
        <v>182</v>
      </c>
      <c r="B198" s="1" t="s">
        <v>394</v>
      </c>
      <c r="C198" s="1" t="s">
        <v>122</v>
      </c>
      <c r="D198" s="1" t="s">
        <v>735</v>
      </c>
      <c r="E198" s="4">
        <v>45292</v>
      </c>
      <c r="F198" s="4">
        <v>45657</v>
      </c>
      <c r="H198" s="5">
        <v>2844819.3</v>
      </c>
      <c r="I198" s="5">
        <v>90000</v>
      </c>
      <c r="J198" s="5">
        <v>42000</v>
      </c>
      <c r="K198" s="5">
        <v>48500</v>
      </c>
      <c r="L198" s="5">
        <v>0</v>
      </c>
      <c r="M198" s="5">
        <v>180500</v>
      </c>
      <c r="N198" s="5">
        <v>1777000</v>
      </c>
      <c r="O198" s="5">
        <v>62125</v>
      </c>
      <c r="P198" s="5">
        <v>825194.3</v>
      </c>
      <c r="Q198" s="5">
        <v>2664319.2999999998</v>
      </c>
      <c r="R198" s="1" t="s">
        <v>838</v>
      </c>
      <c r="S198" s="1" t="s">
        <v>735</v>
      </c>
      <c r="T198" s="4">
        <v>45292</v>
      </c>
      <c r="U198" s="4">
        <v>45657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2664319.2999999998</v>
      </c>
      <c r="AH198" s="5">
        <v>601795.79</v>
      </c>
      <c r="AI198" s="5">
        <v>0</v>
      </c>
      <c r="AJ198" s="5">
        <v>618362.23</v>
      </c>
      <c r="AK198" s="5">
        <v>0</v>
      </c>
      <c r="AL198" s="5">
        <v>0</v>
      </c>
      <c r="AM198" s="5">
        <v>16566.439999999999</v>
      </c>
      <c r="AN198" s="5">
        <v>601795.79</v>
      </c>
      <c r="AO198" s="1" t="s">
        <v>1177</v>
      </c>
    </row>
    <row r="199" spans="1:41" x14ac:dyDescent="0.25">
      <c r="A199" s="1">
        <f t="shared" si="4"/>
        <v>183</v>
      </c>
      <c r="B199" s="1" t="s">
        <v>395</v>
      </c>
      <c r="C199" s="1" t="s">
        <v>122</v>
      </c>
      <c r="D199" s="1" t="s">
        <v>735</v>
      </c>
      <c r="E199" s="4">
        <v>45292</v>
      </c>
      <c r="F199" s="4">
        <v>45657</v>
      </c>
      <c r="H199" s="5">
        <v>1087043.6399999999</v>
      </c>
      <c r="I199" s="5">
        <v>77633.33</v>
      </c>
      <c r="J199" s="5">
        <v>12000</v>
      </c>
      <c r="K199" s="5">
        <v>41790</v>
      </c>
      <c r="L199" s="5">
        <v>0</v>
      </c>
      <c r="M199" s="5">
        <v>131423.32999999999</v>
      </c>
      <c r="N199" s="5">
        <v>889810</v>
      </c>
      <c r="O199" s="5">
        <v>0</v>
      </c>
      <c r="P199" s="5">
        <v>65810.31</v>
      </c>
      <c r="Q199" s="5">
        <v>955620.31</v>
      </c>
      <c r="R199" s="1" t="s">
        <v>839</v>
      </c>
      <c r="S199" s="1" t="s">
        <v>735</v>
      </c>
      <c r="T199" s="4">
        <v>45292</v>
      </c>
      <c r="U199" s="4">
        <v>45657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955620.31</v>
      </c>
      <c r="AH199" s="5">
        <v>141405.07999999999</v>
      </c>
      <c r="AI199" s="5">
        <v>0</v>
      </c>
      <c r="AJ199" s="5">
        <v>142706.31</v>
      </c>
      <c r="AK199" s="5">
        <v>0</v>
      </c>
      <c r="AL199" s="5">
        <v>0</v>
      </c>
      <c r="AM199" s="5">
        <v>1301.23</v>
      </c>
      <c r="AN199" s="5">
        <v>141405.07999999999</v>
      </c>
      <c r="AO199" s="1" t="s">
        <v>1177</v>
      </c>
    </row>
    <row r="200" spans="1:41" x14ac:dyDescent="0.25">
      <c r="A200" s="1">
        <f t="shared" si="4"/>
        <v>184</v>
      </c>
      <c r="B200" s="1" t="s">
        <v>396</v>
      </c>
      <c r="C200" s="1" t="s">
        <v>122</v>
      </c>
      <c r="D200" s="1" t="s">
        <v>735</v>
      </c>
      <c r="E200" s="4">
        <v>45292</v>
      </c>
      <c r="F200" s="4">
        <v>45657</v>
      </c>
      <c r="H200" s="5">
        <v>1399799.61</v>
      </c>
      <c r="I200" s="5">
        <v>90000</v>
      </c>
      <c r="J200" s="5">
        <v>39600</v>
      </c>
      <c r="K200" s="5">
        <v>48500</v>
      </c>
      <c r="L200" s="5">
        <v>0</v>
      </c>
      <c r="M200" s="5">
        <v>178100</v>
      </c>
      <c r="N200" s="5">
        <v>1151500</v>
      </c>
      <c r="O200" s="5">
        <v>10000</v>
      </c>
      <c r="P200" s="5">
        <v>60199.61</v>
      </c>
      <c r="Q200" s="5">
        <v>1221699.6100000001</v>
      </c>
      <c r="R200" s="1" t="s">
        <v>840</v>
      </c>
      <c r="S200" s="1" t="s">
        <v>735</v>
      </c>
      <c r="T200" s="4">
        <v>45292</v>
      </c>
      <c r="U200" s="4">
        <v>45657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1221699.6100000001</v>
      </c>
      <c r="AH200" s="5">
        <v>207924.9</v>
      </c>
      <c r="AI200" s="5">
        <v>0</v>
      </c>
      <c r="AJ200" s="5">
        <v>207923.72</v>
      </c>
      <c r="AK200" s="5">
        <v>0</v>
      </c>
      <c r="AL200" s="5">
        <v>1.18</v>
      </c>
      <c r="AM200" s="5">
        <v>0</v>
      </c>
      <c r="AN200" s="5">
        <v>207924.9</v>
      </c>
      <c r="AO200" s="1" t="s">
        <v>1177</v>
      </c>
    </row>
    <row r="201" spans="1:41" x14ac:dyDescent="0.25">
      <c r="A201" s="1">
        <f t="shared" si="4"/>
        <v>185</v>
      </c>
      <c r="B201" s="1" t="s">
        <v>397</v>
      </c>
      <c r="C201" s="1" t="s">
        <v>122</v>
      </c>
      <c r="D201" s="1" t="s">
        <v>735</v>
      </c>
      <c r="E201" s="4">
        <v>45292</v>
      </c>
      <c r="F201" s="4">
        <v>45657</v>
      </c>
      <c r="H201" s="5">
        <v>3473750</v>
      </c>
      <c r="I201" s="5">
        <v>90000</v>
      </c>
      <c r="J201" s="5">
        <v>40250</v>
      </c>
      <c r="K201" s="5">
        <v>48500</v>
      </c>
      <c r="L201" s="5">
        <v>0</v>
      </c>
      <c r="M201" s="5">
        <v>178750</v>
      </c>
      <c r="N201" s="5">
        <v>2939500</v>
      </c>
      <c r="O201" s="5">
        <v>159000</v>
      </c>
      <c r="P201" s="5">
        <v>196500</v>
      </c>
      <c r="Q201" s="5">
        <v>3295000</v>
      </c>
      <c r="R201" s="1" t="s">
        <v>841</v>
      </c>
      <c r="S201" s="1" t="s">
        <v>735</v>
      </c>
      <c r="T201" s="4">
        <v>45292</v>
      </c>
      <c r="U201" s="4">
        <v>45657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3295000</v>
      </c>
      <c r="AH201" s="5">
        <v>791000</v>
      </c>
      <c r="AI201" s="5">
        <v>0</v>
      </c>
      <c r="AJ201" s="5">
        <v>790999.2</v>
      </c>
      <c r="AK201" s="5">
        <v>0</v>
      </c>
      <c r="AL201" s="5">
        <v>0.8</v>
      </c>
      <c r="AM201" s="5">
        <v>0</v>
      </c>
      <c r="AN201" s="5">
        <v>791000</v>
      </c>
      <c r="AO201" s="1" t="s">
        <v>1177</v>
      </c>
    </row>
    <row r="202" spans="1:41" x14ac:dyDescent="0.25">
      <c r="A202" s="1">
        <f t="shared" si="4"/>
        <v>186</v>
      </c>
      <c r="B202" s="1" t="s">
        <v>398</v>
      </c>
      <c r="C202" s="1" t="s">
        <v>122</v>
      </c>
      <c r="D202" s="1" t="s">
        <v>735</v>
      </c>
      <c r="E202" s="4">
        <v>45292</v>
      </c>
      <c r="F202" s="4">
        <v>45657</v>
      </c>
      <c r="H202" s="5">
        <v>1036292.3</v>
      </c>
      <c r="I202" s="5">
        <v>60322.400000000001</v>
      </c>
      <c r="J202" s="5">
        <v>39600</v>
      </c>
      <c r="K202" s="5">
        <v>36666.720000000001</v>
      </c>
      <c r="L202" s="5">
        <v>0</v>
      </c>
      <c r="M202" s="5">
        <v>136589.12</v>
      </c>
      <c r="N202" s="5">
        <v>687202.1</v>
      </c>
      <c r="O202" s="5">
        <v>0</v>
      </c>
      <c r="P202" s="5">
        <v>212501.08</v>
      </c>
      <c r="Q202" s="5">
        <v>899703.18</v>
      </c>
      <c r="R202" s="1" t="s">
        <v>842</v>
      </c>
      <c r="S202" s="1" t="s">
        <v>735</v>
      </c>
      <c r="T202" s="4">
        <v>45292</v>
      </c>
      <c r="U202" s="4">
        <v>45657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899703.18</v>
      </c>
      <c r="AH202" s="5">
        <v>127425.8</v>
      </c>
      <c r="AI202" s="5">
        <v>0</v>
      </c>
      <c r="AJ202" s="5">
        <v>127897.47</v>
      </c>
      <c r="AK202" s="5">
        <v>0</v>
      </c>
      <c r="AL202" s="5">
        <v>0</v>
      </c>
      <c r="AM202" s="5">
        <v>471.68</v>
      </c>
      <c r="AN202" s="5">
        <v>127425.8</v>
      </c>
      <c r="AO202" s="1" t="s">
        <v>1177</v>
      </c>
    </row>
    <row r="203" spans="1:41" x14ac:dyDescent="0.25">
      <c r="A203" s="1">
        <f t="shared" si="4"/>
        <v>187</v>
      </c>
      <c r="B203" s="1" t="s">
        <v>399</v>
      </c>
      <c r="C203" s="1" t="s">
        <v>122</v>
      </c>
      <c r="D203" s="1" t="s">
        <v>735</v>
      </c>
      <c r="E203" s="4">
        <v>45292</v>
      </c>
      <c r="F203" s="4">
        <v>45657</v>
      </c>
      <c r="H203" s="5">
        <v>1370881.92</v>
      </c>
      <c r="I203" s="5">
        <v>73553.13</v>
      </c>
      <c r="J203" s="5">
        <v>33300</v>
      </c>
      <c r="K203" s="5">
        <v>40565.9</v>
      </c>
      <c r="L203" s="5">
        <v>0</v>
      </c>
      <c r="M203" s="5">
        <v>147419.03</v>
      </c>
      <c r="N203" s="5">
        <v>842071.6</v>
      </c>
      <c r="O203" s="5">
        <v>0</v>
      </c>
      <c r="P203" s="5">
        <v>381391.29</v>
      </c>
      <c r="Q203" s="5">
        <v>1223462.8899999999</v>
      </c>
      <c r="R203" s="1" t="s">
        <v>843</v>
      </c>
      <c r="S203" s="1" t="s">
        <v>735</v>
      </c>
      <c r="T203" s="4">
        <v>45292</v>
      </c>
      <c r="U203" s="4">
        <v>45657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1223462.8899999999</v>
      </c>
      <c r="AH203" s="5">
        <v>208365.72</v>
      </c>
      <c r="AI203" s="5">
        <v>0</v>
      </c>
      <c r="AJ203" s="5">
        <v>208797.51</v>
      </c>
      <c r="AK203" s="5">
        <v>0</v>
      </c>
      <c r="AL203" s="5">
        <v>0</v>
      </c>
      <c r="AM203" s="5">
        <v>431.79</v>
      </c>
      <c r="AN203" s="5">
        <v>208365.72</v>
      </c>
      <c r="AO203" s="1" t="s">
        <v>1177</v>
      </c>
    </row>
    <row r="204" spans="1:41" x14ac:dyDescent="0.25">
      <c r="A204" s="1">
        <f t="shared" si="4"/>
        <v>188</v>
      </c>
      <c r="B204" s="1" t="s">
        <v>400</v>
      </c>
      <c r="C204" s="1" t="s">
        <v>122</v>
      </c>
      <c r="D204" s="1" t="s">
        <v>735</v>
      </c>
      <c r="E204" s="4">
        <v>45292</v>
      </c>
      <c r="F204" s="4">
        <v>45657</v>
      </c>
      <c r="H204" s="5">
        <v>446292.89</v>
      </c>
      <c r="I204" s="5">
        <v>30019.33</v>
      </c>
      <c r="J204" s="5">
        <v>39600</v>
      </c>
      <c r="K204" s="5">
        <v>27483.3</v>
      </c>
      <c r="L204" s="5">
        <v>0</v>
      </c>
      <c r="M204" s="5">
        <v>97102.63</v>
      </c>
      <c r="N204" s="5">
        <v>332748.7</v>
      </c>
      <c r="O204" s="5">
        <v>0</v>
      </c>
      <c r="P204" s="5">
        <v>16441.560000000001</v>
      </c>
      <c r="Q204" s="5">
        <v>349190.26</v>
      </c>
      <c r="R204" s="1" t="s">
        <v>844</v>
      </c>
      <c r="S204" s="1" t="s">
        <v>735</v>
      </c>
      <c r="T204" s="4">
        <v>45292</v>
      </c>
      <c r="U204" s="4">
        <v>45657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349190.26</v>
      </c>
      <c r="AH204" s="5">
        <v>14878.54</v>
      </c>
      <c r="AI204" s="5">
        <v>0</v>
      </c>
      <c r="AJ204" s="5">
        <v>15008.72</v>
      </c>
      <c r="AK204" s="5">
        <v>0</v>
      </c>
      <c r="AL204" s="5">
        <v>0</v>
      </c>
      <c r="AM204" s="5">
        <v>130.18</v>
      </c>
      <c r="AN204" s="5">
        <v>14878.54</v>
      </c>
      <c r="AO204" s="1" t="s">
        <v>1177</v>
      </c>
    </row>
    <row r="205" spans="1:41" x14ac:dyDescent="0.25">
      <c r="A205" s="1">
        <f t="shared" si="4"/>
        <v>189</v>
      </c>
      <c r="B205" s="1" t="s">
        <v>401</v>
      </c>
      <c r="C205" s="1" t="s">
        <v>122</v>
      </c>
      <c r="D205" s="1" t="s">
        <v>735</v>
      </c>
      <c r="E205" s="4">
        <v>45292</v>
      </c>
      <c r="F205" s="4">
        <v>45657</v>
      </c>
      <c r="H205" s="5">
        <v>466128.83</v>
      </c>
      <c r="I205" s="5">
        <v>33381.83</v>
      </c>
      <c r="J205" s="5">
        <v>18000</v>
      </c>
      <c r="K205" s="5">
        <v>28514.55</v>
      </c>
      <c r="L205" s="5">
        <v>0</v>
      </c>
      <c r="M205" s="5">
        <v>79896.38</v>
      </c>
      <c r="N205" s="5">
        <v>372067.45</v>
      </c>
      <c r="O205" s="5">
        <v>0</v>
      </c>
      <c r="P205" s="5">
        <v>14165</v>
      </c>
      <c r="Q205" s="5">
        <v>386232.45</v>
      </c>
      <c r="R205" s="1" t="s">
        <v>845</v>
      </c>
      <c r="S205" s="1" t="s">
        <v>735</v>
      </c>
      <c r="T205" s="4">
        <v>45292</v>
      </c>
      <c r="U205" s="4">
        <v>45657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386232.45</v>
      </c>
      <c r="AH205" s="5">
        <v>20434.87</v>
      </c>
      <c r="AI205" s="5">
        <v>0</v>
      </c>
      <c r="AJ205" s="5">
        <v>21141.94</v>
      </c>
      <c r="AK205" s="5">
        <v>0</v>
      </c>
      <c r="AL205" s="5">
        <v>0</v>
      </c>
      <c r="AM205" s="5">
        <v>707.07</v>
      </c>
      <c r="AN205" s="5">
        <v>20434.87</v>
      </c>
      <c r="AO205" s="1" t="s">
        <v>1177</v>
      </c>
    </row>
    <row r="206" spans="1:41" x14ac:dyDescent="0.25">
      <c r="A206" s="1">
        <f t="shared" si="4"/>
        <v>190</v>
      </c>
      <c r="B206" s="1" t="s">
        <v>402</v>
      </c>
      <c r="C206" s="1" t="s">
        <v>122</v>
      </c>
      <c r="D206" s="1" t="s">
        <v>735</v>
      </c>
      <c r="E206" s="4">
        <v>45292</v>
      </c>
      <c r="F206" s="4">
        <v>45657</v>
      </c>
      <c r="H206" s="5">
        <v>821234.39</v>
      </c>
      <c r="I206" s="5">
        <v>54139.88</v>
      </c>
      <c r="J206" s="5">
        <v>39600</v>
      </c>
      <c r="K206" s="5">
        <v>34741.919999999998</v>
      </c>
      <c r="L206" s="5">
        <v>0</v>
      </c>
      <c r="M206" s="5">
        <v>128481.8</v>
      </c>
      <c r="N206" s="5">
        <v>614936.57999999996</v>
      </c>
      <c r="O206" s="5">
        <v>0</v>
      </c>
      <c r="P206" s="5">
        <v>77816.009999999995</v>
      </c>
      <c r="Q206" s="5">
        <v>692752.59</v>
      </c>
      <c r="R206" s="1" t="s">
        <v>846</v>
      </c>
      <c r="S206" s="1" t="s">
        <v>735</v>
      </c>
      <c r="T206" s="4">
        <v>45292</v>
      </c>
      <c r="U206" s="4">
        <v>45657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692752.59</v>
      </c>
      <c r="AH206" s="5">
        <v>81050.52</v>
      </c>
      <c r="AI206" s="5">
        <v>0</v>
      </c>
      <c r="AJ206" s="5">
        <v>81512.070000000007</v>
      </c>
      <c r="AK206" s="5">
        <v>0</v>
      </c>
      <c r="AL206" s="5">
        <v>0</v>
      </c>
      <c r="AM206" s="5">
        <v>461.55</v>
      </c>
      <c r="AN206" s="5">
        <v>81050.52</v>
      </c>
      <c r="AO206" s="1" t="s">
        <v>1177</v>
      </c>
    </row>
    <row r="207" spans="1:41" x14ac:dyDescent="0.25">
      <c r="A207" s="1">
        <f t="shared" si="4"/>
        <v>191</v>
      </c>
      <c r="B207" s="1" t="s">
        <v>403</v>
      </c>
      <c r="C207" s="1" t="s">
        <v>122</v>
      </c>
      <c r="D207" s="1" t="s">
        <v>735</v>
      </c>
      <c r="E207" s="4">
        <v>45292</v>
      </c>
      <c r="F207" s="4">
        <v>45657</v>
      </c>
      <c r="H207" s="5">
        <v>856829.29</v>
      </c>
      <c r="I207" s="5">
        <v>62863.79</v>
      </c>
      <c r="J207" s="5">
        <v>39600</v>
      </c>
      <c r="K207" s="5">
        <v>37359.1</v>
      </c>
      <c r="L207" s="5">
        <v>0</v>
      </c>
      <c r="M207" s="5">
        <v>139822.89000000001</v>
      </c>
      <c r="N207" s="5">
        <v>717006.4</v>
      </c>
      <c r="O207" s="5">
        <v>0</v>
      </c>
      <c r="P207" s="5">
        <v>0</v>
      </c>
      <c r="Q207" s="5">
        <v>717006.4</v>
      </c>
      <c r="R207" s="1" t="s">
        <v>847</v>
      </c>
      <c r="S207" s="1" t="s">
        <v>735</v>
      </c>
      <c r="T207" s="4">
        <v>45292</v>
      </c>
      <c r="U207" s="4">
        <v>45657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717006.4</v>
      </c>
      <c r="AH207" s="5">
        <v>85901.28</v>
      </c>
      <c r="AI207" s="5">
        <v>0</v>
      </c>
      <c r="AJ207" s="5">
        <v>85899.63</v>
      </c>
      <c r="AK207" s="5">
        <v>0</v>
      </c>
      <c r="AL207" s="5">
        <v>1.65</v>
      </c>
      <c r="AM207" s="5">
        <v>0</v>
      </c>
      <c r="AN207" s="5">
        <v>85901.28</v>
      </c>
      <c r="AO207" s="1" t="s">
        <v>1177</v>
      </c>
    </row>
    <row r="208" spans="1:41" x14ac:dyDescent="0.25">
      <c r="A208" s="1">
        <f t="shared" si="4"/>
        <v>192</v>
      </c>
      <c r="B208" s="1" t="s">
        <v>404</v>
      </c>
      <c r="C208" s="1" t="s">
        <v>122</v>
      </c>
      <c r="D208" s="1" t="s">
        <v>735</v>
      </c>
      <c r="E208" s="4">
        <v>45292</v>
      </c>
      <c r="F208" s="4">
        <v>45657</v>
      </c>
      <c r="H208" s="5">
        <v>1093558.33</v>
      </c>
      <c r="I208" s="5">
        <v>81558.33</v>
      </c>
      <c r="J208" s="5">
        <v>33300</v>
      </c>
      <c r="K208" s="5">
        <v>42967.5</v>
      </c>
      <c r="L208" s="5">
        <v>0</v>
      </c>
      <c r="M208" s="5">
        <v>157825.82999999999</v>
      </c>
      <c r="N208" s="5">
        <v>935732.5</v>
      </c>
      <c r="O208" s="5">
        <v>0</v>
      </c>
      <c r="P208" s="5">
        <v>0</v>
      </c>
      <c r="Q208" s="5">
        <v>935732.5</v>
      </c>
      <c r="R208" s="1" t="s">
        <v>848</v>
      </c>
      <c r="S208" s="1" t="s">
        <v>735</v>
      </c>
      <c r="T208" s="4">
        <v>45292</v>
      </c>
      <c r="U208" s="4">
        <v>45657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935732.5</v>
      </c>
      <c r="AH208" s="5">
        <v>136433.13</v>
      </c>
      <c r="AI208" s="5">
        <v>0</v>
      </c>
      <c r="AJ208" s="5">
        <v>136431.96</v>
      </c>
      <c r="AK208" s="5">
        <v>0</v>
      </c>
      <c r="AL208" s="5">
        <v>1.1599999999999999</v>
      </c>
      <c r="AM208" s="5">
        <v>0</v>
      </c>
      <c r="AN208" s="5">
        <v>136433.13</v>
      </c>
      <c r="AO208" s="1" t="s">
        <v>1177</v>
      </c>
    </row>
    <row r="209" spans="1:41" x14ac:dyDescent="0.25">
      <c r="A209" s="1">
        <f t="shared" si="4"/>
        <v>193</v>
      </c>
      <c r="B209" s="1" t="s">
        <v>405</v>
      </c>
      <c r="C209" s="1" t="s">
        <v>122</v>
      </c>
      <c r="D209" s="1" t="s">
        <v>735</v>
      </c>
      <c r="E209" s="4">
        <v>45292</v>
      </c>
      <c r="F209" s="4">
        <v>45657</v>
      </c>
      <c r="H209" s="5">
        <v>506715.87</v>
      </c>
      <c r="I209" s="5">
        <v>36276.74</v>
      </c>
      <c r="J209" s="5">
        <v>12000</v>
      </c>
      <c r="K209" s="5">
        <v>29382.98</v>
      </c>
      <c r="L209" s="5">
        <v>0</v>
      </c>
      <c r="M209" s="5">
        <v>77659.72</v>
      </c>
      <c r="N209" s="5">
        <v>405937.91999999998</v>
      </c>
      <c r="O209" s="5">
        <v>0</v>
      </c>
      <c r="P209" s="5">
        <v>23118.23</v>
      </c>
      <c r="Q209" s="5">
        <v>429056.15</v>
      </c>
      <c r="R209" s="1" t="s">
        <v>849</v>
      </c>
      <c r="S209" s="1" t="s">
        <v>735</v>
      </c>
      <c r="T209" s="4">
        <v>45292</v>
      </c>
      <c r="U209" s="4">
        <v>45657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429056.15</v>
      </c>
      <c r="AH209" s="5">
        <v>28311.23</v>
      </c>
      <c r="AI209" s="5">
        <v>0</v>
      </c>
      <c r="AJ209" s="5">
        <v>28340.52</v>
      </c>
      <c r="AK209" s="5">
        <v>0</v>
      </c>
      <c r="AL209" s="5">
        <v>0</v>
      </c>
      <c r="AM209" s="5">
        <v>29.29</v>
      </c>
      <c r="AN209" s="5">
        <v>28311.23</v>
      </c>
      <c r="AO209" s="1" t="s">
        <v>1177</v>
      </c>
    </row>
    <row r="210" spans="1:41" x14ac:dyDescent="0.25">
      <c r="A210" s="1">
        <f t="shared" si="4"/>
        <v>194</v>
      </c>
      <c r="B210" s="1" t="s">
        <v>406</v>
      </c>
      <c r="C210" s="1" t="s">
        <v>122</v>
      </c>
      <c r="D210" s="1" t="s">
        <v>735</v>
      </c>
      <c r="E210" s="4">
        <v>45292</v>
      </c>
      <c r="F210" s="4">
        <v>45657</v>
      </c>
      <c r="H210" s="5">
        <v>403569.94</v>
      </c>
      <c r="I210" s="5">
        <v>27997.67</v>
      </c>
      <c r="J210" s="5">
        <v>39600</v>
      </c>
      <c r="K210" s="5">
        <v>26044.3</v>
      </c>
      <c r="L210" s="5">
        <v>0</v>
      </c>
      <c r="M210" s="5">
        <v>93641.97</v>
      </c>
      <c r="N210" s="5">
        <v>309927.7</v>
      </c>
      <c r="O210" s="5">
        <v>0</v>
      </c>
      <c r="P210" s="5">
        <v>0.27</v>
      </c>
      <c r="Q210" s="5">
        <v>309927.96999999997</v>
      </c>
      <c r="R210" s="1" t="s">
        <v>850</v>
      </c>
      <c r="S210" s="1" t="s">
        <v>735</v>
      </c>
      <c r="T210" s="4">
        <v>45292</v>
      </c>
      <c r="U210" s="4">
        <v>45657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309927.96999999997</v>
      </c>
      <c r="AH210" s="5">
        <v>8989.2000000000007</v>
      </c>
      <c r="AI210" s="5">
        <v>0</v>
      </c>
      <c r="AJ210" s="5">
        <v>8988.09</v>
      </c>
      <c r="AK210" s="5">
        <v>0</v>
      </c>
      <c r="AL210" s="5">
        <v>1.1100000000000001</v>
      </c>
      <c r="AM210" s="5">
        <v>0</v>
      </c>
      <c r="AN210" s="5">
        <v>8989.2000000000007</v>
      </c>
      <c r="AO210" s="1" t="s">
        <v>1177</v>
      </c>
    </row>
    <row r="211" spans="1:41" x14ac:dyDescent="0.25">
      <c r="A211" s="1">
        <f t="shared" si="4"/>
        <v>195</v>
      </c>
      <c r="B211" s="1" t="s">
        <v>407</v>
      </c>
      <c r="C211" s="1" t="s">
        <v>122</v>
      </c>
      <c r="D211" s="1" t="s">
        <v>735</v>
      </c>
      <c r="E211" s="4">
        <v>45292</v>
      </c>
      <c r="F211" s="4">
        <v>45657</v>
      </c>
      <c r="H211" s="5">
        <v>359138.71</v>
      </c>
      <c r="I211" s="5">
        <v>24336.29</v>
      </c>
      <c r="J211" s="5">
        <v>39600</v>
      </c>
      <c r="K211" s="5">
        <v>23325.85</v>
      </c>
      <c r="L211" s="5">
        <v>0</v>
      </c>
      <c r="M211" s="5">
        <v>87262.14</v>
      </c>
      <c r="N211" s="5">
        <v>268709.65000000002</v>
      </c>
      <c r="O211" s="5">
        <v>0</v>
      </c>
      <c r="P211" s="5">
        <v>3166.92</v>
      </c>
      <c r="Q211" s="5">
        <v>271876.57</v>
      </c>
      <c r="R211" s="1" t="s">
        <v>851</v>
      </c>
      <c r="S211" s="1" t="s">
        <v>735</v>
      </c>
      <c r="T211" s="4">
        <v>45292</v>
      </c>
      <c r="U211" s="4">
        <v>45657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271876.57</v>
      </c>
      <c r="AH211" s="5">
        <v>3281.49</v>
      </c>
      <c r="AI211" s="5">
        <v>0</v>
      </c>
      <c r="AJ211" s="5">
        <v>3280.29</v>
      </c>
      <c r="AK211" s="5">
        <v>0</v>
      </c>
      <c r="AL211" s="5">
        <v>1.2</v>
      </c>
      <c r="AM211" s="5">
        <v>0</v>
      </c>
      <c r="AN211" s="5">
        <v>3281.49</v>
      </c>
      <c r="AO211" s="1" t="s">
        <v>1177</v>
      </c>
    </row>
    <row r="212" spans="1:41" x14ac:dyDescent="0.25">
      <c r="A212" s="1">
        <f t="shared" si="4"/>
        <v>196</v>
      </c>
      <c r="B212" s="1" t="s">
        <v>408</v>
      </c>
      <c r="C212" s="1" t="s">
        <v>122</v>
      </c>
      <c r="D212" s="1" t="s">
        <v>735</v>
      </c>
      <c r="E212" s="4">
        <v>45292</v>
      </c>
      <c r="F212" s="4">
        <v>45657</v>
      </c>
      <c r="H212" s="5">
        <v>566862.96</v>
      </c>
      <c r="I212" s="5">
        <v>38766</v>
      </c>
      <c r="J212" s="5">
        <v>39600</v>
      </c>
      <c r="K212" s="5">
        <v>30129.8</v>
      </c>
      <c r="L212" s="5">
        <v>0</v>
      </c>
      <c r="M212" s="5">
        <v>108495.8</v>
      </c>
      <c r="N212" s="5">
        <v>435062.2</v>
      </c>
      <c r="O212" s="5">
        <v>0</v>
      </c>
      <c r="P212" s="5">
        <v>23304.959999999999</v>
      </c>
      <c r="Q212" s="5">
        <v>458367.16</v>
      </c>
      <c r="R212" s="1" t="s">
        <v>852</v>
      </c>
      <c r="S212" s="1" t="s">
        <v>735</v>
      </c>
      <c r="T212" s="4">
        <v>45292</v>
      </c>
      <c r="U212" s="4">
        <v>45657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458367.16</v>
      </c>
      <c r="AH212" s="5">
        <v>34173.43</v>
      </c>
      <c r="AI212" s="5">
        <v>0</v>
      </c>
      <c r="AJ212" s="5">
        <v>34178.81</v>
      </c>
      <c r="AK212" s="5">
        <v>0</v>
      </c>
      <c r="AL212" s="5">
        <v>0</v>
      </c>
      <c r="AM212" s="5">
        <v>5.38</v>
      </c>
      <c r="AN212" s="5">
        <v>34173.43</v>
      </c>
      <c r="AO212" s="1" t="s">
        <v>1177</v>
      </c>
    </row>
    <row r="213" spans="1:41" x14ac:dyDescent="0.25">
      <c r="A213" s="1">
        <f t="shared" si="4"/>
        <v>197</v>
      </c>
      <c r="B213" s="1" t="s">
        <v>409</v>
      </c>
      <c r="C213" s="1" t="s">
        <v>122</v>
      </c>
      <c r="D213" s="1" t="s">
        <v>735</v>
      </c>
      <c r="E213" s="4">
        <v>45292</v>
      </c>
      <c r="F213" s="4">
        <v>45657</v>
      </c>
      <c r="H213" s="5">
        <v>2156912.5</v>
      </c>
      <c r="I213" s="5">
        <v>90000</v>
      </c>
      <c r="J213" s="5">
        <v>24000</v>
      </c>
      <c r="K213" s="5">
        <v>48500</v>
      </c>
      <c r="L213" s="5">
        <v>40000</v>
      </c>
      <c r="M213" s="5">
        <v>202500</v>
      </c>
      <c r="N213" s="5">
        <v>1513900</v>
      </c>
      <c r="O213" s="5">
        <v>40200</v>
      </c>
      <c r="P213" s="5">
        <v>400312.5</v>
      </c>
      <c r="Q213" s="5">
        <v>1954412.5</v>
      </c>
      <c r="R213" s="1" t="s">
        <v>853</v>
      </c>
      <c r="S213" s="1" t="s">
        <v>735</v>
      </c>
      <c r="T213" s="4">
        <v>45292</v>
      </c>
      <c r="U213" s="4">
        <v>45657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1954412.5</v>
      </c>
      <c r="AH213" s="5">
        <v>391103.13</v>
      </c>
      <c r="AI213" s="5">
        <v>0</v>
      </c>
      <c r="AJ213" s="5">
        <v>410723.8</v>
      </c>
      <c r="AK213" s="5">
        <v>0</v>
      </c>
      <c r="AL213" s="5">
        <v>0</v>
      </c>
      <c r="AM213" s="5">
        <v>19620.68</v>
      </c>
      <c r="AN213" s="5">
        <v>391103.13</v>
      </c>
      <c r="AO213" s="1" t="s">
        <v>1177</v>
      </c>
    </row>
    <row r="214" spans="1:41" x14ac:dyDescent="0.25">
      <c r="A214" s="1">
        <f t="shared" si="4"/>
        <v>198</v>
      </c>
      <c r="B214" s="1" t="s">
        <v>410</v>
      </c>
      <c r="C214" s="1" t="s">
        <v>122</v>
      </c>
      <c r="D214" s="1" t="s">
        <v>735</v>
      </c>
      <c r="E214" s="4">
        <v>45292</v>
      </c>
      <c r="F214" s="4">
        <v>45657</v>
      </c>
      <c r="H214" s="5">
        <v>641586.85</v>
      </c>
      <c r="I214" s="5">
        <v>44906.879999999997</v>
      </c>
      <c r="J214" s="5">
        <v>39600</v>
      </c>
      <c r="K214" s="5">
        <v>32024.57</v>
      </c>
      <c r="L214" s="5">
        <v>0</v>
      </c>
      <c r="M214" s="5">
        <v>116531.45</v>
      </c>
      <c r="N214" s="5">
        <v>506858</v>
      </c>
      <c r="O214" s="5">
        <v>0</v>
      </c>
      <c r="P214" s="5">
        <v>18197.400000000001</v>
      </c>
      <c r="Q214" s="5">
        <v>525055.4</v>
      </c>
      <c r="R214" s="1" t="s">
        <v>854</v>
      </c>
      <c r="S214" s="1" t="s">
        <v>735</v>
      </c>
      <c r="T214" s="4">
        <v>45292</v>
      </c>
      <c r="U214" s="4">
        <v>45657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525055.4</v>
      </c>
      <c r="AH214" s="5">
        <v>47511.08</v>
      </c>
      <c r="AI214" s="5">
        <v>0</v>
      </c>
      <c r="AJ214" s="5">
        <v>47509.5</v>
      </c>
      <c r="AK214" s="5">
        <v>0</v>
      </c>
      <c r="AL214" s="5">
        <v>1.58</v>
      </c>
      <c r="AM214" s="5">
        <v>0</v>
      </c>
      <c r="AN214" s="5">
        <v>47511.08</v>
      </c>
      <c r="AO214" s="1" t="s">
        <v>1177</v>
      </c>
    </row>
    <row r="215" spans="1:41" x14ac:dyDescent="0.25">
      <c r="A215" s="1">
        <f t="shared" si="4"/>
        <v>199</v>
      </c>
      <c r="B215" s="1" t="s">
        <v>411</v>
      </c>
      <c r="C215" s="1" t="s">
        <v>122</v>
      </c>
      <c r="D215" s="1" t="s">
        <v>735</v>
      </c>
      <c r="E215" s="4">
        <v>45292</v>
      </c>
      <c r="F215" s="4">
        <v>45657</v>
      </c>
      <c r="H215" s="5">
        <v>800371.17</v>
      </c>
      <c r="I215" s="5">
        <v>45082.04</v>
      </c>
      <c r="J215" s="5">
        <v>39600</v>
      </c>
      <c r="K215" s="5">
        <v>32024.57</v>
      </c>
      <c r="L215" s="5">
        <v>0</v>
      </c>
      <c r="M215" s="5">
        <v>116706.61</v>
      </c>
      <c r="N215" s="5">
        <v>508959.93</v>
      </c>
      <c r="O215" s="5">
        <v>0</v>
      </c>
      <c r="P215" s="5">
        <v>174704.63</v>
      </c>
      <c r="Q215" s="5">
        <v>683664.56</v>
      </c>
      <c r="R215" s="1" t="s">
        <v>855</v>
      </c>
      <c r="S215" s="1" t="s">
        <v>735</v>
      </c>
      <c r="T215" s="4">
        <v>45292</v>
      </c>
      <c r="U215" s="4">
        <v>45657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683664.56</v>
      </c>
      <c r="AH215" s="5">
        <v>79232.91</v>
      </c>
      <c r="AI215" s="5">
        <v>0</v>
      </c>
      <c r="AJ215" s="5">
        <v>80962.929999999993</v>
      </c>
      <c r="AK215" s="5">
        <v>0</v>
      </c>
      <c r="AL215" s="5">
        <v>0</v>
      </c>
      <c r="AM215" s="5">
        <v>1730.02</v>
      </c>
      <c r="AN215" s="5">
        <v>79232.91</v>
      </c>
      <c r="AO215" s="1" t="s">
        <v>1177</v>
      </c>
    </row>
    <row r="216" spans="1:41" x14ac:dyDescent="0.25">
      <c r="A216" s="1">
        <f t="shared" si="4"/>
        <v>200</v>
      </c>
      <c r="B216" s="1" t="s">
        <v>412</v>
      </c>
      <c r="C216" s="1" t="s">
        <v>122</v>
      </c>
      <c r="D216" s="1" t="s">
        <v>735</v>
      </c>
      <c r="E216" s="4">
        <v>45292</v>
      </c>
      <c r="F216" s="4">
        <v>45657</v>
      </c>
      <c r="H216" s="5">
        <v>334595.90000000002</v>
      </c>
      <c r="I216" s="5">
        <v>22576.75</v>
      </c>
      <c r="J216" s="5">
        <v>39600</v>
      </c>
      <c r="K216" s="5">
        <v>21785.52</v>
      </c>
      <c r="L216" s="5">
        <v>0</v>
      </c>
      <c r="M216" s="5">
        <v>83962.27</v>
      </c>
      <c r="N216" s="5">
        <v>249135.48</v>
      </c>
      <c r="O216" s="5">
        <v>0</v>
      </c>
      <c r="P216" s="5">
        <v>1498.15</v>
      </c>
      <c r="Q216" s="5">
        <v>250633.63</v>
      </c>
      <c r="R216" s="1" t="s">
        <v>856</v>
      </c>
      <c r="S216" s="1" t="s">
        <v>735</v>
      </c>
      <c r="T216" s="4">
        <v>45292</v>
      </c>
      <c r="U216" s="4">
        <v>45657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250633.63</v>
      </c>
      <c r="AH216" s="5">
        <v>95.04</v>
      </c>
      <c r="AI216" s="5">
        <v>0</v>
      </c>
      <c r="AJ216" s="5">
        <v>1936.62</v>
      </c>
      <c r="AK216" s="5">
        <v>0</v>
      </c>
      <c r="AL216" s="5">
        <v>0</v>
      </c>
      <c r="AM216" s="5">
        <v>1841.58</v>
      </c>
      <c r="AN216" s="5">
        <v>95.04</v>
      </c>
      <c r="AO216" s="1" t="s">
        <v>1177</v>
      </c>
    </row>
    <row r="217" spans="1:41" x14ac:dyDescent="0.25">
      <c r="A217" s="1">
        <f t="shared" si="4"/>
        <v>201</v>
      </c>
      <c r="B217" s="1" t="s">
        <v>413</v>
      </c>
      <c r="C217" s="1" t="s">
        <v>122</v>
      </c>
      <c r="D217" s="1" t="s">
        <v>735</v>
      </c>
      <c r="E217" s="4">
        <v>45292</v>
      </c>
      <c r="F217" s="4">
        <v>45657</v>
      </c>
      <c r="H217" s="5">
        <v>337884.98</v>
      </c>
      <c r="I217" s="5">
        <v>21255.13</v>
      </c>
      <c r="J217" s="5">
        <v>39600</v>
      </c>
      <c r="K217" s="5">
        <v>21614</v>
      </c>
      <c r="L217" s="5">
        <v>0</v>
      </c>
      <c r="M217" s="5">
        <v>82469.13</v>
      </c>
      <c r="N217" s="5">
        <v>233447.5</v>
      </c>
      <c r="O217" s="5">
        <v>0</v>
      </c>
      <c r="P217" s="5">
        <v>21968.35</v>
      </c>
      <c r="Q217" s="5">
        <v>255415.85</v>
      </c>
      <c r="R217" s="1" t="s">
        <v>857</v>
      </c>
      <c r="S217" s="1" t="s">
        <v>735</v>
      </c>
      <c r="T217" s="4">
        <v>45292</v>
      </c>
      <c r="U217" s="4">
        <v>45657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255415.85</v>
      </c>
      <c r="AH217" s="5">
        <v>812.38</v>
      </c>
      <c r="AI217" s="5">
        <v>0</v>
      </c>
      <c r="AJ217" s="5">
        <v>2386.9699999999998</v>
      </c>
      <c r="AK217" s="5">
        <v>0</v>
      </c>
      <c r="AL217" s="5">
        <v>0</v>
      </c>
      <c r="AM217" s="5">
        <v>1574.59</v>
      </c>
      <c r="AN217" s="5">
        <v>812.38</v>
      </c>
      <c r="AO217" s="1" t="s">
        <v>1177</v>
      </c>
    </row>
    <row r="218" spans="1:41" x14ac:dyDescent="0.25">
      <c r="A218" s="1">
        <f t="shared" si="4"/>
        <v>202</v>
      </c>
      <c r="B218" s="1" t="s">
        <v>414</v>
      </c>
      <c r="C218" s="1" t="s">
        <v>122</v>
      </c>
      <c r="D218" s="1" t="s">
        <v>735</v>
      </c>
      <c r="E218" s="4">
        <v>45292</v>
      </c>
      <c r="F218" s="4">
        <v>45657</v>
      </c>
      <c r="H218" s="5">
        <v>328795.26</v>
      </c>
      <c r="I218" s="5">
        <v>19789.330000000002</v>
      </c>
      <c r="J218" s="5">
        <v>39600</v>
      </c>
      <c r="K218" s="5">
        <v>20769.3</v>
      </c>
      <c r="L218" s="5">
        <v>0</v>
      </c>
      <c r="M218" s="5">
        <v>80158.63</v>
      </c>
      <c r="N218" s="5">
        <v>216702.7</v>
      </c>
      <c r="O218" s="5">
        <v>0</v>
      </c>
      <c r="P218" s="5">
        <v>31933.93</v>
      </c>
      <c r="Q218" s="5">
        <v>248636.63</v>
      </c>
      <c r="R218" s="1" t="s">
        <v>858</v>
      </c>
      <c r="S218" s="1" t="s">
        <v>735</v>
      </c>
      <c r="T218" s="4">
        <v>45292</v>
      </c>
      <c r="U218" s="4">
        <v>45657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248636.63</v>
      </c>
      <c r="AH218" s="5">
        <v>0</v>
      </c>
      <c r="AI218" s="5">
        <v>0</v>
      </c>
      <c r="AJ218" s="5">
        <v>2250.02</v>
      </c>
      <c r="AK218" s="5">
        <v>0</v>
      </c>
      <c r="AL218" s="5">
        <v>0</v>
      </c>
      <c r="AM218" s="5">
        <v>2250.02</v>
      </c>
      <c r="AN218" s="5">
        <v>0</v>
      </c>
      <c r="AO218" s="1" t="s">
        <v>1177</v>
      </c>
    </row>
    <row r="219" spans="1:41" x14ac:dyDescent="0.25">
      <c r="A219" s="1">
        <f t="shared" si="4"/>
        <v>203</v>
      </c>
      <c r="B219" s="1" t="s">
        <v>415</v>
      </c>
      <c r="C219" s="1" t="s">
        <v>122</v>
      </c>
      <c r="D219" s="1" t="s">
        <v>735</v>
      </c>
      <c r="E219" s="4">
        <v>45292</v>
      </c>
      <c r="F219" s="4">
        <v>45657</v>
      </c>
      <c r="H219" s="5">
        <v>348891.05</v>
      </c>
      <c r="I219" s="5">
        <v>21217.88</v>
      </c>
      <c r="J219" s="5">
        <v>39600</v>
      </c>
      <c r="K219" s="5">
        <v>22075.32</v>
      </c>
      <c r="L219" s="5">
        <v>0</v>
      </c>
      <c r="M219" s="5">
        <v>82893.2</v>
      </c>
      <c r="N219" s="5">
        <v>232539.18</v>
      </c>
      <c r="O219" s="5">
        <v>0</v>
      </c>
      <c r="P219" s="5">
        <v>33458.67</v>
      </c>
      <c r="Q219" s="5">
        <v>265997.84999999998</v>
      </c>
      <c r="R219" s="1" t="s">
        <v>859</v>
      </c>
      <c r="S219" s="1" t="s">
        <v>735</v>
      </c>
      <c r="T219" s="4">
        <v>45292</v>
      </c>
      <c r="U219" s="4">
        <v>45657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265997.84999999998</v>
      </c>
      <c r="AH219" s="5">
        <v>2399.6799999999998</v>
      </c>
      <c r="AI219" s="5">
        <v>0</v>
      </c>
      <c r="AJ219" s="5">
        <v>3147.24</v>
      </c>
      <c r="AK219" s="5">
        <v>0</v>
      </c>
      <c r="AL219" s="5">
        <v>0</v>
      </c>
      <c r="AM219" s="5">
        <v>747.56</v>
      </c>
      <c r="AN219" s="5">
        <v>2399.6799999999998</v>
      </c>
      <c r="AO219" s="1" t="s">
        <v>1177</v>
      </c>
    </row>
    <row r="220" spans="1:41" x14ac:dyDescent="0.25">
      <c r="A220" s="1">
        <f t="shared" si="4"/>
        <v>204</v>
      </c>
      <c r="B220" s="1" t="s">
        <v>416</v>
      </c>
      <c r="C220" s="1" t="s">
        <v>122</v>
      </c>
      <c r="D220" s="1" t="s">
        <v>735</v>
      </c>
      <c r="E220" s="4">
        <v>45292</v>
      </c>
      <c r="F220" s="4">
        <v>45657</v>
      </c>
      <c r="H220" s="5">
        <v>415685.05</v>
      </c>
      <c r="I220" s="5">
        <v>27636.04</v>
      </c>
      <c r="J220" s="5">
        <v>33300</v>
      </c>
      <c r="K220" s="5">
        <v>26093.27</v>
      </c>
      <c r="L220" s="5">
        <v>14000</v>
      </c>
      <c r="M220" s="5">
        <v>101029.31</v>
      </c>
      <c r="N220" s="5">
        <v>305539.23</v>
      </c>
      <c r="O220" s="5">
        <v>0</v>
      </c>
      <c r="P220" s="5">
        <v>9116.51</v>
      </c>
      <c r="Q220" s="5">
        <v>314655.74</v>
      </c>
      <c r="R220" s="1" t="s">
        <v>860</v>
      </c>
      <c r="S220" s="1" t="s">
        <v>735</v>
      </c>
      <c r="T220" s="4">
        <v>45292</v>
      </c>
      <c r="U220" s="4">
        <v>45657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314655.74</v>
      </c>
      <c r="AH220" s="5">
        <v>9698.36</v>
      </c>
      <c r="AI220" s="5">
        <v>0</v>
      </c>
      <c r="AJ220" s="5">
        <v>9697.18</v>
      </c>
      <c r="AK220" s="5">
        <v>0</v>
      </c>
      <c r="AL220" s="5">
        <v>1.18</v>
      </c>
      <c r="AM220" s="5">
        <v>0</v>
      </c>
      <c r="AN220" s="5">
        <v>9698.36</v>
      </c>
      <c r="AO220" s="1" t="s">
        <v>1177</v>
      </c>
    </row>
    <row r="221" spans="1:41" x14ac:dyDescent="0.25">
      <c r="A221" s="1">
        <f t="shared" si="4"/>
        <v>205</v>
      </c>
      <c r="B221" s="1" t="s">
        <v>417</v>
      </c>
      <c r="C221" s="1" t="s">
        <v>122</v>
      </c>
      <c r="D221" s="1" t="s">
        <v>735</v>
      </c>
      <c r="E221" s="4">
        <v>45292</v>
      </c>
      <c r="F221" s="4">
        <v>45657</v>
      </c>
      <c r="H221" s="5">
        <v>490821.37</v>
      </c>
      <c r="I221" s="5">
        <v>33210.379999999997</v>
      </c>
      <c r="J221" s="5">
        <v>39600</v>
      </c>
      <c r="K221" s="5">
        <v>28328.07</v>
      </c>
      <c r="L221" s="5">
        <v>0</v>
      </c>
      <c r="M221" s="5">
        <v>101138.45</v>
      </c>
      <c r="N221" s="5">
        <v>370196.43</v>
      </c>
      <c r="O221" s="5">
        <v>0</v>
      </c>
      <c r="P221" s="5">
        <v>19486.490000000002</v>
      </c>
      <c r="Q221" s="5">
        <v>389682.92</v>
      </c>
      <c r="R221" s="1" t="s">
        <v>861</v>
      </c>
      <c r="S221" s="1" t="s">
        <v>735</v>
      </c>
      <c r="T221" s="4">
        <v>45292</v>
      </c>
      <c r="U221" s="4">
        <v>45657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389682.92</v>
      </c>
      <c r="AH221" s="5">
        <v>20952.439999999999</v>
      </c>
      <c r="AI221" s="5">
        <v>0</v>
      </c>
      <c r="AJ221" s="5">
        <v>21562.61</v>
      </c>
      <c r="AK221" s="5">
        <v>0</v>
      </c>
      <c r="AL221" s="5">
        <v>0</v>
      </c>
      <c r="AM221" s="5">
        <v>610.16999999999996</v>
      </c>
      <c r="AN221" s="5">
        <v>20952.439999999999</v>
      </c>
      <c r="AO221" s="1" t="s">
        <v>1177</v>
      </c>
    </row>
    <row r="222" spans="1:41" x14ac:dyDescent="0.25">
      <c r="A222" s="1">
        <f t="shared" si="4"/>
        <v>206</v>
      </c>
      <c r="B222" s="1" t="s">
        <v>418</v>
      </c>
      <c r="C222" s="1" t="s">
        <v>122</v>
      </c>
      <c r="D222" s="1" t="s">
        <v>735</v>
      </c>
      <c r="E222" s="4">
        <v>45292</v>
      </c>
      <c r="F222" s="4">
        <v>45657</v>
      </c>
      <c r="H222" s="5">
        <v>390767.14</v>
      </c>
      <c r="I222" s="5">
        <v>24045.75</v>
      </c>
      <c r="J222" s="5">
        <v>39600</v>
      </c>
      <c r="K222" s="5">
        <v>24543.72</v>
      </c>
      <c r="L222" s="5">
        <v>0</v>
      </c>
      <c r="M222" s="5">
        <v>88189.47</v>
      </c>
      <c r="N222" s="5">
        <v>264005.28000000003</v>
      </c>
      <c r="O222" s="5">
        <v>0</v>
      </c>
      <c r="P222" s="5">
        <v>38572.39</v>
      </c>
      <c r="Q222" s="5">
        <v>302577.67</v>
      </c>
      <c r="R222" s="1" t="s">
        <v>862</v>
      </c>
      <c r="S222" s="1" t="s">
        <v>735</v>
      </c>
      <c r="T222" s="4">
        <v>45292</v>
      </c>
      <c r="U222" s="4">
        <v>45657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302577.67</v>
      </c>
      <c r="AH222" s="5">
        <v>7886.65</v>
      </c>
      <c r="AI222" s="5">
        <v>0</v>
      </c>
      <c r="AJ222" s="5">
        <v>7885.45</v>
      </c>
      <c r="AK222" s="5">
        <v>0</v>
      </c>
      <c r="AL222" s="5">
        <v>1.2</v>
      </c>
      <c r="AM222" s="5">
        <v>0</v>
      </c>
      <c r="AN222" s="5">
        <v>7886.65</v>
      </c>
      <c r="AO222" s="1" t="s">
        <v>1177</v>
      </c>
    </row>
    <row r="223" spans="1:41" x14ac:dyDescent="0.25">
      <c r="A223" s="1">
        <f t="shared" ref="A223:A286" si="5">A222+1</f>
        <v>207</v>
      </c>
      <c r="B223" s="1" t="s">
        <v>419</v>
      </c>
      <c r="C223" s="1" t="s">
        <v>122</v>
      </c>
      <c r="D223" s="1" t="s">
        <v>735</v>
      </c>
      <c r="E223" s="4">
        <v>45292</v>
      </c>
      <c r="F223" s="4">
        <v>45657</v>
      </c>
      <c r="H223" s="5">
        <v>453488.96</v>
      </c>
      <c r="I223" s="5">
        <v>29330.43</v>
      </c>
      <c r="J223" s="5">
        <v>39600</v>
      </c>
      <c r="K223" s="5">
        <v>27332.46</v>
      </c>
      <c r="L223" s="5">
        <v>0</v>
      </c>
      <c r="M223" s="5">
        <v>96262.89</v>
      </c>
      <c r="N223" s="5">
        <v>324632.71000000002</v>
      </c>
      <c r="O223" s="5">
        <v>0</v>
      </c>
      <c r="P223" s="5">
        <v>32593.360000000001</v>
      </c>
      <c r="Q223" s="5">
        <v>357226.07</v>
      </c>
      <c r="R223" s="1" t="s">
        <v>863</v>
      </c>
      <c r="S223" s="1" t="s">
        <v>735</v>
      </c>
      <c r="T223" s="4">
        <v>45292</v>
      </c>
      <c r="U223" s="4">
        <v>45657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357226.07</v>
      </c>
      <c r="AH223" s="5">
        <v>16083.91</v>
      </c>
      <c r="AI223" s="5">
        <v>0</v>
      </c>
      <c r="AJ223" s="5">
        <v>16390.53</v>
      </c>
      <c r="AK223" s="5">
        <v>0</v>
      </c>
      <c r="AL223" s="5">
        <v>0</v>
      </c>
      <c r="AM223" s="5">
        <v>306.62</v>
      </c>
      <c r="AN223" s="5">
        <v>16083.91</v>
      </c>
      <c r="AO223" s="1" t="s">
        <v>1177</v>
      </c>
    </row>
    <row r="224" spans="1:41" x14ac:dyDescent="0.25">
      <c r="A224" s="1">
        <f t="shared" si="5"/>
        <v>208</v>
      </c>
      <c r="B224" s="1" t="s">
        <v>420</v>
      </c>
      <c r="C224" s="1" t="s">
        <v>122</v>
      </c>
      <c r="D224" s="1" t="s">
        <v>735</v>
      </c>
      <c r="E224" s="4">
        <v>45292</v>
      </c>
      <c r="F224" s="4">
        <v>45657</v>
      </c>
      <c r="H224" s="5">
        <v>500499.57</v>
      </c>
      <c r="I224" s="5">
        <v>32149.08</v>
      </c>
      <c r="J224" s="5">
        <v>39600</v>
      </c>
      <c r="K224" s="5">
        <v>28144.720000000001</v>
      </c>
      <c r="L224" s="5">
        <v>0</v>
      </c>
      <c r="M224" s="5">
        <v>99893.8</v>
      </c>
      <c r="N224" s="5">
        <v>357644.28</v>
      </c>
      <c r="O224" s="5">
        <v>0</v>
      </c>
      <c r="P224" s="5">
        <v>42961.49</v>
      </c>
      <c r="Q224" s="5">
        <v>400605.77</v>
      </c>
      <c r="R224" s="1" t="s">
        <v>864</v>
      </c>
      <c r="S224" s="1" t="s">
        <v>735</v>
      </c>
      <c r="T224" s="4">
        <v>45292</v>
      </c>
      <c r="U224" s="4">
        <v>45657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400605.77</v>
      </c>
      <c r="AH224" s="5">
        <v>22621.15</v>
      </c>
      <c r="AI224" s="5">
        <v>0</v>
      </c>
      <c r="AJ224" s="5">
        <v>23327.68</v>
      </c>
      <c r="AK224" s="5">
        <v>0</v>
      </c>
      <c r="AL224" s="5">
        <v>0</v>
      </c>
      <c r="AM224" s="5">
        <v>706.53</v>
      </c>
      <c r="AN224" s="5">
        <v>22621.15</v>
      </c>
      <c r="AO224" s="1" t="s">
        <v>1177</v>
      </c>
    </row>
    <row r="225" spans="1:41" x14ac:dyDescent="0.25">
      <c r="A225" s="1">
        <f t="shared" si="5"/>
        <v>209</v>
      </c>
      <c r="B225" s="1" t="s">
        <v>421</v>
      </c>
      <c r="C225" s="1" t="s">
        <v>122</v>
      </c>
      <c r="D225" s="1" t="s">
        <v>735</v>
      </c>
      <c r="E225" s="4">
        <v>45292</v>
      </c>
      <c r="F225" s="4">
        <v>45657</v>
      </c>
      <c r="H225" s="5">
        <v>380937.98</v>
      </c>
      <c r="I225" s="5">
        <v>24156.09</v>
      </c>
      <c r="J225" s="5">
        <v>39600</v>
      </c>
      <c r="K225" s="5">
        <v>24227</v>
      </c>
      <c r="L225" s="5">
        <v>0</v>
      </c>
      <c r="M225" s="5">
        <v>87983.09</v>
      </c>
      <c r="N225" s="5">
        <v>265646.09999999998</v>
      </c>
      <c r="O225" s="5">
        <v>0</v>
      </c>
      <c r="P225" s="5">
        <v>27308.79</v>
      </c>
      <c r="Q225" s="5">
        <v>292954.89</v>
      </c>
      <c r="R225" s="1" t="s">
        <v>865</v>
      </c>
      <c r="S225" s="1" t="s">
        <v>735</v>
      </c>
      <c r="T225" s="4">
        <v>45292</v>
      </c>
      <c r="U225" s="4">
        <v>45657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292954.89</v>
      </c>
      <c r="AH225" s="5">
        <v>6443.23</v>
      </c>
      <c r="AI225" s="5">
        <v>0</v>
      </c>
      <c r="AJ225" s="5">
        <v>6442.06</v>
      </c>
      <c r="AK225" s="5">
        <v>0</v>
      </c>
      <c r="AL225" s="5">
        <v>1.17</v>
      </c>
      <c r="AM225" s="5">
        <v>0</v>
      </c>
      <c r="AN225" s="5">
        <v>6443.23</v>
      </c>
      <c r="AO225" s="1" t="s">
        <v>1177</v>
      </c>
    </row>
    <row r="226" spans="1:41" x14ac:dyDescent="0.25">
      <c r="A226" s="1">
        <f t="shared" si="5"/>
        <v>210</v>
      </c>
      <c r="B226" s="1" t="s">
        <v>422</v>
      </c>
      <c r="C226" s="1" t="s">
        <v>122</v>
      </c>
      <c r="D226" s="1" t="s">
        <v>735</v>
      </c>
      <c r="E226" s="4">
        <v>45292</v>
      </c>
      <c r="F226" s="4">
        <v>45657</v>
      </c>
      <c r="H226" s="5">
        <v>425539.25</v>
      </c>
      <c r="I226" s="5">
        <v>25583.75</v>
      </c>
      <c r="J226" s="5">
        <v>39600</v>
      </c>
      <c r="K226" s="5">
        <v>25702.62</v>
      </c>
      <c r="L226" s="5">
        <v>0</v>
      </c>
      <c r="M226" s="5">
        <v>90886.37</v>
      </c>
      <c r="N226" s="5">
        <v>281302.38</v>
      </c>
      <c r="O226" s="5">
        <v>0</v>
      </c>
      <c r="P226" s="5">
        <v>53350.5</v>
      </c>
      <c r="Q226" s="5">
        <v>334652.88</v>
      </c>
      <c r="R226" s="1" t="s">
        <v>866</v>
      </c>
      <c r="S226" s="1" t="s">
        <v>735</v>
      </c>
      <c r="T226" s="4">
        <v>45292</v>
      </c>
      <c r="U226" s="4">
        <v>45657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334652.88</v>
      </c>
      <c r="AH226" s="5">
        <v>12697.93</v>
      </c>
      <c r="AI226" s="5">
        <v>0</v>
      </c>
      <c r="AJ226" s="5">
        <v>12931.77</v>
      </c>
      <c r="AK226" s="5">
        <v>0</v>
      </c>
      <c r="AL226" s="5">
        <v>0</v>
      </c>
      <c r="AM226" s="5">
        <v>233.84</v>
      </c>
      <c r="AN226" s="5">
        <v>12697.93</v>
      </c>
      <c r="AO226" s="1" t="s">
        <v>1177</v>
      </c>
    </row>
    <row r="227" spans="1:41" x14ac:dyDescent="0.25">
      <c r="A227" s="1">
        <f t="shared" si="5"/>
        <v>211</v>
      </c>
      <c r="B227" s="1" t="s">
        <v>423</v>
      </c>
      <c r="C227" s="1" t="s">
        <v>122</v>
      </c>
      <c r="D227" s="1" t="s">
        <v>735</v>
      </c>
      <c r="E227" s="4">
        <v>45292</v>
      </c>
      <c r="F227" s="4">
        <v>45657</v>
      </c>
      <c r="H227" s="5">
        <v>419491.17</v>
      </c>
      <c r="I227" s="5">
        <v>26936.13</v>
      </c>
      <c r="J227" s="5">
        <v>39600</v>
      </c>
      <c r="K227" s="5">
        <v>26175.8</v>
      </c>
      <c r="L227" s="5">
        <v>0</v>
      </c>
      <c r="M227" s="5">
        <v>92711.93</v>
      </c>
      <c r="N227" s="5">
        <v>297057.7</v>
      </c>
      <c r="O227" s="5">
        <v>0</v>
      </c>
      <c r="P227" s="5">
        <v>29721.54</v>
      </c>
      <c r="Q227" s="5">
        <v>326779.24</v>
      </c>
      <c r="R227" s="1" t="s">
        <v>867</v>
      </c>
      <c r="S227" s="1" t="s">
        <v>735</v>
      </c>
      <c r="T227" s="4">
        <v>45292</v>
      </c>
      <c r="U227" s="4">
        <v>45657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326779.24</v>
      </c>
      <c r="AH227" s="5">
        <v>11516.89</v>
      </c>
      <c r="AI227" s="5">
        <v>0</v>
      </c>
      <c r="AJ227" s="5">
        <v>11523.72</v>
      </c>
      <c r="AK227" s="5">
        <v>0</v>
      </c>
      <c r="AL227" s="5">
        <v>0</v>
      </c>
      <c r="AM227" s="5">
        <v>6.83</v>
      </c>
      <c r="AN227" s="5">
        <v>11516.89</v>
      </c>
      <c r="AO227" s="1" t="s">
        <v>1177</v>
      </c>
    </row>
    <row r="228" spans="1:41" x14ac:dyDescent="0.25">
      <c r="A228" s="1">
        <f t="shared" si="5"/>
        <v>212</v>
      </c>
      <c r="B228" s="1" t="s">
        <v>424</v>
      </c>
      <c r="C228" s="1" t="s">
        <v>122</v>
      </c>
      <c r="D228" s="1" t="s">
        <v>735</v>
      </c>
      <c r="E228" s="4">
        <v>45292</v>
      </c>
      <c r="F228" s="4">
        <v>45657</v>
      </c>
      <c r="H228" s="5">
        <v>3052375.7</v>
      </c>
      <c r="I228" s="5">
        <v>90000</v>
      </c>
      <c r="J228" s="5">
        <v>27750</v>
      </c>
      <c r="K228" s="5">
        <v>48500</v>
      </c>
      <c r="L228" s="5">
        <v>0</v>
      </c>
      <c r="M228" s="5">
        <v>166250</v>
      </c>
      <c r="N228" s="5">
        <v>1772651.5</v>
      </c>
      <c r="O228" s="5">
        <v>61762.63</v>
      </c>
      <c r="P228" s="5">
        <v>1051711.57</v>
      </c>
      <c r="Q228" s="5">
        <v>2886125.7</v>
      </c>
      <c r="R228" s="1" t="s">
        <v>868</v>
      </c>
      <c r="S228" s="1" t="s">
        <v>735</v>
      </c>
      <c r="T228" s="4">
        <v>45292</v>
      </c>
      <c r="U228" s="4">
        <v>45657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2886125.7</v>
      </c>
      <c r="AH228" s="5">
        <v>668337.71</v>
      </c>
      <c r="AI228" s="5">
        <v>0</v>
      </c>
      <c r="AJ228" s="5">
        <v>692994.35</v>
      </c>
      <c r="AK228" s="5">
        <v>0</v>
      </c>
      <c r="AL228" s="5">
        <v>0</v>
      </c>
      <c r="AM228" s="5">
        <v>24656.639999999999</v>
      </c>
      <c r="AN228" s="5">
        <v>668337.71</v>
      </c>
      <c r="AO228" s="1" t="s">
        <v>1177</v>
      </c>
    </row>
    <row r="229" spans="1:41" x14ac:dyDescent="0.25">
      <c r="A229" s="1">
        <f t="shared" si="5"/>
        <v>213</v>
      </c>
      <c r="B229" s="1" t="s">
        <v>425</v>
      </c>
      <c r="C229" s="1" t="s">
        <v>122</v>
      </c>
      <c r="D229" s="1" t="s">
        <v>735</v>
      </c>
      <c r="E229" s="4">
        <v>45292</v>
      </c>
      <c r="F229" s="4">
        <v>45657</v>
      </c>
      <c r="H229" s="5">
        <v>671849.35</v>
      </c>
      <c r="I229" s="5">
        <v>47083.33</v>
      </c>
      <c r="J229" s="5">
        <v>39600</v>
      </c>
      <c r="K229" s="5">
        <v>32625</v>
      </c>
      <c r="L229" s="5">
        <v>0</v>
      </c>
      <c r="M229" s="5">
        <v>119308.33</v>
      </c>
      <c r="N229" s="5">
        <v>532375</v>
      </c>
      <c r="O229" s="5">
        <v>0</v>
      </c>
      <c r="P229" s="5">
        <v>20166.02</v>
      </c>
      <c r="Q229" s="5">
        <v>552541.02</v>
      </c>
      <c r="R229" s="1" t="s">
        <v>869</v>
      </c>
      <c r="S229" s="1" t="s">
        <v>735</v>
      </c>
      <c r="T229" s="4">
        <v>45292</v>
      </c>
      <c r="U229" s="4">
        <v>45657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552541.02</v>
      </c>
      <c r="AH229" s="5">
        <v>53008.2</v>
      </c>
      <c r="AI229" s="5">
        <v>0</v>
      </c>
      <c r="AJ229" s="5">
        <v>54613.05</v>
      </c>
      <c r="AK229" s="5">
        <v>0</v>
      </c>
      <c r="AL229" s="5">
        <v>0</v>
      </c>
      <c r="AM229" s="5">
        <v>1604.85</v>
      </c>
      <c r="AN229" s="5">
        <v>53008.2</v>
      </c>
      <c r="AO229" s="1" t="s">
        <v>1177</v>
      </c>
    </row>
    <row r="230" spans="1:41" x14ac:dyDescent="0.25">
      <c r="A230" s="1">
        <f t="shared" si="5"/>
        <v>214</v>
      </c>
      <c r="B230" s="1" t="s">
        <v>426</v>
      </c>
      <c r="C230" s="1" t="s">
        <v>122</v>
      </c>
      <c r="D230" s="1" t="s">
        <v>735</v>
      </c>
      <c r="E230" s="4">
        <v>45292</v>
      </c>
      <c r="F230" s="4">
        <v>45657</v>
      </c>
      <c r="H230" s="5">
        <v>548578.67000000004</v>
      </c>
      <c r="I230" s="5">
        <v>24680</v>
      </c>
      <c r="J230" s="5">
        <v>69020</v>
      </c>
      <c r="K230" s="5">
        <v>25544</v>
      </c>
      <c r="L230" s="5">
        <v>0</v>
      </c>
      <c r="M230" s="5">
        <v>119244</v>
      </c>
      <c r="N230" s="5">
        <v>270616</v>
      </c>
      <c r="O230" s="5">
        <v>0</v>
      </c>
      <c r="P230" s="5">
        <v>158718.67000000001</v>
      </c>
      <c r="Q230" s="5">
        <v>429334.67</v>
      </c>
      <c r="R230" s="1" t="s">
        <v>870</v>
      </c>
      <c r="S230" s="1" t="s">
        <v>735</v>
      </c>
      <c r="T230" s="4">
        <v>45292</v>
      </c>
      <c r="U230" s="4">
        <v>45657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429334.67</v>
      </c>
      <c r="AH230" s="5">
        <v>28366.93</v>
      </c>
      <c r="AI230" s="5">
        <v>0</v>
      </c>
      <c r="AJ230" s="5">
        <v>33458.800000000003</v>
      </c>
      <c r="AK230" s="5">
        <v>0</v>
      </c>
      <c r="AL230" s="5">
        <v>0</v>
      </c>
      <c r="AM230" s="5">
        <v>5091.87</v>
      </c>
      <c r="AN230" s="5">
        <v>28366.93</v>
      </c>
      <c r="AO230" s="1" t="s">
        <v>1177</v>
      </c>
    </row>
    <row r="231" spans="1:41" x14ac:dyDescent="0.25">
      <c r="A231" s="1">
        <f t="shared" si="5"/>
        <v>215</v>
      </c>
      <c r="B231" s="1" t="s">
        <v>427</v>
      </c>
      <c r="C231" s="1" t="s">
        <v>122</v>
      </c>
      <c r="D231" s="1" t="s">
        <v>735</v>
      </c>
      <c r="E231" s="4">
        <v>45292</v>
      </c>
      <c r="F231" s="4">
        <v>45657</v>
      </c>
      <c r="H231" s="5">
        <v>378433.58</v>
      </c>
      <c r="I231" s="5">
        <v>25067.79</v>
      </c>
      <c r="J231" s="5">
        <v>39600</v>
      </c>
      <c r="K231" s="5">
        <v>24355.3</v>
      </c>
      <c r="L231" s="5">
        <v>0</v>
      </c>
      <c r="M231" s="5">
        <v>89023.09</v>
      </c>
      <c r="N231" s="5">
        <v>276458.2</v>
      </c>
      <c r="O231" s="5">
        <v>0</v>
      </c>
      <c r="P231" s="5">
        <v>12952.29</v>
      </c>
      <c r="Q231" s="5">
        <v>289410.49</v>
      </c>
      <c r="R231" s="1" t="s">
        <v>871</v>
      </c>
      <c r="S231" s="1" t="s">
        <v>735</v>
      </c>
      <c r="T231" s="4">
        <v>45292</v>
      </c>
      <c r="U231" s="4">
        <v>45657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289410.49</v>
      </c>
      <c r="AH231" s="5">
        <v>5911.57</v>
      </c>
      <c r="AI231" s="5">
        <v>0</v>
      </c>
      <c r="AJ231" s="5">
        <v>5910.4</v>
      </c>
      <c r="AK231" s="5">
        <v>0</v>
      </c>
      <c r="AL231" s="5">
        <v>1.17</v>
      </c>
      <c r="AM231" s="5">
        <v>0</v>
      </c>
      <c r="AN231" s="5">
        <v>5911.57</v>
      </c>
      <c r="AO231" s="1" t="s">
        <v>1177</v>
      </c>
    </row>
    <row r="232" spans="1:41" x14ac:dyDescent="0.25">
      <c r="A232" s="1">
        <f t="shared" si="5"/>
        <v>216</v>
      </c>
      <c r="B232" s="1" t="s">
        <v>428</v>
      </c>
      <c r="C232" s="1" t="s">
        <v>122</v>
      </c>
      <c r="D232" s="1" t="s">
        <v>735</v>
      </c>
      <c r="E232" s="4">
        <v>45292</v>
      </c>
      <c r="F232" s="4">
        <v>45657</v>
      </c>
      <c r="H232" s="5">
        <v>365179.71</v>
      </c>
      <c r="I232" s="5">
        <v>23800.2</v>
      </c>
      <c r="J232" s="5">
        <v>39600</v>
      </c>
      <c r="K232" s="5">
        <v>23374.47</v>
      </c>
      <c r="L232" s="5">
        <v>0</v>
      </c>
      <c r="M232" s="5">
        <v>86774.67</v>
      </c>
      <c r="N232" s="5">
        <v>262227.96000000002</v>
      </c>
      <c r="O232" s="5">
        <v>0</v>
      </c>
      <c r="P232" s="5">
        <v>16177.08</v>
      </c>
      <c r="Q232" s="5">
        <v>278405.03999999998</v>
      </c>
      <c r="R232" s="1" t="s">
        <v>872</v>
      </c>
      <c r="S232" s="1" t="s">
        <v>735</v>
      </c>
      <c r="T232" s="4">
        <v>45292</v>
      </c>
      <c r="U232" s="4">
        <v>45657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278405.03999999998</v>
      </c>
      <c r="AH232" s="5">
        <v>4260.76</v>
      </c>
      <c r="AI232" s="5">
        <v>0</v>
      </c>
      <c r="AJ232" s="5">
        <v>5264.31</v>
      </c>
      <c r="AK232" s="5">
        <v>0</v>
      </c>
      <c r="AL232" s="5">
        <v>0</v>
      </c>
      <c r="AM232" s="5">
        <v>1003.55</v>
      </c>
      <c r="AN232" s="5">
        <v>4260.76</v>
      </c>
      <c r="AO232" s="1" t="s">
        <v>1177</v>
      </c>
    </row>
    <row r="233" spans="1:41" x14ac:dyDescent="0.25">
      <c r="A233" s="1">
        <f t="shared" si="5"/>
        <v>217</v>
      </c>
      <c r="B233" s="1" t="s">
        <v>429</v>
      </c>
      <c r="C233" s="1" t="s">
        <v>122</v>
      </c>
      <c r="D233" s="1" t="s">
        <v>735</v>
      </c>
      <c r="E233" s="4">
        <v>45292</v>
      </c>
      <c r="F233" s="4">
        <v>45657</v>
      </c>
      <c r="H233" s="5">
        <v>462735.53</v>
      </c>
      <c r="I233" s="5">
        <v>23898.38</v>
      </c>
      <c r="J233" s="5">
        <v>39600</v>
      </c>
      <c r="K233" s="5">
        <v>25196.97</v>
      </c>
      <c r="L233" s="5">
        <v>0</v>
      </c>
      <c r="M233" s="5">
        <v>88695.35</v>
      </c>
      <c r="N233" s="5">
        <v>261583.53</v>
      </c>
      <c r="O233" s="5">
        <v>0</v>
      </c>
      <c r="P233" s="5">
        <v>112456.65</v>
      </c>
      <c r="Q233" s="5">
        <v>374040.18</v>
      </c>
      <c r="R233" s="1" t="s">
        <v>873</v>
      </c>
      <c r="S233" s="1" t="s">
        <v>735</v>
      </c>
      <c r="T233" s="4">
        <v>45292</v>
      </c>
      <c r="U233" s="4">
        <v>45657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374040.18</v>
      </c>
      <c r="AH233" s="5">
        <v>18606.03</v>
      </c>
      <c r="AI233" s="5">
        <v>0</v>
      </c>
      <c r="AJ233" s="5">
        <v>19722.439999999999</v>
      </c>
      <c r="AK233" s="5">
        <v>0</v>
      </c>
      <c r="AL233" s="5">
        <v>0</v>
      </c>
      <c r="AM233" s="5">
        <v>1116.4100000000001</v>
      </c>
      <c r="AN233" s="5">
        <v>18606.03</v>
      </c>
      <c r="AO233" s="1" t="s">
        <v>1177</v>
      </c>
    </row>
    <row r="234" spans="1:41" x14ac:dyDescent="0.25">
      <c r="A234" s="1">
        <f t="shared" si="5"/>
        <v>218</v>
      </c>
      <c r="B234" s="1" t="s">
        <v>430</v>
      </c>
      <c r="C234" s="1" t="s">
        <v>122</v>
      </c>
      <c r="D234" s="1" t="s">
        <v>735</v>
      </c>
      <c r="E234" s="4">
        <v>45292</v>
      </c>
      <c r="F234" s="4">
        <v>45657</v>
      </c>
      <c r="H234" s="5">
        <v>356895.44</v>
      </c>
      <c r="I234" s="5">
        <v>21716.04</v>
      </c>
      <c r="J234" s="5">
        <v>39600</v>
      </c>
      <c r="K234" s="5">
        <v>22584.77</v>
      </c>
      <c r="L234" s="5">
        <v>0</v>
      </c>
      <c r="M234" s="5">
        <v>83900.81</v>
      </c>
      <c r="N234" s="5">
        <v>238007.73</v>
      </c>
      <c r="O234" s="5">
        <v>0</v>
      </c>
      <c r="P234" s="5">
        <v>34986.9</v>
      </c>
      <c r="Q234" s="5">
        <v>272994.63</v>
      </c>
      <c r="R234" s="1" t="s">
        <v>874</v>
      </c>
      <c r="S234" s="1" t="s">
        <v>735</v>
      </c>
      <c r="T234" s="4">
        <v>45292</v>
      </c>
      <c r="U234" s="4">
        <v>45657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272994.63</v>
      </c>
      <c r="AH234" s="5">
        <v>3449.19</v>
      </c>
      <c r="AI234" s="5">
        <v>0</v>
      </c>
      <c r="AJ234" s="5">
        <v>3777.4</v>
      </c>
      <c r="AK234" s="5">
        <v>0</v>
      </c>
      <c r="AL234" s="5">
        <v>0</v>
      </c>
      <c r="AM234" s="5">
        <v>328.21</v>
      </c>
      <c r="AN234" s="5">
        <v>3449.19</v>
      </c>
      <c r="AO234" s="1" t="s">
        <v>1177</v>
      </c>
    </row>
    <row r="235" spans="1:41" x14ac:dyDescent="0.25">
      <c r="A235" s="1">
        <f t="shared" si="5"/>
        <v>219</v>
      </c>
      <c r="B235" s="1" t="s">
        <v>431</v>
      </c>
      <c r="C235" s="1" t="s">
        <v>122</v>
      </c>
      <c r="D235" s="1" t="s">
        <v>735</v>
      </c>
      <c r="E235" s="4">
        <v>45292</v>
      </c>
      <c r="F235" s="4">
        <v>45657</v>
      </c>
      <c r="H235" s="5">
        <v>324394.19</v>
      </c>
      <c r="I235" s="5">
        <v>19967.25</v>
      </c>
      <c r="J235" s="5">
        <v>39600</v>
      </c>
      <c r="K235" s="5">
        <v>20642.669999999998</v>
      </c>
      <c r="L235" s="5">
        <v>0</v>
      </c>
      <c r="M235" s="5">
        <v>80209.919999999998</v>
      </c>
      <c r="N235" s="5">
        <v>218964.33</v>
      </c>
      <c r="O235" s="5">
        <v>0</v>
      </c>
      <c r="P235" s="5">
        <v>25219.94</v>
      </c>
      <c r="Q235" s="5">
        <v>244184.27</v>
      </c>
      <c r="R235" s="1" t="s">
        <v>875</v>
      </c>
      <c r="S235" s="1" t="s">
        <v>735</v>
      </c>
      <c r="T235" s="4">
        <v>45292</v>
      </c>
      <c r="U235" s="4">
        <v>45657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244184.27</v>
      </c>
      <c r="AH235" s="5">
        <v>0</v>
      </c>
      <c r="AI235" s="5">
        <v>0</v>
      </c>
      <c r="AJ235" s="5">
        <v>850.97</v>
      </c>
      <c r="AK235" s="5">
        <v>0</v>
      </c>
      <c r="AL235" s="5">
        <v>0</v>
      </c>
      <c r="AM235" s="5">
        <v>850.97</v>
      </c>
      <c r="AN235" s="5">
        <v>0</v>
      </c>
      <c r="AO235" s="1" t="s">
        <v>1177</v>
      </c>
    </row>
    <row r="236" spans="1:41" x14ac:dyDescent="0.25">
      <c r="A236" s="1">
        <f t="shared" si="5"/>
        <v>220</v>
      </c>
      <c r="B236" s="1" t="s">
        <v>432</v>
      </c>
      <c r="C236" s="1" t="s">
        <v>122</v>
      </c>
      <c r="D236" s="1" t="s">
        <v>735</v>
      </c>
      <c r="E236" s="4">
        <v>45292</v>
      </c>
      <c r="F236" s="4">
        <v>45657</v>
      </c>
      <c r="H236" s="5">
        <v>332286.37</v>
      </c>
      <c r="I236" s="5">
        <v>20915.419999999998</v>
      </c>
      <c r="J236" s="5">
        <v>39600</v>
      </c>
      <c r="K236" s="5">
        <v>21219.62</v>
      </c>
      <c r="L236" s="5">
        <v>0</v>
      </c>
      <c r="M236" s="5">
        <v>81735.039999999994</v>
      </c>
      <c r="N236" s="5">
        <v>229765.38</v>
      </c>
      <c r="O236" s="5">
        <v>0</v>
      </c>
      <c r="P236" s="5">
        <v>20785.95</v>
      </c>
      <c r="Q236" s="5">
        <v>250551.33</v>
      </c>
      <c r="R236" s="1" t="s">
        <v>876</v>
      </c>
      <c r="S236" s="1" t="s">
        <v>735</v>
      </c>
      <c r="T236" s="4">
        <v>45292</v>
      </c>
      <c r="U236" s="4">
        <v>45657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250551.33</v>
      </c>
      <c r="AH236" s="5">
        <v>82.7</v>
      </c>
      <c r="AI236" s="5">
        <v>0</v>
      </c>
      <c r="AJ236" s="5">
        <v>1691.76</v>
      </c>
      <c r="AK236" s="5">
        <v>0</v>
      </c>
      <c r="AL236" s="5">
        <v>0</v>
      </c>
      <c r="AM236" s="5">
        <v>1609.06</v>
      </c>
      <c r="AN236" s="5">
        <v>82.7</v>
      </c>
      <c r="AO236" s="1" t="s">
        <v>1177</v>
      </c>
    </row>
    <row r="237" spans="1:41" x14ac:dyDescent="0.25">
      <c r="A237" s="1">
        <f t="shared" si="5"/>
        <v>221</v>
      </c>
      <c r="B237" s="1" t="s">
        <v>433</v>
      </c>
      <c r="C237" s="1" t="s">
        <v>122</v>
      </c>
      <c r="D237" s="1" t="s">
        <v>735</v>
      </c>
      <c r="E237" s="4">
        <v>45292</v>
      </c>
      <c r="F237" s="4">
        <v>45657</v>
      </c>
      <c r="H237" s="5">
        <v>322043.45</v>
      </c>
      <c r="I237" s="5">
        <v>20769.57</v>
      </c>
      <c r="J237" s="5">
        <v>39600</v>
      </c>
      <c r="K237" s="5">
        <v>20747.52</v>
      </c>
      <c r="L237" s="5">
        <v>0</v>
      </c>
      <c r="M237" s="5">
        <v>81117.09</v>
      </c>
      <c r="N237" s="5">
        <v>228487.27</v>
      </c>
      <c r="O237" s="5">
        <v>0</v>
      </c>
      <c r="P237" s="5">
        <v>12439.09</v>
      </c>
      <c r="Q237" s="5">
        <v>240926.36</v>
      </c>
      <c r="R237" s="1" t="s">
        <v>877</v>
      </c>
      <c r="S237" s="1" t="s">
        <v>735</v>
      </c>
      <c r="T237" s="4">
        <v>45292</v>
      </c>
      <c r="U237" s="4">
        <v>45657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240926.36</v>
      </c>
      <c r="AH237" s="5">
        <v>0</v>
      </c>
      <c r="AI237" s="5">
        <v>0</v>
      </c>
      <c r="AJ237" s="5">
        <v>658.21</v>
      </c>
      <c r="AK237" s="5">
        <v>0</v>
      </c>
      <c r="AL237" s="5">
        <v>0</v>
      </c>
      <c r="AM237" s="5">
        <v>658.21</v>
      </c>
      <c r="AN237" s="5">
        <v>0</v>
      </c>
      <c r="AO237" s="1" t="s">
        <v>1177</v>
      </c>
    </row>
    <row r="238" spans="1:41" x14ac:dyDescent="0.25">
      <c r="A238" s="1">
        <f t="shared" si="5"/>
        <v>222</v>
      </c>
      <c r="B238" s="1" t="s">
        <v>434</v>
      </c>
      <c r="C238" s="1" t="s">
        <v>122</v>
      </c>
      <c r="D238" s="1" t="s">
        <v>735</v>
      </c>
      <c r="E238" s="4">
        <v>45292</v>
      </c>
      <c r="F238" s="4">
        <v>45657</v>
      </c>
      <c r="H238" s="5">
        <v>553650.11</v>
      </c>
      <c r="I238" s="5">
        <v>35282.67</v>
      </c>
      <c r="J238" s="5">
        <v>39600</v>
      </c>
      <c r="K238" s="5">
        <v>29084.799999999999</v>
      </c>
      <c r="L238" s="5">
        <v>0</v>
      </c>
      <c r="M238" s="5">
        <v>103967.47</v>
      </c>
      <c r="N238" s="5">
        <v>394307.2</v>
      </c>
      <c r="O238" s="5">
        <v>0</v>
      </c>
      <c r="P238" s="5">
        <v>55375.44</v>
      </c>
      <c r="Q238" s="5">
        <v>449682.64</v>
      </c>
      <c r="R238" s="1" t="s">
        <v>878</v>
      </c>
      <c r="S238" s="1" t="s">
        <v>735</v>
      </c>
      <c r="T238" s="4">
        <v>45292</v>
      </c>
      <c r="U238" s="4">
        <v>45657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449682.64</v>
      </c>
      <c r="AH238" s="5">
        <v>32436.53</v>
      </c>
      <c r="AI238" s="5">
        <v>0</v>
      </c>
      <c r="AJ238" s="5">
        <v>32446.62</v>
      </c>
      <c r="AK238" s="5">
        <v>0</v>
      </c>
      <c r="AL238" s="5">
        <v>0</v>
      </c>
      <c r="AM238" s="5">
        <v>10.09</v>
      </c>
      <c r="AN238" s="5">
        <v>32436.53</v>
      </c>
      <c r="AO238" s="1" t="s">
        <v>1177</v>
      </c>
    </row>
    <row r="239" spans="1:41" x14ac:dyDescent="0.25">
      <c r="A239" s="1">
        <f t="shared" si="5"/>
        <v>223</v>
      </c>
      <c r="B239" s="1" t="s">
        <v>435</v>
      </c>
      <c r="C239" s="1" t="s">
        <v>122</v>
      </c>
      <c r="D239" s="1" t="s">
        <v>735</v>
      </c>
      <c r="E239" s="4">
        <v>45292</v>
      </c>
      <c r="F239" s="4">
        <v>45657</v>
      </c>
      <c r="H239" s="5">
        <v>702405.28</v>
      </c>
      <c r="I239" s="5">
        <v>51418.63</v>
      </c>
      <c r="J239" s="5">
        <v>33300</v>
      </c>
      <c r="K239" s="5">
        <v>33925.57</v>
      </c>
      <c r="L239" s="5">
        <v>0</v>
      </c>
      <c r="M239" s="5">
        <v>118644.2</v>
      </c>
      <c r="N239" s="5">
        <v>583097.93000000005</v>
      </c>
      <c r="O239" s="5">
        <v>0</v>
      </c>
      <c r="P239" s="5">
        <v>663.15</v>
      </c>
      <c r="Q239" s="5">
        <v>583761.07999999996</v>
      </c>
      <c r="R239" s="1" t="s">
        <v>879</v>
      </c>
      <c r="S239" s="1" t="s">
        <v>735</v>
      </c>
      <c r="T239" s="4">
        <v>45292</v>
      </c>
      <c r="U239" s="4">
        <v>45657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583761.07999999996</v>
      </c>
      <c r="AH239" s="5">
        <v>59252.22</v>
      </c>
      <c r="AI239" s="5">
        <v>0</v>
      </c>
      <c r="AJ239" s="5">
        <v>59250.6</v>
      </c>
      <c r="AK239" s="5">
        <v>0</v>
      </c>
      <c r="AL239" s="5">
        <v>1.62</v>
      </c>
      <c r="AM239" s="5">
        <v>0</v>
      </c>
      <c r="AN239" s="5">
        <v>59252.22</v>
      </c>
      <c r="AO239" s="1" t="s">
        <v>1177</v>
      </c>
    </row>
    <row r="240" spans="1:41" x14ac:dyDescent="0.25">
      <c r="A240" s="1">
        <f t="shared" si="5"/>
        <v>224</v>
      </c>
      <c r="B240" s="1" t="s">
        <v>436</v>
      </c>
      <c r="C240" s="1" t="s">
        <v>122</v>
      </c>
      <c r="D240" s="1" t="s">
        <v>735</v>
      </c>
      <c r="E240" s="4">
        <v>45292</v>
      </c>
      <c r="F240" s="4">
        <v>45657</v>
      </c>
      <c r="H240" s="5">
        <v>1229437.5</v>
      </c>
      <c r="I240" s="5">
        <v>90000</v>
      </c>
      <c r="J240" s="5">
        <v>18000</v>
      </c>
      <c r="K240" s="5">
        <v>46456.25</v>
      </c>
      <c r="L240" s="5">
        <v>0</v>
      </c>
      <c r="M240" s="5">
        <v>154456.25</v>
      </c>
      <c r="N240" s="5">
        <v>1071793.75</v>
      </c>
      <c r="O240" s="5">
        <v>3187.5</v>
      </c>
      <c r="P240" s="5">
        <v>0</v>
      </c>
      <c r="Q240" s="5">
        <v>1074981.25</v>
      </c>
      <c r="R240" s="1" t="s">
        <v>880</v>
      </c>
      <c r="S240" s="1" t="s">
        <v>735</v>
      </c>
      <c r="T240" s="4">
        <v>45292</v>
      </c>
      <c r="U240" s="4">
        <v>45657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1074981.25</v>
      </c>
      <c r="AH240" s="5">
        <v>171245.31</v>
      </c>
      <c r="AI240" s="5">
        <v>0</v>
      </c>
      <c r="AJ240" s="5">
        <v>171244.16</v>
      </c>
      <c r="AK240" s="5">
        <v>0</v>
      </c>
      <c r="AL240" s="5">
        <v>1.1499999999999999</v>
      </c>
      <c r="AM240" s="5">
        <v>0</v>
      </c>
      <c r="AN240" s="5">
        <v>171245.31</v>
      </c>
      <c r="AO240" s="1" t="s">
        <v>1177</v>
      </c>
    </row>
    <row r="241" spans="1:41" x14ac:dyDescent="0.25">
      <c r="A241" s="1">
        <f t="shared" si="5"/>
        <v>225</v>
      </c>
      <c r="B241" s="1" t="s">
        <v>437</v>
      </c>
      <c r="C241" s="1" t="s">
        <v>122</v>
      </c>
      <c r="D241" s="1" t="s">
        <v>735</v>
      </c>
      <c r="E241" s="4">
        <v>45292</v>
      </c>
      <c r="F241" s="4">
        <v>45657</v>
      </c>
      <c r="H241" s="5">
        <v>545366.67000000004</v>
      </c>
      <c r="I241" s="5">
        <v>40566.67</v>
      </c>
      <c r="J241" s="5">
        <v>18000</v>
      </c>
      <c r="K241" s="5">
        <v>30670</v>
      </c>
      <c r="L241" s="5">
        <v>0</v>
      </c>
      <c r="M241" s="5">
        <v>89236.67</v>
      </c>
      <c r="N241" s="5">
        <v>456130</v>
      </c>
      <c r="O241" s="5">
        <v>0</v>
      </c>
      <c r="P241" s="5">
        <v>0</v>
      </c>
      <c r="Q241" s="5">
        <v>456130</v>
      </c>
      <c r="R241" s="1" t="s">
        <v>881</v>
      </c>
      <c r="S241" s="1" t="s">
        <v>735</v>
      </c>
      <c r="T241" s="4">
        <v>45292</v>
      </c>
      <c r="U241" s="4">
        <v>45657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456130</v>
      </c>
      <c r="AH241" s="5">
        <v>33726</v>
      </c>
      <c r="AI241" s="5">
        <v>0</v>
      </c>
      <c r="AJ241" s="5">
        <v>33724.400000000001</v>
      </c>
      <c r="AK241" s="5">
        <v>0</v>
      </c>
      <c r="AL241" s="5">
        <v>1.6</v>
      </c>
      <c r="AM241" s="5">
        <v>0</v>
      </c>
      <c r="AN241" s="5">
        <v>33726</v>
      </c>
      <c r="AO241" s="1" t="s">
        <v>1177</v>
      </c>
    </row>
    <row r="242" spans="1:41" x14ac:dyDescent="0.25">
      <c r="A242" s="1">
        <f t="shared" si="5"/>
        <v>226</v>
      </c>
      <c r="B242" s="1" t="s">
        <v>438</v>
      </c>
      <c r="C242" s="1" t="s">
        <v>122</v>
      </c>
      <c r="D242" s="1" t="s">
        <v>735</v>
      </c>
      <c r="E242" s="4">
        <v>45292</v>
      </c>
      <c r="F242" s="4">
        <v>45657</v>
      </c>
      <c r="H242" s="5">
        <v>270635.46999999997</v>
      </c>
      <c r="I242" s="5">
        <v>17032.96</v>
      </c>
      <c r="J242" s="5">
        <v>39600</v>
      </c>
      <c r="K242" s="5">
        <v>17489.849999999999</v>
      </c>
      <c r="L242" s="5">
        <v>0</v>
      </c>
      <c r="M242" s="5">
        <v>74122.81</v>
      </c>
      <c r="N242" s="5">
        <v>186905.65</v>
      </c>
      <c r="O242" s="5">
        <v>0</v>
      </c>
      <c r="P242" s="5">
        <v>9607.01</v>
      </c>
      <c r="Q242" s="5">
        <v>196512.66</v>
      </c>
      <c r="R242" s="1" t="s">
        <v>882</v>
      </c>
      <c r="S242" s="1" t="s">
        <v>735</v>
      </c>
      <c r="T242" s="4">
        <v>45292</v>
      </c>
      <c r="U242" s="4">
        <v>45657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196512.66</v>
      </c>
      <c r="AH242" s="5">
        <v>0</v>
      </c>
      <c r="AI242" s="5">
        <v>0</v>
      </c>
      <c r="AJ242" s="5">
        <v>34.39</v>
      </c>
      <c r="AK242" s="5">
        <v>0</v>
      </c>
      <c r="AL242" s="5">
        <v>0</v>
      </c>
      <c r="AM242" s="5">
        <v>34.39</v>
      </c>
      <c r="AN242" s="5">
        <v>0</v>
      </c>
      <c r="AO242" s="1" t="s">
        <v>1177</v>
      </c>
    </row>
    <row r="243" spans="1:41" x14ac:dyDescent="0.25">
      <c r="A243" s="1">
        <f t="shared" si="5"/>
        <v>227</v>
      </c>
      <c r="B243" s="1" t="s">
        <v>439</v>
      </c>
      <c r="C243" s="1" t="s">
        <v>122</v>
      </c>
      <c r="D243" s="1" t="s">
        <v>735</v>
      </c>
      <c r="E243" s="4">
        <v>45292</v>
      </c>
      <c r="F243" s="4">
        <v>45657</v>
      </c>
      <c r="H243" s="5">
        <v>293719.21000000002</v>
      </c>
      <c r="I243" s="5">
        <v>18133.330000000002</v>
      </c>
      <c r="J243" s="5">
        <v>33300</v>
      </c>
      <c r="K243" s="5">
        <v>19102.5</v>
      </c>
      <c r="L243" s="5">
        <v>0</v>
      </c>
      <c r="M243" s="5">
        <v>70535.83</v>
      </c>
      <c r="N243" s="5">
        <v>198497.5</v>
      </c>
      <c r="O243" s="5">
        <v>0</v>
      </c>
      <c r="P243" s="5">
        <v>24685.88</v>
      </c>
      <c r="Q243" s="5">
        <v>223183.38</v>
      </c>
      <c r="R243" s="1" t="s">
        <v>883</v>
      </c>
      <c r="S243" s="1" t="s">
        <v>735</v>
      </c>
      <c r="T243" s="4">
        <v>45292</v>
      </c>
      <c r="U243" s="4">
        <v>45657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223183.38</v>
      </c>
      <c r="AH243" s="5">
        <v>0</v>
      </c>
      <c r="AI243" s="5">
        <v>0</v>
      </c>
      <c r="AJ243" s="5">
        <v>68.33</v>
      </c>
      <c r="AK243" s="5">
        <v>0</v>
      </c>
      <c r="AL243" s="5">
        <v>0</v>
      </c>
      <c r="AM243" s="5">
        <v>68.33</v>
      </c>
      <c r="AN243" s="5">
        <v>0</v>
      </c>
      <c r="AO243" s="1" t="s">
        <v>1177</v>
      </c>
    </row>
    <row r="244" spans="1:41" x14ac:dyDescent="0.25">
      <c r="A244" s="1">
        <f t="shared" si="5"/>
        <v>228</v>
      </c>
      <c r="B244" s="1" t="s">
        <v>440</v>
      </c>
      <c r="C244" s="1" t="s">
        <v>122</v>
      </c>
      <c r="D244" s="1" t="s">
        <v>735</v>
      </c>
      <c r="E244" s="4">
        <v>45292</v>
      </c>
      <c r="F244" s="4">
        <v>45657</v>
      </c>
      <c r="H244" s="5">
        <v>376620.95</v>
      </c>
      <c r="I244" s="5">
        <v>25802.58</v>
      </c>
      <c r="J244" s="5">
        <v>39600</v>
      </c>
      <c r="K244" s="5">
        <v>24463.27</v>
      </c>
      <c r="L244" s="5">
        <v>0</v>
      </c>
      <c r="M244" s="5">
        <v>89865.85</v>
      </c>
      <c r="N244" s="5">
        <v>285167.73</v>
      </c>
      <c r="O244" s="5">
        <v>0</v>
      </c>
      <c r="P244" s="5">
        <v>1587.37</v>
      </c>
      <c r="Q244" s="5">
        <v>286755.09999999998</v>
      </c>
      <c r="R244" s="1" t="s">
        <v>884</v>
      </c>
      <c r="S244" s="1" t="s">
        <v>735</v>
      </c>
      <c r="T244" s="4">
        <v>45292</v>
      </c>
      <c r="U244" s="4">
        <v>45657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286755.09999999998</v>
      </c>
      <c r="AH244" s="5">
        <v>5513.27</v>
      </c>
      <c r="AI244" s="5">
        <v>0</v>
      </c>
      <c r="AJ244" s="5">
        <v>5512.06</v>
      </c>
      <c r="AK244" s="5">
        <v>0</v>
      </c>
      <c r="AL244" s="5">
        <v>1.2</v>
      </c>
      <c r="AM244" s="5">
        <v>0</v>
      </c>
      <c r="AN244" s="5">
        <v>5513.27</v>
      </c>
      <c r="AO244" s="1" t="s">
        <v>1177</v>
      </c>
    </row>
    <row r="245" spans="1:41" x14ac:dyDescent="0.25">
      <c r="A245" s="1">
        <f t="shared" si="5"/>
        <v>229</v>
      </c>
      <c r="B245" s="1" t="s">
        <v>441</v>
      </c>
      <c r="C245" s="1" t="s">
        <v>122</v>
      </c>
      <c r="D245" s="1" t="s">
        <v>735</v>
      </c>
      <c r="E245" s="4">
        <v>45292</v>
      </c>
      <c r="F245" s="4">
        <v>45657</v>
      </c>
      <c r="H245" s="5">
        <v>290632.44</v>
      </c>
      <c r="I245" s="5">
        <v>19023.099999999999</v>
      </c>
      <c r="J245" s="5">
        <v>39600</v>
      </c>
      <c r="K245" s="5">
        <v>18941</v>
      </c>
      <c r="L245" s="5">
        <v>0</v>
      </c>
      <c r="M245" s="5">
        <v>77564.100000000006</v>
      </c>
      <c r="N245" s="5">
        <v>209336.24</v>
      </c>
      <c r="O245" s="5">
        <v>0</v>
      </c>
      <c r="P245" s="5">
        <v>3732.1</v>
      </c>
      <c r="Q245" s="5">
        <v>213068.34</v>
      </c>
      <c r="R245" s="1" t="s">
        <v>885</v>
      </c>
      <c r="S245" s="1" t="s">
        <v>735</v>
      </c>
      <c r="T245" s="4">
        <v>45292</v>
      </c>
      <c r="U245" s="4">
        <v>45657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213068.34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1" t="s">
        <v>1177</v>
      </c>
    </row>
    <row r="246" spans="1:41" x14ac:dyDescent="0.25">
      <c r="A246" s="1">
        <f t="shared" si="5"/>
        <v>230</v>
      </c>
      <c r="B246" s="1" t="s">
        <v>442</v>
      </c>
      <c r="C246" s="1" t="s">
        <v>122</v>
      </c>
      <c r="D246" s="1" t="s">
        <v>735</v>
      </c>
      <c r="E246" s="4">
        <v>45292</v>
      </c>
      <c r="F246" s="4">
        <v>45657</v>
      </c>
      <c r="H246" s="5">
        <v>460944.25</v>
      </c>
      <c r="I246" s="5">
        <v>27279.05</v>
      </c>
      <c r="J246" s="5">
        <v>39600</v>
      </c>
      <c r="K246" s="5">
        <v>26624.75</v>
      </c>
      <c r="L246" s="5">
        <v>0</v>
      </c>
      <c r="M246" s="5">
        <v>93503.8</v>
      </c>
      <c r="N246" s="5">
        <v>300723.87</v>
      </c>
      <c r="O246" s="5">
        <v>0</v>
      </c>
      <c r="P246" s="5">
        <v>66716.58</v>
      </c>
      <c r="Q246" s="5">
        <v>367440.45</v>
      </c>
      <c r="R246" s="1" t="s">
        <v>886</v>
      </c>
      <c r="S246" s="1" t="s">
        <v>735</v>
      </c>
      <c r="T246" s="4">
        <v>45292</v>
      </c>
      <c r="U246" s="4">
        <v>45657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367440.45</v>
      </c>
      <c r="AH246" s="5">
        <v>17616.07</v>
      </c>
      <c r="AI246" s="5">
        <v>0</v>
      </c>
      <c r="AJ246" s="5">
        <v>18182.919999999998</v>
      </c>
      <c r="AK246" s="5">
        <v>0</v>
      </c>
      <c r="AL246" s="5">
        <v>0</v>
      </c>
      <c r="AM246" s="5">
        <v>566.85</v>
      </c>
      <c r="AN246" s="5">
        <v>17616.07</v>
      </c>
      <c r="AO246" s="1" t="s">
        <v>1177</v>
      </c>
    </row>
    <row r="247" spans="1:41" x14ac:dyDescent="0.25">
      <c r="A247" s="1">
        <f t="shared" si="5"/>
        <v>231</v>
      </c>
      <c r="B247" s="1" t="s">
        <v>443</v>
      </c>
      <c r="C247" s="1" t="s">
        <v>122</v>
      </c>
      <c r="D247" s="1" t="s">
        <v>735</v>
      </c>
      <c r="E247" s="4">
        <v>45292</v>
      </c>
      <c r="F247" s="4">
        <v>45657</v>
      </c>
      <c r="H247" s="5">
        <v>1801708.1</v>
      </c>
      <c r="I247" s="5">
        <v>90000</v>
      </c>
      <c r="J247" s="5">
        <v>24000</v>
      </c>
      <c r="K247" s="5">
        <v>48500</v>
      </c>
      <c r="L247" s="5">
        <v>0</v>
      </c>
      <c r="M247" s="5">
        <v>162500</v>
      </c>
      <c r="N247" s="5">
        <v>1236500</v>
      </c>
      <c r="O247" s="5">
        <v>17083.330000000002</v>
      </c>
      <c r="P247" s="5">
        <v>385624.77</v>
      </c>
      <c r="Q247" s="5">
        <v>1639208.1</v>
      </c>
      <c r="R247" s="1" t="s">
        <v>887</v>
      </c>
      <c r="S247" s="1" t="s">
        <v>735</v>
      </c>
      <c r="T247" s="4">
        <v>45292</v>
      </c>
      <c r="U247" s="4">
        <v>45657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1639208.1</v>
      </c>
      <c r="AH247" s="5">
        <v>312302.03000000003</v>
      </c>
      <c r="AI247" s="5">
        <v>0</v>
      </c>
      <c r="AJ247" s="5">
        <v>330894.55</v>
      </c>
      <c r="AK247" s="5">
        <v>0</v>
      </c>
      <c r="AL247" s="5">
        <v>0</v>
      </c>
      <c r="AM247" s="5">
        <v>18592.52</v>
      </c>
      <c r="AN247" s="5">
        <v>312302.03000000003</v>
      </c>
      <c r="AO247" s="1" t="s">
        <v>1177</v>
      </c>
    </row>
    <row r="248" spans="1:41" x14ac:dyDescent="0.25">
      <c r="A248" s="1">
        <f t="shared" si="5"/>
        <v>232</v>
      </c>
      <c r="B248" s="1" t="s">
        <v>444</v>
      </c>
      <c r="C248" s="1" t="s">
        <v>122</v>
      </c>
      <c r="D248" s="1" t="s">
        <v>735</v>
      </c>
      <c r="E248" s="4">
        <v>45292</v>
      </c>
      <c r="F248" s="4">
        <v>45657</v>
      </c>
      <c r="H248" s="5">
        <v>434403.15</v>
      </c>
      <c r="I248" s="5">
        <v>28277.58</v>
      </c>
      <c r="J248" s="5">
        <v>39600</v>
      </c>
      <c r="K248" s="5">
        <v>26758.27</v>
      </c>
      <c r="L248" s="5">
        <v>0</v>
      </c>
      <c r="M248" s="5">
        <v>94635.85</v>
      </c>
      <c r="N248" s="5">
        <v>312572.73</v>
      </c>
      <c r="O248" s="5">
        <v>0</v>
      </c>
      <c r="P248" s="5">
        <v>27194.57</v>
      </c>
      <c r="Q248" s="5">
        <v>339767.3</v>
      </c>
      <c r="R248" s="1" t="s">
        <v>888</v>
      </c>
      <c r="S248" s="1" t="s">
        <v>735</v>
      </c>
      <c r="T248" s="4">
        <v>45292</v>
      </c>
      <c r="U248" s="4">
        <v>45657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339767.3</v>
      </c>
      <c r="AH248" s="5">
        <v>13465.1</v>
      </c>
      <c r="AI248" s="5">
        <v>0</v>
      </c>
      <c r="AJ248" s="5">
        <v>13579.06</v>
      </c>
      <c r="AK248" s="5">
        <v>0</v>
      </c>
      <c r="AL248" s="5">
        <v>0</v>
      </c>
      <c r="AM248" s="5">
        <v>113.97</v>
      </c>
      <c r="AN248" s="5">
        <v>13465.1</v>
      </c>
      <c r="AO248" s="1" t="s">
        <v>1177</v>
      </c>
    </row>
    <row r="249" spans="1:41" x14ac:dyDescent="0.25">
      <c r="A249" s="1">
        <f t="shared" si="5"/>
        <v>233</v>
      </c>
      <c r="B249" s="1" t="s">
        <v>445</v>
      </c>
      <c r="C249" s="1" t="s">
        <v>122</v>
      </c>
      <c r="D249" s="1" t="s">
        <v>735</v>
      </c>
      <c r="E249" s="4">
        <v>45292</v>
      </c>
      <c r="F249" s="4">
        <v>45657</v>
      </c>
      <c r="H249" s="5">
        <v>351549.66</v>
      </c>
      <c r="I249" s="5">
        <v>23863.63</v>
      </c>
      <c r="J249" s="5">
        <v>39600</v>
      </c>
      <c r="K249" s="5">
        <v>22914.05</v>
      </c>
      <c r="L249" s="5">
        <v>0</v>
      </c>
      <c r="M249" s="5">
        <v>86377.68</v>
      </c>
      <c r="N249" s="5">
        <v>263449.45</v>
      </c>
      <c r="O249" s="5">
        <v>0</v>
      </c>
      <c r="P249" s="5">
        <v>1722.53</v>
      </c>
      <c r="Q249" s="5">
        <v>265171.98</v>
      </c>
      <c r="R249" s="1" t="s">
        <v>889</v>
      </c>
      <c r="S249" s="1" t="s">
        <v>735</v>
      </c>
      <c r="T249" s="4">
        <v>45292</v>
      </c>
      <c r="U249" s="4">
        <v>45657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265171.98</v>
      </c>
      <c r="AH249" s="5">
        <v>2275.8000000000002</v>
      </c>
      <c r="AI249" s="5">
        <v>0</v>
      </c>
      <c r="AJ249" s="5">
        <v>2274.56</v>
      </c>
      <c r="AK249" s="5">
        <v>0</v>
      </c>
      <c r="AL249" s="5">
        <v>1.24</v>
      </c>
      <c r="AM249" s="5">
        <v>0</v>
      </c>
      <c r="AN249" s="5">
        <v>2275.8000000000002</v>
      </c>
      <c r="AO249" s="1" t="s">
        <v>1177</v>
      </c>
    </row>
    <row r="250" spans="1:41" x14ac:dyDescent="0.25">
      <c r="A250" s="1">
        <f t="shared" si="5"/>
        <v>234</v>
      </c>
      <c r="B250" s="1" t="s">
        <v>446</v>
      </c>
      <c r="C250" s="1" t="s">
        <v>122</v>
      </c>
      <c r="D250" s="1" t="s">
        <v>735</v>
      </c>
      <c r="E250" s="4">
        <v>45292</v>
      </c>
      <c r="F250" s="4">
        <v>45657</v>
      </c>
      <c r="H250" s="5">
        <v>872401.71</v>
      </c>
      <c r="I250" s="5">
        <v>30850</v>
      </c>
      <c r="J250" s="5">
        <v>18000</v>
      </c>
      <c r="K250" s="5">
        <v>27755</v>
      </c>
      <c r="L250" s="5">
        <v>0</v>
      </c>
      <c r="M250" s="5">
        <v>76605</v>
      </c>
      <c r="N250" s="5">
        <v>342445</v>
      </c>
      <c r="O250" s="5">
        <v>0</v>
      </c>
      <c r="P250" s="5">
        <v>453351.71</v>
      </c>
      <c r="Q250" s="5">
        <v>795796.71</v>
      </c>
      <c r="R250" s="1" t="s">
        <v>890</v>
      </c>
      <c r="S250" s="1" t="s">
        <v>735</v>
      </c>
      <c r="T250" s="4">
        <v>45292</v>
      </c>
      <c r="U250" s="4">
        <v>45657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795796.71</v>
      </c>
      <c r="AH250" s="5">
        <v>101659.34</v>
      </c>
      <c r="AI250" s="5">
        <v>0</v>
      </c>
      <c r="AJ250" s="5">
        <v>105396.37</v>
      </c>
      <c r="AK250" s="5">
        <v>0</v>
      </c>
      <c r="AL250" s="5">
        <v>0</v>
      </c>
      <c r="AM250" s="5">
        <v>3737.03</v>
      </c>
      <c r="AN250" s="5">
        <v>101659.34</v>
      </c>
      <c r="AO250" s="1" t="s">
        <v>1177</v>
      </c>
    </row>
    <row r="251" spans="1:41" x14ac:dyDescent="0.25">
      <c r="A251" s="1">
        <f t="shared" si="5"/>
        <v>235</v>
      </c>
      <c r="B251" s="1" t="s">
        <v>447</v>
      </c>
      <c r="C251" s="1" t="s">
        <v>122</v>
      </c>
      <c r="D251" s="1" t="s">
        <v>735</v>
      </c>
      <c r="E251" s="4">
        <v>45292</v>
      </c>
      <c r="F251" s="4">
        <v>45657</v>
      </c>
      <c r="H251" s="5">
        <v>323058.82</v>
      </c>
      <c r="I251" s="5">
        <v>20751.64</v>
      </c>
      <c r="J251" s="5">
        <v>39600</v>
      </c>
      <c r="K251" s="5">
        <v>20812.27</v>
      </c>
      <c r="L251" s="5">
        <v>0</v>
      </c>
      <c r="M251" s="5">
        <v>81163.91</v>
      </c>
      <c r="N251" s="5">
        <v>228207.42</v>
      </c>
      <c r="O251" s="5">
        <v>0</v>
      </c>
      <c r="P251" s="5">
        <v>13687.49</v>
      </c>
      <c r="Q251" s="5">
        <v>241894.91</v>
      </c>
      <c r="R251" s="1" t="s">
        <v>891</v>
      </c>
      <c r="S251" s="1" t="s">
        <v>735</v>
      </c>
      <c r="T251" s="4">
        <v>45292</v>
      </c>
      <c r="U251" s="4">
        <v>45657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241894.91</v>
      </c>
      <c r="AH251" s="5">
        <v>0</v>
      </c>
      <c r="AI251" s="5">
        <v>0</v>
      </c>
      <c r="AJ251" s="5">
        <v>1071.7</v>
      </c>
      <c r="AK251" s="5">
        <v>0</v>
      </c>
      <c r="AL251" s="5">
        <v>0</v>
      </c>
      <c r="AM251" s="5">
        <v>1071.7</v>
      </c>
      <c r="AN251" s="5">
        <v>0</v>
      </c>
      <c r="AO251" s="1" t="s">
        <v>1177</v>
      </c>
    </row>
    <row r="252" spans="1:41" x14ac:dyDescent="0.25">
      <c r="A252" s="1">
        <f t="shared" si="5"/>
        <v>236</v>
      </c>
      <c r="B252" s="1" t="s">
        <v>448</v>
      </c>
      <c r="C252" s="1" t="s">
        <v>122</v>
      </c>
      <c r="D252" s="1" t="s">
        <v>735</v>
      </c>
      <c r="E252" s="4">
        <v>45292</v>
      </c>
      <c r="F252" s="4">
        <v>45657</v>
      </c>
      <c r="H252" s="5">
        <v>3049989.58</v>
      </c>
      <c r="I252" s="5">
        <v>90000</v>
      </c>
      <c r="J252" s="5">
        <v>24000</v>
      </c>
      <c r="K252" s="5">
        <v>48500</v>
      </c>
      <c r="L252" s="5">
        <v>0</v>
      </c>
      <c r="M252" s="5">
        <v>162500</v>
      </c>
      <c r="N252" s="5">
        <v>2622875</v>
      </c>
      <c r="O252" s="5">
        <v>132614.57999999999</v>
      </c>
      <c r="P252" s="5">
        <v>132000</v>
      </c>
      <c r="Q252" s="5">
        <v>2887489.58</v>
      </c>
      <c r="R252" s="1" t="s">
        <v>892</v>
      </c>
      <c r="S252" s="1" t="s">
        <v>735</v>
      </c>
      <c r="T252" s="4">
        <v>45292</v>
      </c>
      <c r="U252" s="4">
        <v>45657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2887489.58</v>
      </c>
      <c r="AH252" s="5">
        <v>668746.88</v>
      </c>
      <c r="AI252" s="5">
        <v>0</v>
      </c>
      <c r="AJ252" s="5">
        <v>668746.07999999996</v>
      </c>
      <c r="AK252" s="5">
        <v>0</v>
      </c>
      <c r="AL252" s="5">
        <v>0.8</v>
      </c>
      <c r="AM252" s="5">
        <v>0</v>
      </c>
      <c r="AN252" s="5">
        <v>668746.88</v>
      </c>
      <c r="AO252" s="1" t="s">
        <v>1177</v>
      </c>
    </row>
    <row r="253" spans="1:41" x14ac:dyDescent="0.25">
      <c r="A253" s="1">
        <f t="shared" si="5"/>
        <v>237</v>
      </c>
      <c r="B253" s="1" t="s">
        <v>449</v>
      </c>
      <c r="C253" s="1" t="s">
        <v>122</v>
      </c>
      <c r="D253" s="1" t="s">
        <v>735</v>
      </c>
      <c r="E253" s="4">
        <v>45292</v>
      </c>
      <c r="F253" s="4">
        <v>45657</v>
      </c>
      <c r="H253" s="5">
        <v>567340.81000000006</v>
      </c>
      <c r="I253" s="5">
        <v>39816.67</v>
      </c>
      <c r="J253" s="5">
        <v>31550</v>
      </c>
      <c r="K253" s="5">
        <v>31067.5</v>
      </c>
      <c r="L253" s="5">
        <v>0</v>
      </c>
      <c r="M253" s="5">
        <v>102434.17</v>
      </c>
      <c r="N253" s="5">
        <v>464906.64</v>
      </c>
      <c r="O253" s="5">
        <v>0</v>
      </c>
      <c r="P253" s="5">
        <v>0</v>
      </c>
      <c r="Q253" s="5">
        <v>464906.64</v>
      </c>
      <c r="R253" s="1" t="s">
        <v>893</v>
      </c>
      <c r="S253" s="1" t="s">
        <v>735</v>
      </c>
      <c r="T253" s="4">
        <v>45292</v>
      </c>
      <c r="U253" s="4">
        <v>45657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464906.64</v>
      </c>
      <c r="AH253" s="5">
        <v>35481.33</v>
      </c>
      <c r="AI253" s="5">
        <v>0</v>
      </c>
      <c r="AJ253" s="5">
        <v>35618.18</v>
      </c>
      <c r="AK253" s="5">
        <v>0</v>
      </c>
      <c r="AL253" s="5">
        <v>0</v>
      </c>
      <c r="AM253" s="5">
        <v>136.85</v>
      </c>
      <c r="AN253" s="5">
        <v>35481.33</v>
      </c>
      <c r="AO253" s="1" t="s">
        <v>1177</v>
      </c>
    </row>
    <row r="254" spans="1:41" x14ac:dyDescent="0.25">
      <c r="A254" s="1">
        <f t="shared" si="5"/>
        <v>238</v>
      </c>
      <c r="B254" s="1" t="s">
        <v>450</v>
      </c>
      <c r="C254" s="1" t="s">
        <v>122</v>
      </c>
      <c r="D254" s="1" t="s">
        <v>735</v>
      </c>
      <c r="E254" s="4">
        <v>45292</v>
      </c>
      <c r="F254" s="4">
        <v>45657</v>
      </c>
      <c r="H254" s="5">
        <v>980138.08</v>
      </c>
      <c r="I254" s="5">
        <v>72349.08</v>
      </c>
      <c r="J254" s="5">
        <v>39600</v>
      </c>
      <c r="K254" s="5">
        <v>40204.720000000001</v>
      </c>
      <c r="L254" s="5">
        <v>0</v>
      </c>
      <c r="M254" s="5">
        <v>152153.79999999999</v>
      </c>
      <c r="N254" s="5">
        <v>827984.28</v>
      </c>
      <c r="O254" s="5">
        <v>0</v>
      </c>
      <c r="P254" s="5">
        <v>0</v>
      </c>
      <c r="Q254" s="5">
        <v>827984.28</v>
      </c>
      <c r="R254" s="1" t="s">
        <v>894</v>
      </c>
      <c r="S254" s="1" t="s">
        <v>735</v>
      </c>
      <c r="T254" s="4">
        <v>45292</v>
      </c>
      <c r="U254" s="4">
        <v>45657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827984.28</v>
      </c>
      <c r="AH254" s="5">
        <v>109496.07</v>
      </c>
      <c r="AI254" s="5">
        <v>0</v>
      </c>
      <c r="AJ254" s="5">
        <v>111228.94</v>
      </c>
      <c r="AK254" s="5">
        <v>0</v>
      </c>
      <c r="AL254" s="5">
        <v>0</v>
      </c>
      <c r="AM254" s="5">
        <v>1732.87</v>
      </c>
      <c r="AN254" s="5">
        <v>109496.07</v>
      </c>
      <c r="AO254" s="1" t="s">
        <v>1177</v>
      </c>
    </row>
    <row r="255" spans="1:41" x14ac:dyDescent="0.25">
      <c r="A255" s="1">
        <f t="shared" si="5"/>
        <v>239</v>
      </c>
      <c r="B255" s="1" t="s">
        <v>451</v>
      </c>
      <c r="C255" s="1" t="s">
        <v>122</v>
      </c>
      <c r="D255" s="1" t="s">
        <v>735</v>
      </c>
      <c r="E255" s="4">
        <v>45292</v>
      </c>
      <c r="F255" s="4">
        <v>45657</v>
      </c>
      <c r="H255" s="5">
        <v>353874.11</v>
      </c>
      <c r="I255" s="5">
        <v>21804.54</v>
      </c>
      <c r="J255" s="5">
        <v>39600</v>
      </c>
      <c r="K255" s="5">
        <v>22003.82</v>
      </c>
      <c r="L255" s="5">
        <v>10000</v>
      </c>
      <c r="M255" s="5">
        <v>93408.36</v>
      </c>
      <c r="N255" s="5">
        <v>239650.68</v>
      </c>
      <c r="O255" s="5">
        <v>0</v>
      </c>
      <c r="P255" s="5">
        <v>20815.07</v>
      </c>
      <c r="Q255" s="5">
        <v>260465.75</v>
      </c>
      <c r="R255" s="1" t="s">
        <v>895</v>
      </c>
      <c r="S255" s="1" t="s">
        <v>735</v>
      </c>
      <c r="T255" s="4">
        <v>45292</v>
      </c>
      <c r="U255" s="4">
        <v>45657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260465.75</v>
      </c>
      <c r="AH255" s="5">
        <v>1569.86</v>
      </c>
      <c r="AI255" s="5">
        <v>0</v>
      </c>
      <c r="AJ255" s="5">
        <v>2547.2800000000002</v>
      </c>
      <c r="AK255" s="5">
        <v>0</v>
      </c>
      <c r="AL255" s="5">
        <v>0</v>
      </c>
      <c r="AM255" s="5">
        <v>977.42</v>
      </c>
      <c r="AN255" s="5">
        <v>1569.86</v>
      </c>
      <c r="AO255" s="1" t="s">
        <v>1177</v>
      </c>
    </row>
    <row r="256" spans="1:41" x14ac:dyDescent="0.25">
      <c r="A256" s="1">
        <f t="shared" si="5"/>
        <v>240</v>
      </c>
      <c r="B256" s="1" t="s">
        <v>452</v>
      </c>
      <c r="C256" s="1" t="s">
        <v>122</v>
      </c>
      <c r="D256" s="1" t="s">
        <v>735</v>
      </c>
      <c r="E256" s="4">
        <v>45292</v>
      </c>
      <c r="F256" s="4">
        <v>45657</v>
      </c>
      <c r="H256" s="5">
        <v>536560.35</v>
      </c>
      <c r="I256" s="5">
        <v>27818.880000000001</v>
      </c>
      <c r="J256" s="5">
        <v>39600</v>
      </c>
      <c r="K256" s="5">
        <v>26845.62</v>
      </c>
      <c r="L256" s="5">
        <v>0</v>
      </c>
      <c r="M256" s="5">
        <v>94264.5</v>
      </c>
      <c r="N256" s="5">
        <v>306980.88</v>
      </c>
      <c r="O256" s="5">
        <v>0</v>
      </c>
      <c r="P256" s="5">
        <v>135314.97</v>
      </c>
      <c r="Q256" s="5">
        <v>442295.85</v>
      </c>
      <c r="R256" s="1" t="s">
        <v>896</v>
      </c>
      <c r="S256" s="1" t="s">
        <v>735</v>
      </c>
      <c r="T256" s="4">
        <v>45292</v>
      </c>
      <c r="U256" s="4">
        <v>45657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442295.85</v>
      </c>
      <c r="AH256" s="5">
        <v>30959.17</v>
      </c>
      <c r="AI256" s="5">
        <v>0</v>
      </c>
      <c r="AJ256" s="5">
        <v>32116.45</v>
      </c>
      <c r="AK256" s="5">
        <v>0</v>
      </c>
      <c r="AL256" s="5">
        <v>0</v>
      </c>
      <c r="AM256" s="5">
        <v>1157.28</v>
      </c>
      <c r="AN256" s="5">
        <v>30959.17</v>
      </c>
      <c r="AO256" s="1" t="s">
        <v>1177</v>
      </c>
    </row>
    <row r="257" spans="1:41" x14ac:dyDescent="0.25">
      <c r="A257" s="1">
        <f t="shared" si="5"/>
        <v>241</v>
      </c>
      <c r="B257" s="1" t="s">
        <v>453</v>
      </c>
      <c r="C257" s="1" t="s">
        <v>122</v>
      </c>
      <c r="D257" s="1" t="s">
        <v>735</v>
      </c>
      <c r="E257" s="4">
        <v>45292</v>
      </c>
      <c r="F257" s="4">
        <v>45657</v>
      </c>
      <c r="H257" s="5">
        <v>333510.21999999997</v>
      </c>
      <c r="I257" s="5">
        <v>19875.310000000001</v>
      </c>
      <c r="J257" s="5">
        <v>39600</v>
      </c>
      <c r="K257" s="5">
        <v>21110.85</v>
      </c>
      <c r="L257" s="5">
        <v>0</v>
      </c>
      <c r="M257" s="5">
        <v>80586.16</v>
      </c>
      <c r="N257" s="5">
        <v>217392.85</v>
      </c>
      <c r="O257" s="5">
        <v>0</v>
      </c>
      <c r="P257" s="5">
        <v>35531.21</v>
      </c>
      <c r="Q257" s="5">
        <v>252924.06</v>
      </c>
      <c r="R257" s="1" t="s">
        <v>897</v>
      </c>
      <c r="S257" s="1" t="s">
        <v>735</v>
      </c>
      <c r="T257" s="4">
        <v>45292</v>
      </c>
      <c r="U257" s="4">
        <v>45657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252924.06</v>
      </c>
      <c r="AH257" s="5">
        <v>438.61</v>
      </c>
      <c r="AI257" s="5">
        <v>0</v>
      </c>
      <c r="AJ257" s="5">
        <v>1634.85</v>
      </c>
      <c r="AK257" s="5">
        <v>0</v>
      </c>
      <c r="AL257" s="5">
        <v>0</v>
      </c>
      <c r="AM257" s="5">
        <v>1196.24</v>
      </c>
      <c r="AN257" s="5">
        <v>438.61</v>
      </c>
      <c r="AO257" s="1" t="s">
        <v>1177</v>
      </c>
    </row>
    <row r="258" spans="1:41" x14ac:dyDescent="0.25">
      <c r="A258" s="1">
        <f t="shared" si="5"/>
        <v>242</v>
      </c>
      <c r="B258" s="1" t="s">
        <v>454</v>
      </c>
      <c r="C258" s="1" t="s">
        <v>122</v>
      </c>
      <c r="D258" s="1" t="s">
        <v>735</v>
      </c>
      <c r="E258" s="4">
        <v>45292</v>
      </c>
      <c r="F258" s="4">
        <v>45657</v>
      </c>
      <c r="H258" s="5">
        <v>1857941.67</v>
      </c>
      <c r="I258" s="5">
        <v>90000</v>
      </c>
      <c r="J258" s="5">
        <v>24000</v>
      </c>
      <c r="K258" s="5">
        <v>48500</v>
      </c>
      <c r="L258" s="5">
        <v>0</v>
      </c>
      <c r="M258" s="5">
        <v>162500</v>
      </c>
      <c r="N258" s="5">
        <v>1533600</v>
      </c>
      <c r="O258" s="5">
        <v>41841.67</v>
      </c>
      <c r="P258" s="5">
        <v>120000</v>
      </c>
      <c r="Q258" s="5">
        <v>1695441.67</v>
      </c>
      <c r="R258" s="1" t="s">
        <v>898</v>
      </c>
      <c r="S258" s="1" t="s">
        <v>735</v>
      </c>
      <c r="T258" s="4">
        <v>45292</v>
      </c>
      <c r="U258" s="4">
        <v>45657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1695441.67</v>
      </c>
      <c r="AH258" s="5">
        <v>326360.42</v>
      </c>
      <c r="AI258" s="5">
        <v>0</v>
      </c>
      <c r="AJ258" s="5">
        <v>326359.21999999997</v>
      </c>
      <c r="AK258" s="5">
        <v>0</v>
      </c>
      <c r="AL258" s="5">
        <v>1.2</v>
      </c>
      <c r="AM258" s="5">
        <v>0</v>
      </c>
      <c r="AN258" s="5">
        <v>326360.42</v>
      </c>
      <c r="AO258" s="1" t="s">
        <v>1177</v>
      </c>
    </row>
    <row r="259" spans="1:41" x14ac:dyDescent="0.25">
      <c r="A259" s="1">
        <f t="shared" si="5"/>
        <v>243</v>
      </c>
      <c r="B259" s="1" t="s">
        <v>455</v>
      </c>
      <c r="C259" s="1" t="s">
        <v>122</v>
      </c>
      <c r="D259" s="1" t="s">
        <v>735</v>
      </c>
      <c r="E259" s="4">
        <v>45292</v>
      </c>
      <c r="F259" s="4">
        <v>45657</v>
      </c>
      <c r="H259" s="5">
        <v>338123.13</v>
      </c>
      <c r="I259" s="5">
        <v>20408.419999999998</v>
      </c>
      <c r="J259" s="5">
        <v>39600</v>
      </c>
      <c r="K259" s="5">
        <v>21382.52</v>
      </c>
      <c r="L259" s="5">
        <v>0</v>
      </c>
      <c r="M259" s="5">
        <v>81390.94</v>
      </c>
      <c r="N259" s="5">
        <v>222566.94</v>
      </c>
      <c r="O259" s="5">
        <v>0</v>
      </c>
      <c r="P259" s="5">
        <v>34165.25</v>
      </c>
      <c r="Q259" s="5">
        <v>256732.19</v>
      </c>
      <c r="R259" s="1" t="s">
        <v>899</v>
      </c>
      <c r="S259" s="1" t="s">
        <v>735</v>
      </c>
      <c r="T259" s="4">
        <v>45292</v>
      </c>
      <c r="U259" s="4">
        <v>45657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256732.19</v>
      </c>
      <c r="AH259" s="5">
        <v>1009.83</v>
      </c>
      <c r="AI259" s="5">
        <v>0</v>
      </c>
      <c r="AJ259" s="5">
        <v>2398.56</v>
      </c>
      <c r="AK259" s="5">
        <v>0</v>
      </c>
      <c r="AL259" s="5">
        <v>0</v>
      </c>
      <c r="AM259" s="5">
        <v>1388.73</v>
      </c>
      <c r="AN259" s="5">
        <v>1009.83</v>
      </c>
      <c r="AO259" s="1" t="s">
        <v>1177</v>
      </c>
    </row>
    <row r="260" spans="1:41" x14ac:dyDescent="0.25">
      <c r="A260" s="1">
        <f t="shared" si="5"/>
        <v>244</v>
      </c>
      <c r="B260" s="1" t="s">
        <v>456</v>
      </c>
      <c r="C260" s="1" t="s">
        <v>122</v>
      </c>
      <c r="D260" s="1" t="s">
        <v>735</v>
      </c>
      <c r="E260" s="4">
        <v>45292</v>
      </c>
      <c r="F260" s="4">
        <v>45657</v>
      </c>
      <c r="H260" s="5">
        <v>347470.54</v>
      </c>
      <c r="I260" s="5">
        <v>21671.79</v>
      </c>
      <c r="J260" s="5">
        <v>39600</v>
      </c>
      <c r="K260" s="5">
        <v>21829</v>
      </c>
      <c r="L260" s="5">
        <v>7000</v>
      </c>
      <c r="M260" s="5">
        <v>90100.79</v>
      </c>
      <c r="N260" s="5">
        <v>238232.5</v>
      </c>
      <c r="O260" s="5">
        <v>0</v>
      </c>
      <c r="P260" s="5">
        <v>19137.25</v>
      </c>
      <c r="Q260" s="5">
        <v>257369.75</v>
      </c>
      <c r="R260" s="1" t="s">
        <v>900</v>
      </c>
      <c r="S260" s="1" t="s">
        <v>735</v>
      </c>
      <c r="T260" s="4">
        <v>45292</v>
      </c>
      <c r="U260" s="4">
        <v>45657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257369.75</v>
      </c>
      <c r="AH260" s="5">
        <v>1105.46</v>
      </c>
      <c r="AI260" s="5">
        <v>0</v>
      </c>
      <c r="AJ260" s="5">
        <v>2242.71</v>
      </c>
      <c r="AK260" s="5">
        <v>0</v>
      </c>
      <c r="AL260" s="5">
        <v>0</v>
      </c>
      <c r="AM260" s="5">
        <v>1137.25</v>
      </c>
      <c r="AN260" s="5">
        <v>1105.46</v>
      </c>
      <c r="AO260" s="1" t="s">
        <v>1177</v>
      </c>
    </row>
    <row r="261" spans="1:41" x14ac:dyDescent="0.25">
      <c r="A261" s="1">
        <f t="shared" si="5"/>
        <v>245</v>
      </c>
      <c r="B261" s="1" t="s">
        <v>457</v>
      </c>
      <c r="C261" s="1" t="s">
        <v>122</v>
      </c>
      <c r="D261" s="1" t="s">
        <v>735</v>
      </c>
      <c r="E261" s="4">
        <v>45292</v>
      </c>
      <c r="F261" s="4">
        <v>45657</v>
      </c>
      <c r="H261" s="5">
        <v>333542.09999999998</v>
      </c>
      <c r="I261" s="5">
        <v>21536.67</v>
      </c>
      <c r="J261" s="5">
        <v>39600</v>
      </c>
      <c r="K261" s="5">
        <v>21496</v>
      </c>
      <c r="L261" s="5">
        <v>0</v>
      </c>
      <c r="M261" s="5">
        <v>82632.67</v>
      </c>
      <c r="N261" s="5">
        <v>236944</v>
      </c>
      <c r="O261" s="5">
        <v>0</v>
      </c>
      <c r="P261" s="5">
        <v>13965.43</v>
      </c>
      <c r="Q261" s="5">
        <v>250909.43</v>
      </c>
      <c r="R261" s="1" t="s">
        <v>901</v>
      </c>
      <c r="S261" s="1" t="s">
        <v>735</v>
      </c>
      <c r="T261" s="4">
        <v>45292</v>
      </c>
      <c r="U261" s="4">
        <v>45657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250909.43</v>
      </c>
      <c r="AH261" s="5">
        <v>136.41</v>
      </c>
      <c r="AI261" s="5">
        <v>0</v>
      </c>
      <c r="AJ261" s="5">
        <v>1445.91</v>
      </c>
      <c r="AK261" s="5">
        <v>0</v>
      </c>
      <c r="AL261" s="5">
        <v>0</v>
      </c>
      <c r="AM261" s="5">
        <v>1309.5</v>
      </c>
      <c r="AN261" s="5">
        <v>136.41</v>
      </c>
      <c r="AO261" s="1" t="s">
        <v>1177</v>
      </c>
    </row>
    <row r="262" spans="1:41" x14ac:dyDescent="0.25">
      <c r="A262" s="1">
        <f t="shared" si="5"/>
        <v>246</v>
      </c>
      <c r="B262" s="1" t="s">
        <v>458</v>
      </c>
      <c r="C262" s="1" t="s">
        <v>122</v>
      </c>
      <c r="D262" s="1" t="s">
        <v>735</v>
      </c>
      <c r="E262" s="4">
        <v>45292</v>
      </c>
      <c r="F262" s="4">
        <v>45657</v>
      </c>
      <c r="H262" s="5">
        <v>504327.54</v>
      </c>
      <c r="I262" s="5">
        <v>34037.5</v>
      </c>
      <c r="J262" s="5">
        <v>28050</v>
      </c>
      <c r="K262" s="5">
        <v>28711.25</v>
      </c>
      <c r="L262" s="5">
        <v>0</v>
      </c>
      <c r="M262" s="5">
        <v>90798.75</v>
      </c>
      <c r="N262" s="5">
        <v>379738.75</v>
      </c>
      <c r="O262" s="5">
        <v>0</v>
      </c>
      <c r="P262" s="5">
        <v>33790.04</v>
      </c>
      <c r="Q262" s="5">
        <v>413528.79</v>
      </c>
      <c r="R262" s="1" t="s">
        <v>902</v>
      </c>
      <c r="S262" s="1" t="s">
        <v>735</v>
      </c>
      <c r="T262" s="4">
        <v>45292</v>
      </c>
      <c r="U262" s="4">
        <v>45657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413528.79</v>
      </c>
      <c r="AH262" s="5">
        <v>25205.759999999998</v>
      </c>
      <c r="AI262" s="5">
        <v>0</v>
      </c>
      <c r="AJ262" s="5">
        <v>25878.65</v>
      </c>
      <c r="AK262" s="5">
        <v>0</v>
      </c>
      <c r="AL262" s="5">
        <v>0</v>
      </c>
      <c r="AM262" s="5">
        <v>672.89</v>
      </c>
      <c r="AN262" s="5">
        <v>25205.759999999998</v>
      </c>
      <c r="AO262" s="1" t="s">
        <v>1177</v>
      </c>
    </row>
    <row r="263" spans="1:41" x14ac:dyDescent="0.25">
      <c r="A263" s="1">
        <f t="shared" si="5"/>
        <v>247</v>
      </c>
      <c r="B263" s="1" t="s">
        <v>459</v>
      </c>
      <c r="C263" s="1" t="s">
        <v>122</v>
      </c>
      <c r="D263" s="1" t="s">
        <v>735</v>
      </c>
      <c r="E263" s="4">
        <v>45292</v>
      </c>
      <c r="F263" s="4">
        <v>45657</v>
      </c>
      <c r="H263" s="5">
        <v>413443.18</v>
      </c>
      <c r="I263" s="5">
        <v>18523.830000000002</v>
      </c>
      <c r="J263" s="5">
        <v>39600</v>
      </c>
      <c r="K263" s="5">
        <v>23606.32</v>
      </c>
      <c r="L263" s="5">
        <v>0</v>
      </c>
      <c r="M263" s="5">
        <v>81730.149999999994</v>
      </c>
      <c r="N263" s="5">
        <v>199546.68</v>
      </c>
      <c r="O263" s="5">
        <v>0</v>
      </c>
      <c r="P263" s="5">
        <v>132166.35</v>
      </c>
      <c r="Q263" s="5">
        <v>331713.03000000003</v>
      </c>
      <c r="R263" s="1" t="s">
        <v>903</v>
      </c>
      <c r="S263" s="1" t="s">
        <v>735</v>
      </c>
      <c r="T263" s="4">
        <v>45292</v>
      </c>
      <c r="U263" s="4">
        <v>45657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331713.03000000003</v>
      </c>
      <c r="AH263" s="5">
        <v>12256.95</v>
      </c>
      <c r="AI263" s="5">
        <v>0</v>
      </c>
      <c r="AJ263" s="5">
        <v>12843.87</v>
      </c>
      <c r="AK263" s="5">
        <v>0</v>
      </c>
      <c r="AL263" s="5">
        <v>0</v>
      </c>
      <c r="AM263" s="5">
        <v>586.91999999999996</v>
      </c>
      <c r="AN263" s="5">
        <v>12256.95</v>
      </c>
      <c r="AO263" s="1" t="s">
        <v>1177</v>
      </c>
    </row>
    <row r="264" spans="1:41" x14ac:dyDescent="0.25">
      <c r="A264" s="1">
        <f t="shared" si="5"/>
        <v>248</v>
      </c>
      <c r="B264" s="1" t="s">
        <v>460</v>
      </c>
      <c r="C264" s="1" t="s">
        <v>122</v>
      </c>
      <c r="D264" s="1" t="s">
        <v>735</v>
      </c>
      <c r="E264" s="4">
        <v>45292</v>
      </c>
      <c r="F264" s="4">
        <v>45657</v>
      </c>
      <c r="H264" s="5">
        <v>328087.2</v>
      </c>
      <c r="I264" s="5">
        <v>18151.21</v>
      </c>
      <c r="J264" s="5">
        <v>39600</v>
      </c>
      <c r="K264" s="5">
        <v>20120.32</v>
      </c>
      <c r="L264" s="5">
        <v>0</v>
      </c>
      <c r="M264" s="5">
        <v>77871.53</v>
      </c>
      <c r="N264" s="5">
        <v>197694.18</v>
      </c>
      <c r="O264" s="5">
        <v>0</v>
      </c>
      <c r="P264" s="5">
        <v>52521.49</v>
      </c>
      <c r="Q264" s="5">
        <v>250215.67</v>
      </c>
      <c r="R264" s="1" t="s">
        <v>904</v>
      </c>
      <c r="S264" s="1" t="s">
        <v>735</v>
      </c>
      <c r="T264" s="4">
        <v>45292</v>
      </c>
      <c r="U264" s="4">
        <v>45657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250215.67</v>
      </c>
      <c r="AH264" s="5">
        <v>32.35</v>
      </c>
      <c r="AI264" s="5">
        <v>0</v>
      </c>
      <c r="AJ264" s="5">
        <v>4733.28</v>
      </c>
      <c r="AK264" s="5">
        <v>0</v>
      </c>
      <c r="AL264" s="5">
        <v>0</v>
      </c>
      <c r="AM264" s="5">
        <v>4700.93</v>
      </c>
      <c r="AN264" s="5">
        <v>32.35</v>
      </c>
      <c r="AO264" s="1" t="s">
        <v>1177</v>
      </c>
    </row>
    <row r="265" spans="1:41" x14ac:dyDescent="0.25">
      <c r="A265" s="1">
        <f t="shared" si="5"/>
        <v>249</v>
      </c>
      <c r="B265" s="1" t="s">
        <v>461</v>
      </c>
      <c r="C265" s="1" t="s">
        <v>122</v>
      </c>
      <c r="D265" s="1" t="s">
        <v>735</v>
      </c>
      <c r="E265" s="4">
        <v>45292</v>
      </c>
      <c r="F265" s="4">
        <v>45657</v>
      </c>
      <c r="H265" s="5">
        <v>564604.32999999996</v>
      </c>
      <c r="I265" s="5">
        <v>28733.83</v>
      </c>
      <c r="J265" s="5">
        <v>39600</v>
      </c>
      <c r="K265" s="5">
        <v>27120.15</v>
      </c>
      <c r="L265" s="5">
        <v>0</v>
      </c>
      <c r="M265" s="5">
        <v>95453.98</v>
      </c>
      <c r="N265" s="5">
        <v>317685.84999999998</v>
      </c>
      <c r="O265" s="5">
        <v>0</v>
      </c>
      <c r="P265" s="5">
        <v>151464.5</v>
      </c>
      <c r="Q265" s="5">
        <v>469150.35</v>
      </c>
      <c r="R265" s="1" t="s">
        <v>905</v>
      </c>
      <c r="S265" s="1" t="s">
        <v>735</v>
      </c>
      <c r="T265" s="4">
        <v>45292</v>
      </c>
      <c r="U265" s="4">
        <v>45657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469150.35</v>
      </c>
      <c r="AH265" s="5">
        <v>36330.07</v>
      </c>
      <c r="AI265" s="5">
        <v>0</v>
      </c>
      <c r="AJ265" s="5">
        <v>36187.67</v>
      </c>
      <c r="AK265" s="5">
        <v>0</v>
      </c>
      <c r="AL265" s="5">
        <v>142.4</v>
      </c>
      <c r="AM265" s="5">
        <v>0</v>
      </c>
      <c r="AN265" s="5">
        <v>36330.07</v>
      </c>
      <c r="AO265" s="1" t="s">
        <v>1177</v>
      </c>
    </row>
    <row r="266" spans="1:41" x14ac:dyDescent="0.25">
      <c r="A266" s="1">
        <f t="shared" si="5"/>
        <v>250</v>
      </c>
      <c r="B266" s="1" t="s">
        <v>1178</v>
      </c>
      <c r="C266" s="1" t="s">
        <v>122</v>
      </c>
      <c r="D266" s="1" t="s">
        <v>735</v>
      </c>
      <c r="E266" s="4">
        <v>45292</v>
      </c>
      <c r="F266" s="4">
        <v>45657</v>
      </c>
      <c r="H266" s="5">
        <v>765832.33</v>
      </c>
      <c r="I266" s="5">
        <v>50000</v>
      </c>
      <c r="J266" s="5">
        <v>33300</v>
      </c>
      <c r="K266" s="5">
        <v>33500</v>
      </c>
      <c r="L266" s="5">
        <v>0</v>
      </c>
      <c r="M266" s="5">
        <v>116800</v>
      </c>
      <c r="N266" s="5">
        <v>566500</v>
      </c>
      <c r="O266" s="5">
        <v>0</v>
      </c>
      <c r="P266" s="5">
        <v>82532.33</v>
      </c>
      <c r="Q266" s="5">
        <v>649032.32999999996</v>
      </c>
      <c r="R266" s="1" t="s">
        <v>906</v>
      </c>
      <c r="S266" s="1" t="s">
        <v>735</v>
      </c>
      <c r="T266" s="4">
        <v>45292</v>
      </c>
      <c r="U266" s="4">
        <v>45657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649032.32999999996</v>
      </c>
      <c r="AH266" s="5">
        <v>72306.47</v>
      </c>
      <c r="AI266" s="5">
        <v>0</v>
      </c>
      <c r="AJ266" s="5">
        <v>73175.16</v>
      </c>
      <c r="AK266" s="5">
        <v>0</v>
      </c>
      <c r="AL266" s="5">
        <v>0</v>
      </c>
      <c r="AM266" s="5">
        <v>868.69</v>
      </c>
      <c r="AN266" s="5">
        <v>72306.47</v>
      </c>
      <c r="AO266" s="1" t="s">
        <v>1177</v>
      </c>
    </row>
    <row r="267" spans="1:41" x14ac:dyDescent="0.25">
      <c r="A267" s="1">
        <f t="shared" si="5"/>
        <v>251</v>
      </c>
      <c r="B267" s="1" t="s">
        <v>462</v>
      </c>
      <c r="C267" s="1" t="s">
        <v>122</v>
      </c>
      <c r="D267" s="1" t="s">
        <v>735</v>
      </c>
      <c r="E267" s="4">
        <v>45292</v>
      </c>
      <c r="F267" s="4">
        <v>45657</v>
      </c>
      <c r="H267" s="5">
        <v>2028458.33</v>
      </c>
      <c r="I267" s="5">
        <v>90000</v>
      </c>
      <c r="J267" s="5">
        <v>24000</v>
      </c>
      <c r="K267" s="5">
        <v>48500</v>
      </c>
      <c r="L267" s="5">
        <v>0</v>
      </c>
      <c r="M267" s="5">
        <v>162500</v>
      </c>
      <c r="N267" s="5">
        <v>1691000</v>
      </c>
      <c r="O267" s="5">
        <v>54958.33</v>
      </c>
      <c r="P267" s="5">
        <v>120000</v>
      </c>
      <c r="Q267" s="5">
        <v>1865958.33</v>
      </c>
      <c r="R267" s="1" t="s">
        <v>907</v>
      </c>
      <c r="S267" s="1" t="s">
        <v>735</v>
      </c>
      <c r="T267" s="4">
        <v>45292</v>
      </c>
      <c r="U267" s="4">
        <v>45657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1865958.33</v>
      </c>
      <c r="AH267" s="5">
        <v>368989.58</v>
      </c>
      <c r="AI267" s="5">
        <v>0</v>
      </c>
      <c r="AJ267" s="5">
        <v>368988.38</v>
      </c>
      <c r="AK267" s="5">
        <v>0</v>
      </c>
      <c r="AL267" s="5">
        <v>1.2</v>
      </c>
      <c r="AM267" s="5">
        <v>0</v>
      </c>
      <c r="AN267" s="5">
        <v>368989.58</v>
      </c>
      <c r="AO267" s="1" t="s">
        <v>1177</v>
      </c>
    </row>
    <row r="268" spans="1:41" x14ac:dyDescent="0.25">
      <c r="A268" s="1">
        <f t="shared" si="5"/>
        <v>252</v>
      </c>
      <c r="B268" s="1" t="s">
        <v>463</v>
      </c>
      <c r="C268" s="1" t="s">
        <v>122</v>
      </c>
      <c r="D268" s="1" t="s">
        <v>735</v>
      </c>
      <c r="E268" s="4">
        <v>45292</v>
      </c>
      <c r="F268" s="4">
        <v>45657</v>
      </c>
      <c r="H268" s="5">
        <v>234206.84</v>
      </c>
      <c r="I268" s="5">
        <v>14190.51</v>
      </c>
      <c r="J268" s="5">
        <v>29700</v>
      </c>
      <c r="K268" s="5">
        <v>15148.57</v>
      </c>
      <c r="L268" s="5">
        <v>0</v>
      </c>
      <c r="M268" s="5">
        <v>59039.08</v>
      </c>
      <c r="N268" s="5">
        <v>152829.6</v>
      </c>
      <c r="O268" s="5">
        <v>0</v>
      </c>
      <c r="P268" s="5">
        <v>22338.16</v>
      </c>
      <c r="Q268" s="5">
        <v>175167.76</v>
      </c>
      <c r="R268" s="1" t="s">
        <v>908</v>
      </c>
      <c r="S268" s="1" t="s">
        <v>735</v>
      </c>
      <c r="T268" s="4">
        <v>45292</v>
      </c>
      <c r="U268" s="4">
        <v>45657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175167.76</v>
      </c>
      <c r="AH268" s="5">
        <v>0</v>
      </c>
      <c r="AI268" s="5">
        <v>0</v>
      </c>
      <c r="AJ268" s="5">
        <v>814.3</v>
      </c>
      <c r="AK268" s="5">
        <v>0</v>
      </c>
      <c r="AL268" s="5">
        <v>0</v>
      </c>
      <c r="AM268" s="5">
        <v>814.3</v>
      </c>
      <c r="AN268" s="5">
        <v>0</v>
      </c>
      <c r="AO268" s="1" t="s">
        <v>1177</v>
      </c>
    </row>
    <row r="269" spans="1:41" x14ac:dyDescent="0.25">
      <c r="A269" s="1">
        <f t="shared" si="5"/>
        <v>253</v>
      </c>
      <c r="B269" s="1" t="s">
        <v>464</v>
      </c>
      <c r="C269" s="1" t="s">
        <v>122</v>
      </c>
      <c r="D269" s="1" t="s">
        <v>735</v>
      </c>
      <c r="E269" s="4">
        <v>45292</v>
      </c>
      <c r="F269" s="4">
        <v>45657</v>
      </c>
      <c r="H269" s="5">
        <v>319892.58</v>
      </c>
      <c r="I269" s="5">
        <v>21802.71</v>
      </c>
      <c r="J269" s="5">
        <v>33300</v>
      </c>
      <c r="K269" s="5">
        <v>21215.77</v>
      </c>
      <c r="L269" s="5">
        <v>0</v>
      </c>
      <c r="M269" s="5">
        <v>76318.48</v>
      </c>
      <c r="N269" s="5">
        <v>240416.73</v>
      </c>
      <c r="O269" s="5">
        <v>0</v>
      </c>
      <c r="P269" s="5">
        <v>3157.37</v>
      </c>
      <c r="Q269" s="5">
        <v>243574.1</v>
      </c>
      <c r="R269" s="1" t="s">
        <v>909</v>
      </c>
      <c r="S269" s="1" t="s">
        <v>735</v>
      </c>
      <c r="T269" s="4">
        <v>45292</v>
      </c>
      <c r="U269" s="4">
        <v>45657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243574.1</v>
      </c>
      <c r="AH269" s="5">
        <v>0</v>
      </c>
      <c r="AI269" s="5">
        <v>0</v>
      </c>
      <c r="AJ269" s="5">
        <v>270.39</v>
      </c>
      <c r="AK269" s="5">
        <v>0</v>
      </c>
      <c r="AL269" s="5">
        <v>0</v>
      </c>
      <c r="AM269" s="5">
        <v>270.39</v>
      </c>
      <c r="AN269" s="5">
        <v>0</v>
      </c>
      <c r="AO269" s="1" t="s">
        <v>1177</v>
      </c>
    </row>
    <row r="270" spans="1:41" x14ac:dyDescent="0.25">
      <c r="A270" s="1">
        <f t="shared" si="5"/>
        <v>254</v>
      </c>
      <c r="B270" s="1" t="s">
        <v>465</v>
      </c>
      <c r="C270" s="1" t="s">
        <v>122</v>
      </c>
      <c r="D270" s="1" t="s">
        <v>735</v>
      </c>
      <c r="E270" s="4">
        <v>45292</v>
      </c>
      <c r="F270" s="4">
        <v>45657</v>
      </c>
      <c r="H270" s="5">
        <v>269387.59000000003</v>
      </c>
      <c r="I270" s="5">
        <v>18000</v>
      </c>
      <c r="J270" s="5">
        <v>33300</v>
      </c>
      <c r="K270" s="5">
        <v>17982.5</v>
      </c>
      <c r="L270" s="5">
        <v>0</v>
      </c>
      <c r="M270" s="5">
        <v>69282.5</v>
      </c>
      <c r="N270" s="5">
        <v>198017.5</v>
      </c>
      <c r="O270" s="5">
        <v>0</v>
      </c>
      <c r="P270" s="5">
        <v>2087.59</v>
      </c>
      <c r="Q270" s="5">
        <v>200105.09</v>
      </c>
      <c r="R270" s="1" t="s">
        <v>910</v>
      </c>
      <c r="S270" s="1" t="s">
        <v>735</v>
      </c>
      <c r="T270" s="4">
        <v>45292</v>
      </c>
      <c r="U270" s="4">
        <v>45657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200105.09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1" t="s">
        <v>1177</v>
      </c>
    </row>
    <row r="271" spans="1:41" x14ac:dyDescent="0.25">
      <c r="A271" s="1">
        <f t="shared" si="5"/>
        <v>255</v>
      </c>
      <c r="B271" s="1" t="s">
        <v>466</v>
      </c>
      <c r="C271" s="1" t="s">
        <v>122</v>
      </c>
      <c r="D271" s="1" t="s">
        <v>735</v>
      </c>
      <c r="E271" s="4">
        <v>45292</v>
      </c>
      <c r="F271" s="4">
        <v>45657</v>
      </c>
      <c r="H271" s="5">
        <v>272050.56</v>
      </c>
      <c r="I271" s="5">
        <v>18000</v>
      </c>
      <c r="J271" s="5">
        <v>33300</v>
      </c>
      <c r="K271" s="5">
        <v>18117.5</v>
      </c>
      <c r="L271" s="5">
        <v>0</v>
      </c>
      <c r="M271" s="5">
        <v>69417.5</v>
      </c>
      <c r="N271" s="5">
        <v>197882.5</v>
      </c>
      <c r="O271" s="5">
        <v>0</v>
      </c>
      <c r="P271" s="5">
        <v>4750.5600000000004</v>
      </c>
      <c r="Q271" s="5">
        <v>202633.06</v>
      </c>
      <c r="R271" s="1" t="s">
        <v>911</v>
      </c>
      <c r="S271" s="1" t="s">
        <v>735</v>
      </c>
      <c r="T271" s="4">
        <v>45292</v>
      </c>
      <c r="U271" s="4">
        <v>45657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202633.06</v>
      </c>
      <c r="AH271" s="5">
        <v>0</v>
      </c>
      <c r="AI271" s="5">
        <v>0</v>
      </c>
      <c r="AJ271" s="5">
        <v>13.65</v>
      </c>
      <c r="AK271" s="5">
        <v>0</v>
      </c>
      <c r="AL271" s="5">
        <v>0</v>
      </c>
      <c r="AM271" s="5">
        <v>13.65</v>
      </c>
      <c r="AN271" s="5">
        <v>0</v>
      </c>
      <c r="AO271" s="1" t="s">
        <v>1177</v>
      </c>
    </row>
    <row r="272" spans="1:41" x14ac:dyDescent="0.25">
      <c r="A272" s="1">
        <f t="shared" si="5"/>
        <v>256</v>
      </c>
      <c r="B272" s="1" t="s">
        <v>467</v>
      </c>
      <c r="C272" s="1" t="s">
        <v>122</v>
      </c>
      <c r="D272" s="1" t="s">
        <v>735</v>
      </c>
      <c r="E272" s="4">
        <v>45292</v>
      </c>
      <c r="F272" s="4">
        <v>45657</v>
      </c>
      <c r="H272" s="5">
        <v>269387.59000000003</v>
      </c>
      <c r="I272" s="5">
        <v>18000</v>
      </c>
      <c r="J272" s="5">
        <v>33300</v>
      </c>
      <c r="K272" s="5">
        <v>17982.5</v>
      </c>
      <c r="L272" s="5">
        <v>0</v>
      </c>
      <c r="M272" s="5">
        <v>69282.5</v>
      </c>
      <c r="N272" s="5">
        <v>198017.5</v>
      </c>
      <c r="O272" s="5">
        <v>0</v>
      </c>
      <c r="P272" s="5">
        <v>2087.59</v>
      </c>
      <c r="Q272" s="5">
        <v>200105.09</v>
      </c>
      <c r="R272" s="1" t="s">
        <v>912</v>
      </c>
      <c r="S272" s="1" t="s">
        <v>735</v>
      </c>
      <c r="T272" s="4">
        <v>45292</v>
      </c>
      <c r="U272" s="4">
        <v>45657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200105.09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1" t="s">
        <v>1177</v>
      </c>
    </row>
    <row r="273" spans="1:41" x14ac:dyDescent="0.25">
      <c r="A273" s="1">
        <f t="shared" si="5"/>
        <v>257</v>
      </c>
      <c r="B273" s="1" t="s">
        <v>468</v>
      </c>
      <c r="C273" s="1" t="s">
        <v>122</v>
      </c>
      <c r="D273" s="1" t="s">
        <v>735</v>
      </c>
      <c r="E273" s="4">
        <v>45292</v>
      </c>
      <c r="F273" s="4">
        <v>45657</v>
      </c>
      <c r="H273" s="5">
        <v>553013.61</v>
      </c>
      <c r="I273" s="5">
        <v>33922.559999999998</v>
      </c>
      <c r="J273" s="5">
        <v>33300</v>
      </c>
      <c r="K273" s="5">
        <v>28711.25</v>
      </c>
      <c r="L273" s="5">
        <v>3000</v>
      </c>
      <c r="M273" s="5">
        <v>98933.81</v>
      </c>
      <c r="N273" s="5">
        <v>378359.44</v>
      </c>
      <c r="O273" s="5">
        <v>0</v>
      </c>
      <c r="P273" s="5">
        <v>75720.36</v>
      </c>
      <c r="Q273" s="5">
        <v>454079.8</v>
      </c>
      <c r="R273" s="1" t="s">
        <v>913</v>
      </c>
      <c r="S273" s="1" t="s">
        <v>735</v>
      </c>
      <c r="T273" s="4">
        <v>45292</v>
      </c>
      <c r="U273" s="4">
        <v>45657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454079.8</v>
      </c>
      <c r="AH273" s="5">
        <v>33315.96</v>
      </c>
      <c r="AI273" s="5">
        <v>0</v>
      </c>
      <c r="AJ273" s="5">
        <v>33586.5</v>
      </c>
      <c r="AK273" s="5">
        <v>0</v>
      </c>
      <c r="AL273" s="5">
        <v>0</v>
      </c>
      <c r="AM273" s="5">
        <v>270.54000000000002</v>
      </c>
      <c r="AN273" s="5">
        <v>33315.96</v>
      </c>
      <c r="AO273" s="1" t="s">
        <v>1177</v>
      </c>
    </row>
    <row r="274" spans="1:41" x14ac:dyDescent="0.25">
      <c r="A274" s="1">
        <f t="shared" si="5"/>
        <v>258</v>
      </c>
      <c r="B274" s="1" t="s">
        <v>469</v>
      </c>
      <c r="C274" s="1" t="s">
        <v>122</v>
      </c>
      <c r="D274" s="1" t="s">
        <v>735</v>
      </c>
      <c r="E274" s="4">
        <v>45292</v>
      </c>
      <c r="F274" s="4">
        <v>45657</v>
      </c>
      <c r="H274" s="5">
        <v>847668.44</v>
      </c>
      <c r="I274" s="5">
        <v>55000</v>
      </c>
      <c r="J274" s="5">
        <v>33300</v>
      </c>
      <c r="K274" s="5">
        <v>35000</v>
      </c>
      <c r="L274" s="5">
        <v>0</v>
      </c>
      <c r="M274" s="5">
        <v>123300</v>
      </c>
      <c r="N274" s="5">
        <v>625000</v>
      </c>
      <c r="O274" s="5">
        <v>0</v>
      </c>
      <c r="P274" s="5">
        <v>99368.44</v>
      </c>
      <c r="Q274" s="5">
        <v>724368.44</v>
      </c>
      <c r="R274" s="1" t="s">
        <v>914</v>
      </c>
      <c r="S274" s="1" t="s">
        <v>735</v>
      </c>
      <c r="T274" s="4">
        <v>45292</v>
      </c>
      <c r="U274" s="4">
        <v>45657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724368.44</v>
      </c>
      <c r="AH274" s="5">
        <v>87373.69</v>
      </c>
      <c r="AI274" s="5">
        <v>0</v>
      </c>
      <c r="AJ274" s="5">
        <v>87973.09</v>
      </c>
      <c r="AK274" s="5">
        <v>0</v>
      </c>
      <c r="AL274" s="5">
        <v>0</v>
      </c>
      <c r="AM274" s="5">
        <v>599.4</v>
      </c>
      <c r="AN274" s="5">
        <v>87373.69</v>
      </c>
      <c r="AO274" s="1" t="s">
        <v>1177</v>
      </c>
    </row>
    <row r="275" spans="1:41" x14ac:dyDescent="0.25">
      <c r="A275" s="1">
        <f t="shared" si="5"/>
        <v>259</v>
      </c>
      <c r="B275" s="1" t="s">
        <v>470</v>
      </c>
      <c r="C275" s="1" t="s">
        <v>122</v>
      </c>
      <c r="D275" s="1" t="s">
        <v>735</v>
      </c>
      <c r="E275" s="4">
        <v>45292</v>
      </c>
      <c r="F275" s="4">
        <v>45657</v>
      </c>
      <c r="H275" s="5">
        <v>326084.53999999998</v>
      </c>
      <c r="I275" s="5">
        <v>19789.330000000002</v>
      </c>
      <c r="J275" s="5">
        <v>39600</v>
      </c>
      <c r="K275" s="5">
        <v>20701.8</v>
      </c>
      <c r="L275" s="5">
        <v>0</v>
      </c>
      <c r="M275" s="5">
        <v>80091.13</v>
      </c>
      <c r="N275" s="5">
        <v>216770.2</v>
      </c>
      <c r="O275" s="5">
        <v>0</v>
      </c>
      <c r="P275" s="5">
        <v>29223.21</v>
      </c>
      <c r="Q275" s="5">
        <v>245993.41</v>
      </c>
      <c r="R275" s="1" t="s">
        <v>915</v>
      </c>
      <c r="S275" s="1" t="s">
        <v>735</v>
      </c>
      <c r="T275" s="4">
        <v>45292</v>
      </c>
      <c r="U275" s="4">
        <v>45657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245993.41</v>
      </c>
      <c r="AH275" s="5">
        <v>0</v>
      </c>
      <c r="AI275" s="5">
        <v>0</v>
      </c>
      <c r="AJ275" s="5">
        <v>1237.1600000000001</v>
      </c>
      <c r="AK275" s="5">
        <v>0</v>
      </c>
      <c r="AL275" s="5">
        <v>0</v>
      </c>
      <c r="AM275" s="5">
        <v>1237.1600000000001</v>
      </c>
      <c r="AN275" s="5">
        <v>0</v>
      </c>
      <c r="AO275" s="1" t="s">
        <v>1177</v>
      </c>
    </row>
    <row r="276" spans="1:41" x14ac:dyDescent="0.25">
      <c r="A276" s="1">
        <f t="shared" si="5"/>
        <v>260</v>
      </c>
      <c r="B276" s="1" t="s">
        <v>471</v>
      </c>
      <c r="C276" s="1" t="s">
        <v>122</v>
      </c>
      <c r="D276" s="1" t="s">
        <v>735</v>
      </c>
      <c r="E276" s="4">
        <v>45292</v>
      </c>
      <c r="F276" s="4">
        <v>45657</v>
      </c>
      <c r="H276" s="5">
        <v>327272.53000000003</v>
      </c>
      <c r="I276" s="5">
        <v>19631.830000000002</v>
      </c>
      <c r="J276" s="5">
        <v>39600</v>
      </c>
      <c r="K276" s="5">
        <v>20699.55</v>
      </c>
      <c r="L276" s="5">
        <v>0</v>
      </c>
      <c r="M276" s="5">
        <v>79931.38</v>
      </c>
      <c r="N276" s="5">
        <v>214882.45</v>
      </c>
      <c r="O276" s="5">
        <v>0</v>
      </c>
      <c r="P276" s="5">
        <v>32458.7</v>
      </c>
      <c r="Q276" s="5">
        <v>247341.15</v>
      </c>
      <c r="R276" s="1" t="s">
        <v>916</v>
      </c>
      <c r="S276" s="1" t="s">
        <v>735</v>
      </c>
      <c r="T276" s="4">
        <v>45292</v>
      </c>
      <c r="U276" s="4">
        <v>45657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247341.15</v>
      </c>
      <c r="AH276" s="5">
        <v>0</v>
      </c>
      <c r="AI276" s="5">
        <v>0</v>
      </c>
      <c r="AJ276" s="5">
        <v>1215.8900000000001</v>
      </c>
      <c r="AK276" s="5">
        <v>0</v>
      </c>
      <c r="AL276" s="5">
        <v>0</v>
      </c>
      <c r="AM276" s="5">
        <v>1215.8900000000001</v>
      </c>
      <c r="AN276" s="5">
        <v>0</v>
      </c>
      <c r="AO276" s="1" t="s">
        <v>1177</v>
      </c>
    </row>
    <row r="277" spans="1:41" x14ac:dyDescent="0.25">
      <c r="A277" s="1">
        <f t="shared" si="5"/>
        <v>261</v>
      </c>
      <c r="B277" s="1" t="s">
        <v>472</v>
      </c>
      <c r="C277" s="1" t="s">
        <v>122</v>
      </c>
      <c r="D277" s="1" t="s">
        <v>735</v>
      </c>
      <c r="E277" s="4">
        <v>45292</v>
      </c>
      <c r="F277" s="4">
        <v>45657</v>
      </c>
      <c r="H277" s="5">
        <v>271961.90999999997</v>
      </c>
      <c r="I277" s="5">
        <v>18000</v>
      </c>
      <c r="J277" s="5">
        <v>33300</v>
      </c>
      <c r="K277" s="5">
        <v>18095</v>
      </c>
      <c r="L277" s="5">
        <v>0</v>
      </c>
      <c r="M277" s="5">
        <v>69395</v>
      </c>
      <c r="N277" s="5">
        <v>197905</v>
      </c>
      <c r="O277" s="5">
        <v>0</v>
      </c>
      <c r="P277" s="5">
        <v>4661.91</v>
      </c>
      <c r="Q277" s="5">
        <v>202566.91</v>
      </c>
      <c r="R277" s="1" t="s">
        <v>917</v>
      </c>
      <c r="S277" s="1" t="s">
        <v>735</v>
      </c>
      <c r="T277" s="4">
        <v>45292</v>
      </c>
      <c r="U277" s="4">
        <v>45657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202566.91</v>
      </c>
      <c r="AH277" s="5">
        <v>0</v>
      </c>
      <c r="AI277" s="5">
        <v>0</v>
      </c>
      <c r="AJ277" s="5">
        <v>328.11</v>
      </c>
      <c r="AK277" s="5">
        <v>0</v>
      </c>
      <c r="AL277" s="5">
        <v>0</v>
      </c>
      <c r="AM277" s="5">
        <v>328.11</v>
      </c>
      <c r="AN277" s="5">
        <v>0</v>
      </c>
      <c r="AO277" s="1" t="s">
        <v>1177</v>
      </c>
    </row>
    <row r="278" spans="1:41" x14ac:dyDescent="0.25">
      <c r="A278" s="1">
        <f t="shared" si="5"/>
        <v>262</v>
      </c>
      <c r="B278" s="1" t="s">
        <v>473</v>
      </c>
      <c r="C278" s="1" t="s">
        <v>122</v>
      </c>
      <c r="D278" s="1" t="s">
        <v>735</v>
      </c>
      <c r="E278" s="4">
        <v>45292</v>
      </c>
      <c r="F278" s="4">
        <v>45657</v>
      </c>
      <c r="H278" s="5">
        <v>669395.92000000004</v>
      </c>
      <c r="I278" s="5">
        <v>45000</v>
      </c>
      <c r="J278" s="5">
        <v>33300</v>
      </c>
      <c r="K278" s="5">
        <v>32000</v>
      </c>
      <c r="L278" s="5">
        <v>10000</v>
      </c>
      <c r="M278" s="5">
        <v>120300</v>
      </c>
      <c r="N278" s="5">
        <v>508000</v>
      </c>
      <c r="O278" s="5">
        <v>0</v>
      </c>
      <c r="P278" s="5">
        <v>41095.919999999998</v>
      </c>
      <c r="Q278" s="5">
        <v>549095.92000000004</v>
      </c>
      <c r="R278" s="1" t="s">
        <v>918</v>
      </c>
      <c r="S278" s="1" t="s">
        <v>735</v>
      </c>
      <c r="T278" s="4">
        <v>45292</v>
      </c>
      <c r="U278" s="4">
        <v>45657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549095.92000000004</v>
      </c>
      <c r="AH278" s="5">
        <v>52319.18</v>
      </c>
      <c r="AI278" s="5">
        <v>0</v>
      </c>
      <c r="AJ278" s="5">
        <v>52317.57</v>
      </c>
      <c r="AK278" s="5">
        <v>0</v>
      </c>
      <c r="AL278" s="5">
        <v>1.61</v>
      </c>
      <c r="AM278" s="5">
        <v>0</v>
      </c>
      <c r="AN278" s="5">
        <v>52319.18</v>
      </c>
      <c r="AO278" s="1" t="s">
        <v>1177</v>
      </c>
    </row>
    <row r="279" spans="1:41" x14ac:dyDescent="0.25">
      <c r="A279" s="1">
        <f t="shared" si="5"/>
        <v>263</v>
      </c>
      <c r="B279" s="1" t="s">
        <v>474</v>
      </c>
      <c r="C279" s="1" t="s">
        <v>122</v>
      </c>
      <c r="D279" s="1" t="s">
        <v>735</v>
      </c>
      <c r="E279" s="4">
        <v>45292</v>
      </c>
      <c r="F279" s="4">
        <v>45657</v>
      </c>
      <c r="H279" s="5">
        <v>911726.57</v>
      </c>
      <c r="I279" s="5">
        <v>60000</v>
      </c>
      <c r="J279" s="5">
        <v>33300</v>
      </c>
      <c r="K279" s="5">
        <v>36500</v>
      </c>
      <c r="L279" s="5">
        <v>0</v>
      </c>
      <c r="M279" s="5">
        <v>129800</v>
      </c>
      <c r="N279" s="5">
        <v>683500</v>
      </c>
      <c r="O279" s="5">
        <v>0</v>
      </c>
      <c r="P279" s="5">
        <v>98426.57</v>
      </c>
      <c r="Q279" s="5">
        <v>781926.57</v>
      </c>
      <c r="R279" s="1" t="s">
        <v>919</v>
      </c>
      <c r="S279" s="1" t="s">
        <v>735</v>
      </c>
      <c r="T279" s="4">
        <v>45292</v>
      </c>
      <c r="U279" s="4">
        <v>45657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781926.57</v>
      </c>
      <c r="AH279" s="5">
        <v>98885.31</v>
      </c>
      <c r="AI279" s="5">
        <v>0</v>
      </c>
      <c r="AJ279" s="5">
        <v>100621.06</v>
      </c>
      <c r="AK279" s="5">
        <v>0</v>
      </c>
      <c r="AL279" s="5">
        <v>0</v>
      </c>
      <c r="AM279" s="5">
        <v>1735.75</v>
      </c>
      <c r="AN279" s="5">
        <v>98885.31</v>
      </c>
      <c r="AO279" s="1" t="s">
        <v>1177</v>
      </c>
    </row>
    <row r="280" spans="1:41" x14ac:dyDescent="0.25">
      <c r="A280" s="1">
        <f t="shared" si="5"/>
        <v>264</v>
      </c>
      <c r="B280" s="1" t="s">
        <v>475</v>
      </c>
      <c r="C280" s="1" t="s">
        <v>122</v>
      </c>
      <c r="D280" s="1" t="s">
        <v>735</v>
      </c>
      <c r="E280" s="4">
        <v>45292</v>
      </c>
      <c r="F280" s="4">
        <v>45657</v>
      </c>
      <c r="H280" s="5">
        <v>534263.42000000004</v>
      </c>
      <c r="I280" s="5">
        <v>35235.42</v>
      </c>
      <c r="J280" s="5">
        <v>33300</v>
      </c>
      <c r="K280" s="5">
        <v>28440.62</v>
      </c>
      <c r="L280" s="5">
        <v>0</v>
      </c>
      <c r="M280" s="5">
        <v>96976.04</v>
      </c>
      <c r="N280" s="5">
        <v>394384.38</v>
      </c>
      <c r="O280" s="5">
        <v>0</v>
      </c>
      <c r="P280" s="5">
        <v>42903</v>
      </c>
      <c r="Q280" s="5">
        <v>437287.38</v>
      </c>
      <c r="R280" s="1" t="s">
        <v>920</v>
      </c>
      <c r="S280" s="1" t="s">
        <v>735</v>
      </c>
      <c r="T280" s="4">
        <v>45292</v>
      </c>
      <c r="U280" s="4">
        <v>45657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437287.38</v>
      </c>
      <c r="AH280" s="5">
        <v>29957.48</v>
      </c>
      <c r="AI280" s="5">
        <v>0</v>
      </c>
      <c r="AJ280" s="5">
        <v>35883.79</v>
      </c>
      <c r="AK280" s="5">
        <v>0</v>
      </c>
      <c r="AL280" s="5">
        <v>0</v>
      </c>
      <c r="AM280" s="5">
        <v>5926.31</v>
      </c>
      <c r="AN280" s="5">
        <v>29957.48</v>
      </c>
      <c r="AO280" s="1" t="s">
        <v>1177</v>
      </c>
    </row>
    <row r="281" spans="1:41" x14ac:dyDescent="0.25">
      <c r="A281" s="1">
        <f t="shared" si="5"/>
        <v>265</v>
      </c>
      <c r="B281" s="1" t="s">
        <v>476</v>
      </c>
      <c r="C281" s="1" t="s">
        <v>122</v>
      </c>
      <c r="D281" s="1" t="s">
        <v>735</v>
      </c>
      <c r="E281" s="4">
        <v>45292</v>
      </c>
      <c r="F281" s="4">
        <v>45657</v>
      </c>
      <c r="H281" s="5">
        <v>412649.8</v>
      </c>
      <c r="I281" s="5">
        <v>28040</v>
      </c>
      <c r="J281" s="5">
        <v>33650</v>
      </c>
      <c r="K281" s="5">
        <v>26439.5</v>
      </c>
      <c r="L281" s="5">
        <v>0</v>
      </c>
      <c r="M281" s="5">
        <v>88129.5</v>
      </c>
      <c r="N281" s="5">
        <v>310040.5</v>
      </c>
      <c r="O281" s="5">
        <v>0</v>
      </c>
      <c r="P281" s="5">
        <v>14479.8</v>
      </c>
      <c r="Q281" s="5">
        <v>324520.3</v>
      </c>
      <c r="R281" s="1" t="s">
        <v>921</v>
      </c>
      <c r="S281" s="1" t="s">
        <v>735</v>
      </c>
      <c r="T281" s="4">
        <v>45292</v>
      </c>
      <c r="U281" s="4">
        <v>45657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324520.3</v>
      </c>
      <c r="AH281" s="5">
        <v>11178.05</v>
      </c>
      <c r="AI281" s="5">
        <v>0</v>
      </c>
      <c r="AJ281" s="5">
        <v>11176.86</v>
      </c>
      <c r="AK281" s="5">
        <v>0</v>
      </c>
      <c r="AL281" s="5">
        <v>1.19</v>
      </c>
      <c r="AM281" s="5">
        <v>0</v>
      </c>
      <c r="AN281" s="5">
        <v>11178.05</v>
      </c>
      <c r="AO281" s="1" t="s">
        <v>1177</v>
      </c>
    </row>
    <row r="282" spans="1:41" x14ac:dyDescent="0.25">
      <c r="A282" s="1">
        <f t="shared" si="5"/>
        <v>266</v>
      </c>
      <c r="B282" s="1" t="s">
        <v>477</v>
      </c>
      <c r="C282" s="1" t="s">
        <v>122</v>
      </c>
      <c r="D282" s="1" t="s">
        <v>735</v>
      </c>
      <c r="E282" s="4">
        <v>45292</v>
      </c>
      <c r="F282" s="4">
        <v>45657</v>
      </c>
      <c r="H282" s="5">
        <v>280126.21999999997</v>
      </c>
      <c r="I282" s="5">
        <v>17062.5</v>
      </c>
      <c r="J282" s="5">
        <v>33300</v>
      </c>
      <c r="K282" s="5">
        <v>18196.25</v>
      </c>
      <c r="L282" s="5">
        <v>0</v>
      </c>
      <c r="M282" s="5">
        <v>68558.75</v>
      </c>
      <c r="N282" s="5">
        <v>186553.75</v>
      </c>
      <c r="O282" s="5">
        <v>0</v>
      </c>
      <c r="P282" s="5">
        <v>25013.72</v>
      </c>
      <c r="Q282" s="5">
        <v>211567.47</v>
      </c>
      <c r="R282" s="1" t="s">
        <v>922</v>
      </c>
      <c r="S282" s="1" t="s">
        <v>735</v>
      </c>
      <c r="T282" s="4">
        <v>45292</v>
      </c>
      <c r="U282" s="4">
        <v>45657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211567.47</v>
      </c>
      <c r="AH282" s="5">
        <v>0</v>
      </c>
      <c r="AI282" s="5">
        <v>0</v>
      </c>
      <c r="AJ282" s="5">
        <v>41.27</v>
      </c>
      <c r="AK282" s="5">
        <v>0</v>
      </c>
      <c r="AL282" s="5">
        <v>0</v>
      </c>
      <c r="AM282" s="5">
        <v>41.27</v>
      </c>
      <c r="AN282" s="5">
        <v>0</v>
      </c>
      <c r="AO282" s="1" t="s">
        <v>1177</v>
      </c>
    </row>
    <row r="283" spans="1:41" x14ac:dyDescent="0.25">
      <c r="A283" s="1">
        <f t="shared" si="5"/>
        <v>267</v>
      </c>
      <c r="B283" s="1" t="s">
        <v>478</v>
      </c>
      <c r="C283" s="1" t="s">
        <v>122</v>
      </c>
      <c r="D283" s="1" t="s">
        <v>735</v>
      </c>
      <c r="E283" s="4">
        <v>45292</v>
      </c>
      <c r="F283" s="4">
        <v>45657</v>
      </c>
      <c r="H283" s="5">
        <v>283230.82</v>
      </c>
      <c r="I283" s="5">
        <v>17062.5</v>
      </c>
      <c r="J283" s="5">
        <v>33300</v>
      </c>
      <c r="K283" s="5">
        <v>18286.25</v>
      </c>
      <c r="L283" s="5">
        <v>0</v>
      </c>
      <c r="M283" s="5">
        <v>68648.75</v>
      </c>
      <c r="N283" s="5">
        <v>186463.75</v>
      </c>
      <c r="O283" s="5">
        <v>0</v>
      </c>
      <c r="P283" s="5">
        <v>28118.32</v>
      </c>
      <c r="Q283" s="5">
        <v>214582.07</v>
      </c>
      <c r="R283" s="1" t="s">
        <v>923</v>
      </c>
      <c r="S283" s="1" t="s">
        <v>735</v>
      </c>
      <c r="T283" s="4">
        <v>45292</v>
      </c>
      <c r="U283" s="4">
        <v>45657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214582.07</v>
      </c>
      <c r="AH283" s="5">
        <v>0</v>
      </c>
      <c r="AI283" s="5">
        <v>0</v>
      </c>
      <c r="AJ283" s="5">
        <v>201.77</v>
      </c>
      <c r="AK283" s="5">
        <v>0</v>
      </c>
      <c r="AL283" s="5">
        <v>0</v>
      </c>
      <c r="AM283" s="5">
        <v>201.77</v>
      </c>
      <c r="AN283" s="5">
        <v>0</v>
      </c>
      <c r="AO283" s="1" t="s">
        <v>1177</v>
      </c>
    </row>
    <row r="284" spans="1:41" x14ac:dyDescent="0.25">
      <c r="A284" s="1">
        <f t="shared" si="5"/>
        <v>268</v>
      </c>
      <c r="B284" s="1" t="s">
        <v>479</v>
      </c>
      <c r="C284" s="1" t="s">
        <v>122</v>
      </c>
      <c r="D284" s="1" t="s">
        <v>735</v>
      </c>
      <c r="E284" s="4">
        <v>45292</v>
      </c>
      <c r="F284" s="4">
        <v>45657</v>
      </c>
      <c r="H284" s="5">
        <v>347793.91</v>
      </c>
      <c r="I284" s="5">
        <v>20000</v>
      </c>
      <c r="J284" s="5">
        <v>33300</v>
      </c>
      <c r="K284" s="5">
        <v>22025</v>
      </c>
      <c r="L284" s="5">
        <v>0</v>
      </c>
      <c r="M284" s="5">
        <v>75325</v>
      </c>
      <c r="N284" s="5">
        <v>217975</v>
      </c>
      <c r="O284" s="5">
        <v>0</v>
      </c>
      <c r="P284" s="5">
        <v>54493.91</v>
      </c>
      <c r="Q284" s="5">
        <v>272468.90999999997</v>
      </c>
      <c r="R284" s="1" t="s">
        <v>924</v>
      </c>
      <c r="S284" s="1" t="s">
        <v>735</v>
      </c>
      <c r="T284" s="4">
        <v>45292</v>
      </c>
      <c r="U284" s="4">
        <v>45657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272468.90999999997</v>
      </c>
      <c r="AH284" s="5">
        <v>3370.34</v>
      </c>
      <c r="AI284" s="5">
        <v>0</v>
      </c>
      <c r="AJ284" s="5">
        <v>4229.42</v>
      </c>
      <c r="AK284" s="5">
        <v>0</v>
      </c>
      <c r="AL284" s="5">
        <v>0</v>
      </c>
      <c r="AM284" s="5">
        <v>859.08</v>
      </c>
      <c r="AN284" s="5">
        <v>3370.34</v>
      </c>
      <c r="AO284" s="1" t="s">
        <v>1177</v>
      </c>
    </row>
    <row r="285" spans="1:41" x14ac:dyDescent="0.25">
      <c r="A285" s="1">
        <f t="shared" si="5"/>
        <v>269</v>
      </c>
      <c r="B285" s="1" t="s">
        <v>480</v>
      </c>
      <c r="C285" s="1" t="s">
        <v>122</v>
      </c>
      <c r="D285" s="1" t="s">
        <v>735</v>
      </c>
      <c r="E285" s="4">
        <v>45292</v>
      </c>
      <c r="F285" s="4">
        <v>45657</v>
      </c>
      <c r="H285" s="5">
        <v>281065.8</v>
      </c>
      <c r="I285" s="5">
        <v>18500</v>
      </c>
      <c r="J285" s="5">
        <v>33300</v>
      </c>
      <c r="K285" s="5">
        <v>18312.5</v>
      </c>
      <c r="L285" s="5">
        <v>7000</v>
      </c>
      <c r="M285" s="5">
        <v>77112.5</v>
      </c>
      <c r="N285" s="5">
        <v>203687.5</v>
      </c>
      <c r="O285" s="5">
        <v>0</v>
      </c>
      <c r="P285" s="5">
        <v>265.8</v>
      </c>
      <c r="Q285" s="5">
        <v>203953.3</v>
      </c>
      <c r="R285" s="1" t="s">
        <v>925</v>
      </c>
      <c r="S285" s="1" t="s">
        <v>735</v>
      </c>
      <c r="T285" s="4">
        <v>45292</v>
      </c>
      <c r="U285" s="4">
        <v>45657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203953.3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1" t="s">
        <v>1177</v>
      </c>
    </row>
    <row r="286" spans="1:41" x14ac:dyDescent="0.25">
      <c r="A286" s="1">
        <f t="shared" si="5"/>
        <v>270</v>
      </c>
      <c r="B286" s="1" t="s">
        <v>481</v>
      </c>
      <c r="C286" s="1" t="s">
        <v>122</v>
      </c>
      <c r="D286" s="1" t="s">
        <v>735</v>
      </c>
      <c r="E286" s="4">
        <v>45292</v>
      </c>
      <c r="F286" s="4">
        <v>45657</v>
      </c>
      <c r="H286" s="5">
        <v>2284466.67</v>
      </c>
      <c r="I286" s="5">
        <v>90000</v>
      </c>
      <c r="J286" s="5">
        <v>42000</v>
      </c>
      <c r="K286" s="5">
        <v>48500</v>
      </c>
      <c r="L286" s="5">
        <v>13000</v>
      </c>
      <c r="M286" s="5">
        <v>193500</v>
      </c>
      <c r="N286" s="5">
        <v>1898700</v>
      </c>
      <c r="O286" s="5">
        <v>72266.67</v>
      </c>
      <c r="P286" s="5">
        <v>120000</v>
      </c>
      <c r="Q286" s="5">
        <v>2090966.67</v>
      </c>
      <c r="R286" s="1" t="s">
        <v>926</v>
      </c>
      <c r="S286" s="1" t="s">
        <v>735</v>
      </c>
      <c r="T286" s="4">
        <v>45292</v>
      </c>
      <c r="U286" s="4">
        <v>45657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2090966.67</v>
      </c>
      <c r="AH286" s="5">
        <v>429790</v>
      </c>
      <c r="AI286" s="5">
        <v>0</v>
      </c>
      <c r="AJ286" s="5">
        <v>430010.8</v>
      </c>
      <c r="AK286" s="5">
        <v>0</v>
      </c>
      <c r="AL286" s="5">
        <v>0</v>
      </c>
      <c r="AM286" s="5">
        <v>220.8</v>
      </c>
      <c r="AN286" s="5">
        <v>429790</v>
      </c>
      <c r="AO286" s="1" t="s">
        <v>1177</v>
      </c>
    </row>
    <row r="287" spans="1:41" x14ac:dyDescent="0.25">
      <c r="A287" s="1">
        <f t="shared" ref="A287:A350" si="6">A286+1</f>
        <v>271</v>
      </c>
      <c r="B287" s="1" t="s">
        <v>482</v>
      </c>
      <c r="C287" s="1" t="s">
        <v>122</v>
      </c>
      <c r="D287" s="1" t="s">
        <v>735</v>
      </c>
      <c r="E287" s="4">
        <v>45292</v>
      </c>
      <c r="F287" s="4">
        <v>45657</v>
      </c>
      <c r="H287" s="5">
        <v>700792.57</v>
      </c>
      <c r="I287" s="5">
        <v>27435</v>
      </c>
      <c r="J287" s="5">
        <v>39600</v>
      </c>
      <c r="K287" s="5">
        <v>26730.5</v>
      </c>
      <c r="L287" s="5">
        <v>0</v>
      </c>
      <c r="M287" s="5">
        <v>93765.5</v>
      </c>
      <c r="N287" s="5">
        <v>302489.5</v>
      </c>
      <c r="O287" s="5">
        <v>0</v>
      </c>
      <c r="P287" s="5">
        <v>304537.57</v>
      </c>
      <c r="Q287" s="5">
        <v>607027.06999999995</v>
      </c>
      <c r="R287" s="1" t="s">
        <v>927</v>
      </c>
      <c r="S287" s="1" t="s">
        <v>735</v>
      </c>
      <c r="T287" s="4">
        <v>45292</v>
      </c>
      <c r="U287" s="4">
        <v>45657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607027.06999999995</v>
      </c>
      <c r="AH287" s="5">
        <v>63905.41</v>
      </c>
      <c r="AI287" s="5">
        <v>0</v>
      </c>
      <c r="AJ287" s="5">
        <v>64385.67</v>
      </c>
      <c r="AK287" s="5">
        <v>0</v>
      </c>
      <c r="AL287" s="5">
        <v>0</v>
      </c>
      <c r="AM287" s="5">
        <v>480.26</v>
      </c>
      <c r="AN287" s="5">
        <v>63905.41</v>
      </c>
      <c r="AO287" s="1" t="s">
        <v>1177</v>
      </c>
    </row>
    <row r="288" spans="1:41" x14ac:dyDescent="0.25">
      <c r="A288" s="1">
        <f t="shared" si="6"/>
        <v>272</v>
      </c>
      <c r="B288" s="1" t="s">
        <v>483</v>
      </c>
      <c r="C288" s="1" t="s">
        <v>122</v>
      </c>
      <c r="D288" s="1" t="s">
        <v>735</v>
      </c>
      <c r="E288" s="4">
        <v>45292</v>
      </c>
      <c r="F288" s="4">
        <v>45657</v>
      </c>
      <c r="H288" s="5">
        <v>316025.96000000002</v>
      </c>
      <c r="I288" s="5">
        <v>20594.330000000002</v>
      </c>
      <c r="J288" s="5">
        <v>39600</v>
      </c>
      <c r="K288" s="5">
        <v>20493.3</v>
      </c>
      <c r="L288" s="5">
        <v>0</v>
      </c>
      <c r="M288" s="5">
        <v>80687.63</v>
      </c>
      <c r="N288" s="5">
        <v>226638.7</v>
      </c>
      <c r="O288" s="5">
        <v>0</v>
      </c>
      <c r="P288" s="5">
        <v>8699.6299999999992</v>
      </c>
      <c r="Q288" s="5">
        <v>235338.33</v>
      </c>
      <c r="R288" s="1" t="s">
        <v>928</v>
      </c>
      <c r="S288" s="1" t="s">
        <v>735</v>
      </c>
      <c r="T288" s="4">
        <v>45292</v>
      </c>
      <c r="U288" s="4">
        <v>45657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235338.33</v>
      </c>
      <c r="AH288" s="5">
        <v>0</v>
      </c>
      <c r="AI288" s="5">
        <v>0</v>
      </c>
      <c r="AJ288" s="5">
        <v>620.9</v>
      </c>
      <c r="AK288" s="5">
        <v>0</v>
      </c>
      <c r="AL288" s="5">
        <v>0</v>
      </c>
      <c r="AM288" s="5">
        <v>620.9</v>
      </c>
      <c r="AN288" s="5">
        <v>0</v>
      </c>
      <c r="AO288" s="1" t="s">
        <v>1177</v>
      </c>
    </row>
    <row r="289" spans="1:41" x14ac:dyDescent="0.25">
      <c r="A289" s="1">
        <f t="shared" si="6"/>
        <v>273</v>
      </c>
      <c r="B289" s="1" t="s">
        <v>484</v>
      </c>
      <c r="C289" s="1" t="s">
        <v>122</v>
      </c>
      <c r="D289" s="1" t="s">
        <v>735</v>
      </c>
      <c r="E289" s="4">
        <v>45292</v>
      </c>
      <c r="F289" s="4">
        <v>45657</v>
      </c>
      <c r="H289" s="5">
        <v>369300.76</v>
      </c>
      <c r="I289" s="5">
        <v>23326.74</v>
      </c>
      <c r="J289" s="5">
        <v>39600</v>
      </c>
      <c r="K289" s="5">
        <v>23204.46</v>
      </c>
      <c r="L289" s="5">
        <v>7000</v>
      </c>
      <c r="M289" s="5">
        <v>93131.199999999997</v>
      </c>
      <c r="N289" s="5">
        <v>256716.36</v>
      </c>
      <c r="O289" s="5">
        <v>0</v>
      </c>
      <c r="P289" s="5">
        <v>19453.2</v>
      </c>
      <c r="Q289" s="5">
        <v>276169.56</v>
      </c>
      <c r="R289" s="1" t="s">
        <v>929</v>
      </c>
      <c r="S289" s="1" t="s">
        <v>735</v>
      </c>
      <c r="T289" s="4">
        <v>45292</v>
      </c>
      <c r="U289" s="4">
        <v>45657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276169.56</v>
      </c>
      <c r="AH289" s="5">
        <v>3925.43</v>
      </c>
      <c r="AI289" s="5">
        <v>0</v>
      </c>
      <c r="AJ289" s="5">
        <v>4377.03</v>
      </c>
      <c r="AK289" s="5">
        <v>0</v>
      </c>
      <c r="AL289" s="5">
        <v>0</v>
      </c>
      <c r="AM289" s="5">
        <v>451.6</v>
      </c>
      <c r="AN289" s="5">
        <v>3925.43</v>
      </c>
      <c r="AO289" s="1" t="s">
        <v>1177</v>
      </c>
    </row>
    <row r="290" spans="1:41" x14ac:dyDescent="0.25">
      <c r="A290" s="1">
        <f t="shared" si="6"/>
        <v>274</v>
      </c>
      <c r="B290" s="1" t="s">
        <v>485</v>
      </c>
      <c r="C290" s="1" t="s">
        <v>122</v>
      </c>
      <c r="D290" s="1" t="s">
        <v>735</v>
      </c>
      <c r="E290" s="4">
        <v>45292</v>
      </c>
      <c r="F290" s="4">
        <v>45657</v>
      </c>
      <c r="H290" s="5">
        <v>497668</v>
      </c>
      <c r="I290" s="5">
        <v>35236</v>
      </c>
      <c r="J290" s="5">
        <v>39600</v>
      </c>
      <c r="K290" s="5">
        <v>29070.799999999999</v>
      </c>
      <c r="L290" s="5">
        <v>0</v>
      </c>
      <c r="M290" s="5">
        <v>103906.8</v>
      </c>
      <c r="N290" s="5">
        <v>393761.2</v>
      </c>
      <c r="O290" s="5">
        <v>0</v>
      </c>
      <c r="P290" s="5">
        <v>0</v>
      </c>
      <c r="Q290" s="5">
        <v>393761.2</v>
      </c>
      <c r="R290" s="1" t="s">
        <v>930</v>
      </c>
      <c r="S290" s="1" t="s">
        <v>735</v>
      </c>
      <c r="T290" s="4">
        <v>45292</v>
      </c>
      <c r="U290" s="4">
        <v>45657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393761.2</v>
      </c>
      <c r="AH290" s="5">
        <v>21564.18</v>
      </c>
      <c r="AI290" s="5">
        <v>0</v>
      </c>
      <c r="AJ290" s="5">
        <v>21905.93</v>
      </c>
      <c r="AK290" s="5">
        <v>0</v>
      </c>
      <c r="AL290" s="5">
        <v>0</v>
      </c>
      <c r="AM290" s="5">
        <v>341.75</v>
      </c>
      <c r="AN290" s="5">
        <v>21564.18</v>
      </c>
      <c r="AO290" s="1" t="s">
        <v>1177</v>
      </c>
    </row>
    <row r="291" spans="1:41" x14ac:dyDescent="0.25">
      <c r="A291" s="1">
        <f t="shared" si="6"/>
        <v>275</v>
      </c>
      <c r="B291" s="1" t="s">
        <v>486</v>
      </c>
      <c r="C291" s="1" t="s">
        <v>122</v>
      </c>
      <c r="D291" s="1" t="s">
        <v>735</v>
      </c>
      <c r="E291" s="4">
        <v>45292</v>
      </c>
      <c r="F291" s="4">
        <v>45657</v>
      </c>
      <c r="H291" s="5">
        <v>429804.75</v>
      </c>
      <c r="I291" s="5">
        <v>29847.21</v>
      </c>
      <c r="J291" s="5">
        <v>39600</v>
      </c>
      <c r="K291" s="5">
        <v>27364.12</v>
      </c>
      <c r="L291" s="5">
        <v>0</v>
      </c>
      <c r="M291" s="5">
        <v>96811.33</v>
      </c>
      <c r="N291" s="5">
        <v>330802.38</v>
      </c>
      <c r="O291" s="5">
        <v>0</v>
      </c>
      <c r="P291" s="5">
        <v>2191.04</v>
      </c>
      <c r="Q291" s="5">
        <v>332993.42</v>
      </c>
      <c r="R291" s="1" t="s">
        <v>931</v>
      </c>
      <c r="S291" s="1" t="s">
        <v>735</v>
      </c>
      <c r="T291" s="4">
        <v>45292</v>
      </c>
      <c r="U291" s="4">
        <v>45657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332993.42</v>
      </c>
      <c r="AH291" s="5">
        <v>12449.01</v>
      </c>
      <c r="AI291" s="5">
        <v>0</v>
      </c>
      <c r="AJ291" s="5">
        <v>12447.84</v>
      </c>
      <c r="AK291" s="5">
        <v>0</v>
      </c>
      <c r="AL291" s="5">
        <v>1.17</v>
      </c>
      <c r="AM291" s="5">
        <v>0</v>
      </c>
      <c r="AN291" s="5">
        <v>12449.01</v>
      </c>
      <c r="AO291" s="1" t="s">
        <v>1177</v>
      </c>
    </row>
    <row r="292" spans="1:41" x14ac:dyDescent="0.25">
      <c r="A292" s="1">
        <f t="shared" si="6"/>
        <v>276</v>
      </c>
      <c r="B292" s="1" t="s">
        <v>487</v>
      </c>
      <c r="C292" s="1" t="s">
        <v>122</v>
      </c>
      <c r="D292" s="1" t="s">
        <v>735</v>
      </c>
      <c r="E292" s="4">
        <v>45292</v>
      </c>
      <c r="F292" s="4">
        <v>45657</v>
      </c>
      <c r="H292" s="5">
        <v>350040.14</v>
      </c>
      <c r="I292" s="5">
        <v>23406.66</v>
      </c>
      <c r="J292" s="5">
        <v>39600</v>
      </c>
      <c r="K292" s="5">
        <v>22709.46</v>
      </c>
      <c r="L292" s="5">
        <v>0</v>
      </c>
      <c r="M292" s="5">
        <v>85716.12</v>
      </c>
      <c r="N292" s="5">
        <v>258170.44</v>
      </c>
      <c r="O292" s="5">
        <v>0</v>
      </c>
      <c r="P292" s="5">
        <v>6153.58</v>
      </c>
      <c r="Q292" s="5">
        <v>264324.02</v>
      </c>
      <c r="R292" s="1" t="s">
        <v>932</v>
      </c>
      <c r="S292" s="1" t="s">
        <v>735</v>
      </c>
      <c r="T292" s="4">
        <v>45292</v>
      </c>
      <c r="U292" s="4">
        <v>45657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264324.02</v>
      </c>
      <c r="AH292" s="5">
        <v>2148.6</v>
      </c>
      <c r="AI292" s="5">
        <v>0</v>
      </c>
      <c r="AJ292" s="5">
        <v>3209.25</v>
      </c>
      <c r="AK292" s="5">
        <v>0</v>
      </c>
      <c r="AL292" s="5">
        <v>0</v>
      </c>
      <c r="AM292" s="5">
        <v>1060.6500000000001</v>
      </c>
      <c r="AN292" s="5">
        <v>2148.6</v>
      </c>
      <c r="AO292" s="1" t="s">
        <v>1177</v>
      </c>
    </row>
    <row r="293" spans="1:41" x14ac:dyDescent="0.25">
      <c r="A293" s="1">
        <f t="shared" si="6"/>
        <v>277</v>
      </c>
      <c r="B293" s="1" t="s">
        <v>488</v>
      </c>
      <c r="C293" s="1" t="s">
        <v>122</v>
      </c>
      <c r="D293" s="1" t="s">
        <v>735</v>
      </c>
      <c r="E293" s="4">
        <v>45292</v>
      </c>
      <c r="F293" s="4">
        <v>45657</v>
      </c>
      <c r="H293" s="5">
        <v>453910.25</v>
      </c>
      <c r="I293" s="5">
        <v>31440.78</v>
      </c>
      <c r="J293" s="5">
        <v>39600</v>
      </c>
      <c r="K293" s="5">
        <v>27594.69</v>
      </c>
      <c r="L293" s="5">
        <v>0</v>
      </c>
      <c r="M293" s="5">
        <v>98635.47</v>
      </c>
      <c r="N293" s="5">
        <v>349694.61</v>
      </c>
      <c r="O293" s="5">
        <v>0</v>
      </c>
      <c r="P293" s="5">
        <v>5580.17</v>
      </c>
      <c r="Q293" s="5">
        <v>355274.78</v>
      </c>
      <c r="R293" s="1" t="s">
        <v>933</v>
      </c>
      <c r="S293" s="1" t="s">
        <v>735</v>
      </c>
      <c r="T293" s="4">
        <v>45292</v>
      </c>
      <c r="U293" s="4">
        <v>45657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355274.78</v>
      </c>
      <c r="AH293" s="5">
        <v>15791.22</v>
      </c>
      <c r="AI293" s="5">
        <v>0</v>
      </c>
      <c r="AJ293" s="5">
        <v>15859.66</v>
      </c>
      <c r="AK293" s="5">
        <v>0</v>
      </c>
      <c r="AL293" s="5">
        <v>0</v>
      </c>
      <c r="AM293" s="5">
        <v>68.44</v>
      </c>
      <c r="AN293" s="5">
        <v>15791.22</v>
      </c>
      <c r="AO293" s="1" t="s">
        <v>1177</v>
      </c>
    </row>
    <row r="294" spans="1:41" x14ac:dyDescent="0.25">
      <c r="A294" s="1">
        <f t="shared" si="6"/>
        <v>278</v>
      </c>
      <c r="B294" s="1" t="s">
        <v>489</v>
      </c>
      <c r="C294" s="1" t="s">
        <v>122</v>
      </c>
      <c r="D294" s="1" t="s">
        <v>735</v>
      </c>
      <c r="E294" s="4">
        <v>45292</v>
      </c>
      <c r="F294" s="4">
        <v>45657</v>
      </c>
      <c r="H294" s="5">
        <v>508658.79</v>
      </c>
      <c r="I294" s="5">
        <v>32204</v>
      </c>
      <c r="J294" s="5">
        <v>39600</v>
      </c>
      <c r="K294" s="5">
        <v>27846.2</v>
      </c>
      <c r="L294" s="5">
        <v>0</v>
      </c>
      <c r="M294" s="5">
        <v>99650.2</v>
      </c>
      <c r="N294" s="5">
        <v>358601.8</v>
      </c>
      <c r="O294" s="5">
        <v>0</v>
      </c>
      <c r="P294" s="5">
        <v>50406.79</v>
      </c>
      <c r="Q294" s="5">
        <v>409008.59</v>
      </c>
      <c r="R294" s="1" t="s">
        <v>934</v>
      </c>
      <c r="S294" s="1" t="s">
        <v>735</v>
      </c>
      <c r="T294" s="4">
        <v>45292</v>
      </c>
      <c r="U294" s="4">
        <v>45657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409008.59</v>
      </c>
      <c r="AH294" s="5">
        <v>24301.72</v>
      </c>
      <c r="AI294" s="5">
        <v>0</v>
      </c>
      <c r="AJ294" s="5">
        <v>25696.16</v>
      </c>
      <c r="AK294" s="5">
        <v>0</v>
      </c>
      <c r="AL294" s="5">
        <v>0</v>
      </c>
      <c r="AM294" s="5">
        <v>1394.44</v>
      </c>
      <c r="AN294" s="5">
        <v>24301.72</v>
      </c>
      <c r="AO294" s="1" t="s">
        <v>1177</v>
      </c>
    </row>
    <row r="295" spans="1:41" x14ac:dyDescent="0.25">
      <c r="A295" s="1">
        <f t="shared" si="6"/>
        <v>279</v>
      </c>
      <c r="B295" s="1" t="s">
        <v>490</v>
      </c>
      <c r="C295" s="1" t="s">
        <v>122</v>
      </c>
      <c r="D295" s="1" t="s">
        <v>735</v>
      </c>
      <c r="E295" s="4">
        <v>45292</v>
      </c>
      <c r="F295" s="4">
        <v>45657</v>
      </c>
      <c r="H295" s="5">
        <v>310969.43</v>
      </c>
      <c r="I295" s="5">
        <v>20454.330000000002</v>
      </c>
      <c r="J295" s="5">
        <v>39600</v>
      </c>
      <c r="K295" s="5">
        <v>20181.3</v>
      </c>
      <c r="L295" s="5">
        <v>0</v>
      </c>
      <c r="M295" s="5">
        <v>80235.63</v>
      </c>
      <c r="N295" s="5">
        <v>225270.7</v>
      </c>
      <c r="O295" s="5">
        <v>0</v>
      </c>
      <c r="P295" s="5">
        <v>5463.1</v>
      </c>
      <c r="Q295" s="5">
        <v>230733.8</v>
      </c>
      <c r="R295" s="1" t="s">
        <v>935</v>
      </c>
      <c r="S295" s="1" t="s">
        <v>735</v>
      </c>
      <c r="T295" s="4">
        <v>45292</v>
      </c>
      <c r="U295" s="4">
        <v>45657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230733.8</v>
      </c>
      <c r="AH295" s="5">
        <v>0</v>
      </c>
      <c r="AI295" s="5">
        <v>0</v>
      </c>
      <c r="AJ295" s="5">
        <v>367.85</v>
      </c>
      <c r="AK295" s="5">
        <v>0</v>
      </c>
      <c r="AL295" s="5">
        <v>0</v>
      </c>
      <c r="AM295" s="5">
        <v>367.85</v>
      </c>
      <c r="AN295" s="5">
        <v>0</v>
      </c>
      <c r="AO295" s="1" t="s">
        <v>1177</v>
      </c>
    </row>
    <row r="296" spans="1:41" x14ac:dyDescent="0.25">
      <c r="A296" s="1">
        <f t="shared" si="6"/>
        <v>280</v>
      </c>
      <c r="B296" s="1" t="s">
        <v>491</v>
      </c>
      <c r="C296" s="1" t="s">
        <v>122</v>
      </c>
      <c r="D296" s="1" t="s">
        <v>735</v>
      </c>
      <c r="E296" s="4">
        <v>45292</v>
      </c>
      <c r="F296" s="4">
        <v>45657</v>
      </c>
      <c r="H296" s="5">
        <v>341475.86</v>
      </c>
      <c r="I296" s="5">
        <v>22322.880000000001</v>
      </c>
      <c r="J296" s="5">
        <v>39600</v>
      </c>
      <c r="K296" s="5">
        <v>22069.37</v>
      </c>
      <c r="L296" s="5">
        <v>0</v>
      </c>
      <c r="M296" s="5">
        <v>83992.25</v>
      </c>
      <c r="N296" s="5">
        <v>245805.17</v>
      </c>
      <c r="O296" s="5">
        <v>0</v>
      </c>
      <c r="P296" s="5">
        <v>11678.44</v>
      </c>
      <c r="Q296" s="5">
        <v>257483.61</v>
      </c>
      <c r="R296" s="1" t="s">
        <v>936</v>
      </c>
      <c r="S296" s="1" t="s">
        <v>735</v>
      </c>
      <c r="T296" s="4">
        <v>45292</v>
      </c>
      <c r="U296" s="4">
        <v>45657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257483.61</v>
      </c>
      <c r="AH296" s="5">
        <v>1122.54</v>
      </c>
      <c r="AI296" s="5">
        <v>0</v>
      </c>
      <c r="AJ296" s="5">
        <v>2893.29</v>
      </c>
      <c r="AK296" s="5">
        <v>0</v>
      </c>
      <c r="AL296" s="5">
        <v>0</v>
      </c>
      <c r="AM296" s="5">
        <v>1770.75</v>
      </c>
      <c r="AN296" s="5">
        <v>1122.54</v>
      </c>
      <c r="AO296" s="1" t="s">
        <v>1177</v>
      </c>
    </row>
    <row r="297" spans="1:41" x14ac:dyDescent="0.25">
      <c r="A297" s="1">
        <f t="shared" si="6"/>
        <v>281</v>
      </c>
      <c r="B297" s="1" t="s">
        <v>492</v>
      </c>
      <c r="C297" s="1" t="s">
        <v>122</v>
      </c>
      <c r="D297" s="1" t="s">
        <v>735</v>
      </c>
      <c r="E297" s="4">
        <v>45292</v>
      </c>
      <c r="F297" s="4">
        <v>45657</v>
      </c>
      <c r="H297" s="5">
        <v>491525.5</v>
      </c>
      <c r="I297" s="5">
        <v>34763.5</v>
      </c>
      <c r="J297" s="5">
        <v>39600</v>
      </c>
      <c r="K297" s="5">
        <v>28929.05</v>
      </c>
      <c r="L297" s="5">
        <v>0</v>
      </c>
      <c r="M297" s="5">
        <v>103292.55</v>
      </c>
      <c r="N297" s="5">
        <v>388232.95</v>
      </c>
      <c r="O297" s="5">
        <v>0</v>
      </c>
      <c r="P297" s="5">
        <v>0</v>
      </c>
      <c r="Q297" s="5">
        <v>388232.95</v>
      </c>
      <c r="R297" s="1" t="s">
        <v>937</v>
      </c>
      <c r="S297" s="1" t="s">
        <v>735</v>
      </c>
      <c r="T297" s="4">
        <v>45292</v>
      </c>
      <c r="U297" s="4">
        <v>45657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388232.95</v>
      </c>
      <c r="AH297" s="5">
        <v>20734.939999999999</v>
      </c>
      <c r="AI297" s="5">
        <v>0</v>
      </c>
      <c r="AJ297" s="5">
        <v>20944.36</v>
      </c>
      <c r="AK297" s="5">
        <v>0</v>
      </c>
      <c r="AL297" s="5">
        <v>0</v>
      </c>
      <c r="AM297" s="5">
        <v>209.42</v>
      </c>
      <c r="AN297" s="5">
        <v>20734.939999999999</v>
      </c>
      <c r="AO297" s="1" t="s">
        <v>1177</v>
      </c>
    </row>
    <row r="298" spans="1:41" x14ac:dyDescent="0.25">
      <c r="A298" s="1">
        <f t="shared" si="6"/>
        <v>282</v>
      </c>
      <c r="B298" s="1" t="s">
        <v>493</v>
      </c>
      <c r="C298" s="1" t="s">
        <v>122</v>
      </c>
      <c r="D298" s="1" t="s">
        <v>735</v>
      </c>
      <c r="E298" s="4">
        <v>45292</v>
      </c>
      <c r="F298" s="4">
        <v>45657</v>
      </c>
      <c r="H298" s="5">
        <v>446668.1</v>
      </c>
      <c r="I298" s="5">
        <v>27387.13</v>
      </c>
      <c r="J298" s="5">
        <v>39600</v>
      </c>
      <c r="K298" s="5">
        <v>26378.6</v>
      </c>
      <c r="L298" s="5">
        <v>0</v>
      </c>
      <c r="M298" s="5">
        <v>93365.73</v>
      </c>
      <c r="N298" s="5">
        <v>302266.90000000002</v>
      </c>
      <c r="O298" s="5">
        <v>0</v>
      </c>
      <c r="P298" s="5">
        <v>51035.47</v>
      </c>
      <c r="Q298" s="5">
        <v>353302.37</v>
      </c>
      <c r="R298" s="1" t="s">
        <v>938</v>
      </c>
      <c r="S298" s="1" t="s">
        <v>735</v>
      </c>
      <c r="T298" s="4">
        <v>45292</v>
      </c>
      <c r="U298" s="4">
        <v>45657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353302.37</v>
      </c>
      <c r="AH298" s="5">
        <v>15495.36</v>
      </c>
      <c r="AI298" s="5">
        <v>0</v>
      </c>
      <c r="AJ298" s="5">
        <v>15680.67</v>
      </c>
      <c r="AK298" s="5">
        <v>0</v>
      </c>
      <c r="AL298" s="5">
        <v>0</v>
      </c>
      <c r="AM298" s="5">
        <v>185.31</v>
      </c>
      <c r="AN298" s="5">
        <v>15495.36</v>
      </c>
      <c r="AO298" s="1" t="s">
        <v>1177</v>
      </c>
    </row>
    <row r="299" spans="1:41" x14ac:dyDescent="0.25">
      <c r="A299" s="1">
        <f t="shared" si="6"/>
        <v>283</v>
      </c>
      <c r="B299" s="1" t="s">
        <v>494</v>
      </c>
      <c r="C299" s="1" t="s">
        <v>122</v>
      </c>
      <c r="D299" s="1" t="s">
        <v>735</v>
      </c>
      <c r="E299" s="4">
        <v>45292</v>
      </c>
      <c r="F299" s="4">
        <v>45657</v>
      </c>
      <c r="H299" s="5">
        <v>365429.07</v>
      </c>
      <c r="I299" s="5">
        <v>23116.67</v>
      </c>
      <c r="J299" s="5">
        <v>39600</v>
      </c>
      <c r="K299" s="5">
        <v>23320</v>
      </c>
      <c r="L299" s="5">
        <v>0</v>
      </c>
      <c r="M299" s="5">
        <v>86036.67</v>
      </c>
      <c r="N299" s="5">
        <v>254080</v>
      </c>
      <c r="O299" s="5">
        <v>0</v>
      </c>
      <c r="P299" s="5">
        <v>25312.400000000001</v>
      </c>
      <c r="Q299" s="5">
        <v>279392.40000000002</v>
      </c>
      <c r="R299" s="1" t="s">
        <v>939</v>
      </c>
      <c r="S299" s="1" t="s">
        <v>735</v>
      </c>
      <c r="T299" s="4">
        <v>45292</v>
      </c>
      <c r="U299" s="4">
        <v>45657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279392.40000000002</v>
      </c>
      <c r="AH299" s="5">
        <v>4408.8599999999997</v>
      </c>
      <c r="AI299" s="5">
        <v>0</v>
      </c>
      <c r="AJ299" s="5">
        <v>5017.78</v>
      </c>
      <c r="AK299" s="5">
        <v>0</v>
      </c>
      <c r="AL299" s="5">
        <v>0</v>
      </c>
      <c r="AM299" s="5">
        <v>608.91999999999996</v>
      </c>
      <c r="AN299" s="5">
        <v>4408.8599999999997</v>
      </c>
      <c r="AO299" s="1" t="s">
        <v>1177</v>
      </c>
    </row>
    <row r="300" spans="1:41" x14ac:dyDescent="0.25">
      <c r="A300" s="1">
        <f t="shared" si="6"/>
        <v>284</v>
      </c>
      <c r="B300" s="1" t="s">
        <v>495</v>
      </c>
      <c r="C300" s="1" t="s">
        <v>122</v>
      </c>
      <c r="D300" s="1" t="s">
        <v>735</v>
      </c>
      <c r="E300" s="4">
        <v>45292</v>
      </c>
      <c r="F300" s="4">
        <v>45657</v>
      </c>
      <c r="H300" s="5">
        <v>353071.39</v>
      </c>
      <c r="I300" s="5">
        <v>24001.759999999998</v>
      </c>
      <c r="J300" s="5">
        <v>39600</v>
      </c>
      <c r="K300" s="5">
        <v>22933.01</v>
      </c>
      <c r="L300" s="5">
        <v>0</v>
      </c>
      <c r="M300" s="5">
        <v>86534.77</v>
      </c>
      <c r="N300" s="5">
        <v>265088.11</v>
      </c>
      <c r="O300" s="5">
        <v>0</v>
      </c>
      <c r="P300" s="5">
        <v>1448.51</v>
      </c>
      <c r="Q300" s="5">
        <v>266536.62</v>
      </c>
      <c r="R300" s="1" t="s">
        <v>940</v>
      </c>
      <c r="S300" s="1" t="s">
        <v>735</v>
      </c>
      <c r="T300" s="4">
        <v>45292</v>
      </c>
      <c r="U300" s="4">
        <v>45657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266536.62</v>
      </c>
      <c r="AH300" s="5">
        <v>2480.4899999999998</v>
      </c>
      <c r="AI300" s="5">
        <v>0</v>
      </c>
      <c r="AJ300" s="5">
        <v>3025.58</v>
      </c>
      <c r="AK300" s="5">
        <v>0</v>
      </c>
      <c r="AL300" s="5">
        <v>0</v>
      </c>
      <c r="AM300" s="5">
        <v>545.09</v>
      </c>
      <c r="AN300" s="5">
        <v>2480.4899999999998</v>
      </c>
      <c r="AO300" s="1" t="s">
        <v>1177</v>
      </c>
    </row>
    <row r="301" spans="1:41" x14ac:dyDescent="0.25">
      <c r="A301" s="1">
        <f t="shared" si="6"/>
        <v>285</v>
      </c>
      <c r="B301" s="1" t="s">
        <v>496</v>
      </c>
      <c r="C301" s="1" t="s">
        <v>122</v>
      </c>
      <c r="D301" s="1" t="s">
        <v>735</v>
      </c>
      <c r="E301" s="4">
        <v>45292</v>
      </c>
      <c r="F301" s="4">
        <v>45657</v>
      </c>
      <c r="H301" s="5">
        <v>440151.99</v>
      </c>
      <c r="I301" s="5">
        <v>29432.639999999999</v>
      </c>
      <c r="J301" s="5">
        <v>39600</v>
      </c>
      <c r="K301" s="5">
        <v>26654.78</v>
      </c>
      <c r="L301" s="5">
        <v>0</v>
      </c>
      <c r="M301" s="5">
        <v>95687.42</v>
      </c>
      <c r="N301" s="5">
        <v>326536.94</v>
      </c>
      <c r="O301" s="5">
        <v>0</v>
      </c>
      <c r="P301" s="5">
        <v>17927.63</v>
      </c>
      <c r="Q301" s="5">
        <v>344464.57</v>
      </c>
      <c r="R301" s="1" t="s">
        <v>941</v>
      </c>
      <c r="S301" s="1" t="s">
        <v>735</v>
      </c>
      <c r="T301" s="4">
        <v>45292</v>
      </c>
      <c r="U301" s="4">
        <v>45657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344464.57</v>
      </c>
      <c r="AH301" s="5">
        <v>14169.69</v>
      </c>
      <c r="AI301" s="5">
        <v>0</v>
      </c>
      <c r="AJ301" s="5">
        <v>14336.68</v>
      </c>
      <c r="AK301" s="5">
        <v>0</v>
      </c>
      <c r="AL301" s="5">
        <v>0</v>
      </c>
      <c r="AM301" s="5">
        <v>166.99</v>
      </c>
      <c r="AN301" s="5">
        <v>14169.69</v>
      </c>
      <c r="AO301" s="1" t="s">
        <v>1177</v>
      </c>
    </row>
    <row r="302" spans="1:41" x14ac:dyDescent="0.25">
      <c r="A302" s="1">
        <f t="shared" si="6"/>
        <v>286</v>
      </c>
      <c r="B302" s="1" t="s">
        <v>497</v>
      </c>
      <c r="C302" s="1" t="s">
        <v>122</v>
      </c>
      <c r="D302" s="1" t="s">
        <v>735</v>
      </c>
      <c r="E302" s="4">
        <v>45292</v>
      </c>
      <c r="F302" s="4">
        <v>45657</v>
      </c>
      <c r="H302" s="5">
        <v>497377.73</v>
      </c>
      <c r="I302" s="5">
        <v>31197.46</v>
      </c>
      <c r="J302" s="5">
        <v>39600</v>
      </c>
      <c r="K302" s="5">
        <v>27859.200000000001</v>
      </c>
      <c r="L302" s="5">
        <v>28000</v>
      </c>
      <c r="M302" s="5">
        <v>126656.66</v>
      </c>
      <c r="N302" s="5">
        <v>346510.3</v>
      </c>
      <c r="O302" s="5">
        <v>0</v>
      </c>
      <c r="P302" s="5">
        <v>24210.77</v>
      </c>
      <c r="Q302" s="5">
        <v>370721.07</v>
      </c>
      <c r="R302" s="1" t="s">
        <v>942</v>
      </c>
      <c r="S302" s="1" t="s">
        <v>735</v>
      </c>
      <c r="T302" s="4">
        <v>45292</v>
      </c>
      <c r="U302" s="4">
        <v>45657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370721.07</v>
      </c>
      <c r="AH302" s="5">
        <v>18108.16</v>
      </c>
      <c r="AI302" s="5">
        <v>0</v>
      </c>
      <c r="AJ302" s="5">
        <v>18372.759999999998</v>
      </c>
      <c r="AK302" s="5">
        <v>0</v>
      </c>
      <c r="AL302" s="5">
        <v>0</v>
      </c>
      <c r="AM302" s="5">
        <v>264.60000000000002</v>
      </c>
      <c r="AN302" s="5">
        <v>18108.16</v>
      </c>
      <c r="AO302" s="1" t="s">
        <v>1177</v>
      </c>
    </row>
    <row r="303" spans="1:41" x14ac:dyDescent="0.25">
      <c r="A303" s="1">
        <f t="shared" si="6"/>
        <v>287</v>
      </c>
      <c r="B303" s="1" t="s">
        <v>498</v>
      </c>
      <c r="C303" s="1" t="s">
        <v>122</v>
      </c>
      <c r="D303" s="1" t="s">
        <v>735</v>
      </c>
      <c r="E303" s="4">
        <v>45292</v>
      </c>
      <c r="F303" s="4">
        <v>45657</v>
      </c>
      <c r="H303" s="5">
        <v>764324.43</v>
      </c>
      <c r="I303" s="5">
        <v>36714.57</v>
      </c>
      <c r="J303" s="5">
        <v>39600</v>
      </c>
      <c r="K303" s="5">
        <v>29514.37</v>
      </c>
      <c r="L303" s="5">
        <v>93000</v>
      </c>
      <c r="M303" s="5">
        <v>198828.94</v>
      </c>
      <c r="N303" s="5">
        <v>411060.43</v>
      </c>
      <c r="O303" s="5">
        <v>0</v>
      </c>
      <c r="P303" s="5">
        <v>154435.06</v>
      </c>
      <c r="Q303" s="5">
        <v>565495.49</v>
      </c>
      <c r="R303" s="1" t="s">
        <v>943</v>
      </c>
      <c r="S303" s="1" t="s">
        <v>735</v>
      </c>
      <c r="T303" s="4">
        <v>45292</v>
      </c>
      <c r="U303" s="4">
        <v>45657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565495.49</v>
      </c>
      <c r="AH303" s="5">
        <v>55599.1</v>
      </c>
      <c r="AI303" s="5">
        <v>0</v>
      </c>
      <c r="AJ303" s="5">
        <v>55803.45</v>
      </c>
      <c r="AK303" s="5">
        <v>0</v>
      </c>
      <c r="AL303" s="5">
        <v>0</v>
      </c>
      <c r="AM303" s="5">
        <v>204.35</v>
      </c>
      <c r="AN303" s="5">
        <v>55599.1</v>
      </c>
      <c r="AO303" s="1" t="s">
        <v>1177</v>
      </c>
    </row>
    <row r="304" spans="1:41" x14ac:dyDescent="0.25">
      <c r="A304" s="1">
        <f t="shared" si="6"/>
        <v>288</v>
      </c>
      <c r="B304" s="1" t="s">
        <v>499</v>
      </c>
      <c r="C304" s="1" t="s">
        <v>122</v>
      </c>
      <c r="D304" s="1" t="s">
        <v>735</v>
      </c>
      <c r="E304" s="4">
        <v>45292</v>
      </c>
      <c r="F304" s="4">
        <v>45657</v>
      </c>
      <c r="H304" s="5">
        <v>242681.47</v>
      </c>
      <c r="I304" s="5">
        <v>15470.91</v>
      </c>
      <c r="J304" s="5">
        <v>39600</v>
      </c>
      <c r="K304" s="5">
        <v>15869.37</v>
      </c>
      <c r="L304" s="5">
        <v>0</v>
      </c>
      <c r="M304" s="5">
        <v>70940.28</v>
      </c>
      <c r="N304" s="5">
        <v>169781.49</v>
      </c>
      <c r="O304" s="5">
        <v>0</v>
      </c>
      <c r="P304" s="5">
        <v>1959.7</v>
      </c>
      <c r="Q304" s="5">
        <v>171741.19</v>
      </c>
      <c r="R304" s="1" t="s">
        <v>944</v>
      </c>
      <c r="S304" s="1" t="s">
        <v>735</v>
      </c>
      <c r="T304" s="4">
        <v>45292</v>
      </c>
      <c r="U304" s="4">
        <v>45657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171741.19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1" t="s">
        <v>1177</v>
      </c>
    </row>
    <row r="305" spans="1:41" x14ac:dyDescent="0.25">
      <c r="A305" s="1">
        <f t="shared" si="6"/>
        <v>289</v>
      </c>
      <c r="B305" s="1" t="s">
        <v>500</v>
      </c>
      <c r="C305" s="1" t="s">
        <v>122</v>
      </c>
      <c r="D305" s="1" t="s">
        <v>735</v>
      </c>
      <c r="E305" s="4">
        <v>45292</v>
      </c>
      <c r="F305" s="4">
        <v>45657</v>
      </c>
      <c r="H305" s="5">
        <v>313607.84999999998</v>
      </c>
      <c r="I305" s="5">
        <v>20264.75</v>
      </c>
      <c r="J305" s="5">
        <v>39600</v>
      </c>
      <c r="K305" s="5">
        <v>20214.419999999998</v>
      </c>
      <c r="L305" s="5">
        <v>0</v>
      </c>
      <c r="M305" s="5">
        <v>80079.17</v>
      </c>
      <c r="N305" s="5">
        <v>222962.58</v>
      </c>
      <c r="O305" s="5">
        <v>0</v>
      </c>
      <c r="P305" s="5">
        <v>10566.1</v>
      </c>
      <c r="Q305" s="5">
        <v>233528.68</v>
      </c>
      <c r="R305" s="1" t="s">
        <v>945</v>
      </c>
      <c r="S305" s="1" t="s">
        <v>735</v>
      </c>
      <c r="T305" s="4">
        <v>45292</v>
      </c>
      <c r="U305" s="4">
        <v>45657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233528.68</v>
      </c>
      <c r="AH305" s="5">
        <v>0</v>
      </c>
      <c r="AI305" s="5">
        <v>0</v>
      </c>
      <c r="AJ305" s="5">
        <v>709.45</v>
      </c>
      <c r="AK305" s="5">
        <v>0</v>
      </c>
      <c r="AL305" s="5">
        <v>0</v>
      </c>
      <c r="AM305" s="5">
        <v>709.45</v>
      </c>
      <c r="AN305" s="5">
        <v>0</v>
      </c>
      <c r="AO305" s="1" t="s">
        <v>1177</v>
      </c>
    </row>
    <row r="306" spans="1:41" x14ac:dyDescent="0.25">
      <c r="A306" s="1">
        <f t="shared" si="6"/>
        <v>290</v>
      </c>
      <c r="B306" s="1" t="s">
        <v>501</v>
      </c>
      <c r="C306" s="1" t="s">
        <v>122</v>
      </c>
      <c r="D306" s="1" t="s">
        <v>735</v>
      </c>
      <c r="E306" s="4">
        <v>45292</v>
      </c>
      <c r="F306" s="4">
        <v>45657</v>
      </c>
      <c r="H306" s="5">
        <v>272111.01</v>
      </c>
      <c r="I306" s="5">
        <v>17530</v>
      </c>
      <c r="J306" s="5">
        <v>39600</v>
      </c>
      <c r="K306" s="5">
        <v>17684</v>
      </c>
      <c r="L306" s="5">
        <v>0</v>
      </c>
      <c r="M306" s="5">
        <v>74814</v>
      </c>
      <c r="N306" s="5">
        <v>192676</v>
      </c>
      <c r="O306" s="5">
        <v>0</v>
      </c>
      <c r="P306" s="5">
        <v>4621.01</v>
      </c>
      <c r="Q306" s="5">
        <v>197297.01</v>
      </c>
      <c r="R306" s="1" t="s">
        <v>946</v>
      </c>
      <c r="S306" s="1" t="s">
        <v>735</v>
      </c>
      <c r="T306" s="4">
        <v>45292</v>
      </c>
      <c r="U306" s="4">
        <v>45657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197297.01</v>
      </c>
      <c r="AH306" s="5">
        <v>0</v>
      </c>
      <c r="AI306" s="5">
        <v>0</v>
      </c>
      <c r="AJ306" s="5">
        <v>142.49</v>
      </c>
      <c r="AK306" s="5">
        <v>0</v>
      </c>
      <c r="AL306" s="5">
        <v>0</v>
      </c>
      <c r="AM306" s="5">
        <v>142.49</v>
      </c>
      <c r="AN306" s="5">
        <v>0</v>
      </c>
      <c r="AO306" s="1" t="s">
        <v>1177</v>
      </c>
    </row>
    <row r="307" spans="1:41" x14ac:dyDescent="0.25">
      <c r="A307" s="1">
        <f t="shared" si="6"/>
        <v>291</v>
      </c>
      <c r="B307" s="1" t="s">
        <v>502</v>
      </c>
      <c r="C307" s="1" t="s">
        <v>122</v>
      </c>
      <c r="D307" s="1" t="s">
        <v>735</v>
      </c>
      <c r="E307" s="4">
        <v>45292</v>
      </c>
      <c r="F307" s="4">
        <v>45657</v>
      </c>
      <c r="H307" s="5">
        <v>331087.65999999997</v>
      </c>
      <c r="I307" s="5">
        <v>19970.169999999998</v>
      </c>
      <c r="J307" s="5">
        <v>39600</v>
      </c>
      <c r="K307" s="5">
        <v>20936.05</v>
      </c>
      <c r="L307" s="5">
        <v>0</v>
      </c>
      <c r="M307" s="5">
        <v>80506.22</v>
      </c>
      <c r="N307" s="5">
        <v>218705.95</v>
      </c>
      <c r="O307" s="5">
        <v>0</v>
      </c>
      <c r="P307" s="5">
        <v>31875.49</v>
      </c>
      <c r="Q307" s="5">
        <v>250581.44</v>
      </c>
      <c r="R307" s="1" t="s">
        <v>947</v>
      </c>
      <c r="S307" s="1" t="s">
        <v>735</v>
      </c>
      <c r="T307" s="4">
        <v>45292</v>
      </c>
      <c r="U307" s="4">
        <v>45657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250581.44</v>
      </c>
      <c r="AH307" s="5">
        <v>87.22</v>
      </c>
      <c r="AI307" s="5">
        <v>0</v>
      </c>
      <c r="AJ307" s="5">
        <v>1252.44</v>
      </c>
      <c r="AK307" s="5">
        <v>0</v>
      </c>
      <c r="AL307" s="5">
        <v>0</v>
      </c>
      <c r="AM307" s="5">
        <v>1165.22</v>
      </c>
      <c r="AN307" s="5">
        <v>87.22</v>
      </c>
      <c r="AO307" s="1" t="s">
        <v>1177</v>
      </c>
    </row>
    <row r="308" spans="1:41" x14ac:dyDescent="0.25">
      <c r="A308" s="1">
        <f t="shared" si="6"/>
        <v>292</v>
      </c>
      <c r="B308" s="1" t="s">
        <v>503</v>
      </c>
      <c r="C308" s="1" t="s">
        <v>122</v>
      </c>
      <c r="D308" s="1" t="s">
        <v>735</v>
      </c>
      <c r="E308" s="4">
        <v>45292</v>
      </c>
      <c r="F308" s="4">
        <v>45657</v>
      </c>
      <c r="H308" s="5">
        <v>333950.57</v>
      </c>
      <c r="I308" s="5">
        <v>20408.419999999998</v>
      </c>
      <c r="J308" s="5">
        <v>39600</v>
      </c>
      <c r="K308" s="5">
        <v>21157.52</v>
      </c>
      <c r="L308" s="5">
        <v>0</v>
      </c>
      <c r="M308" s="5">
        <v>81165.94</v>
      </c>
      <c r="N308" s="5">
        <v>223743.48</v>
      </c>
      <c r="O308" s="5">
        <v>0</v>
      </c>
      <c r="P308" s="5">
        <v>29041.15</v>
      </c>
      <c r="Q308" s="5">
        <v>252784.63</v>
      </c>
      <c r="R308" s="1" t="s">
        <v>948</v>
      </c>
      <c r="S308" s="1" t="s">
        <v>735</v>
      </c>
      <c r="T308" s="4">
        <v>45292</v>
      </c>
      <c r="U308" s="4">
        <v>45657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252784.63</v>
      </c>
      <c r="AH308" s="5">
        <v>417.69</v>
      </c>
      <c r="AI308" s="5">
        <v>0</v>
      </c>
      <c r="AJ308" s="5">
        <v>1379.02</v>
      </c>
      <c r="AK308" s="5">
        <v>0</v>
      </c>
      <c r="AL308" s="5">
        <v>0</v>
      </c>
      <c r="AM308" s="5">
        <v>961.33</v>
      </c>
      <c r="AN308" s="5">
        <v>417.69</v>
      </c>
      <c r="AO308" s="1" t="s">
        <v>1177</v>
      </c>
    </row>
    <row r="309" spans="1:41" x14ac:dyDescent="0.25">
      <c r="A309" s="1">
        <f t="shared" si="6"/>
        <v>293</v>
      </c>
      <c r="B309" s="1" t="s">
        <v>504</v>
      </c>
      <c r="C309" s="1" t="s">
        <v>122</v>
      </c>
      <c r="D309" s="1" t="s">
        <v>735</v>
      </c>
      <c r="E309" s="4">
        <v>45292</v>
      </c>
      <c r="F309" s="4">
        <v>45657</v>
      </c>
      <c r="H309" s="5">
        <v>301906.75</v>
      </c>
      <c r="I309" s="5">
        <v>18151.21</v>
      </c>
      <c r="J309" s="5">
        <v>39600</v>
      </c>
      <c r="K309" s="5">
        <v>19152.82</v>
      </c>
      <c r="L309" s="5">
        <v>0</v>
      </c>
      <c r="M309" s="5">
        <v>76904.03</v>
      </c>
      <c r="N309" s="5">
        <v>198661.68</v>
      </c>
      <c r="O309" s="5">
        <v>0</v>
      </c>
      <c r="P309" s="5">
        <v>26341.040000000001</v>
      </c>
      <c r="Q309" s="5">
        <v>225002.72</v>
      </c>
      <c r="R309" s="1" t="s">
        <v>949</v>
      </c>
      <c r="S309" s="1" t="s">
        <v>735</v>
      </c>
      <c r="T309" s="4">
        <v>45292</v>
      </c>
      <c r="U309" s="4">
        <v>45657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225002.72</v>
      </c>
      <c r="AH309" s="5">
        <v>0</v>
      </c>
      <c r="AI309" s="5">
        <v>0</v>
      </c>
      <c r="AJ309" s="5">
        <v>199.89</v>
      </c>
      <c r="AK309" s="5">
        <v>0</v>
      </c>
      <c r="AL309" s="5">
        <v>0</v>
      </c>
      <c r="AM309" s="5">
        <v>199.89</v>
      </c>
      <c r="AN309" s="5">
        <v>0</v>
      </c>
      <c r="AO309" s="1" t="s">
        <v>1177</v>
      </c>
    </row>
    <row r="310" spans="1:41" x14ac:dyDescent="0.25">
      <c r="A310" s="1">
        <f t="shared" si="6"/>
        <v>294</v>
      </c>
      <c r="B310" s="1" t="s">
        <v>505</v>
      </c>
      <c r="C310" s="1" t="s">
        <v>122</v>
      </c>
      <c r="D310" s="1" t="s">
        <v>735</v>
      </c>
      <c r="E310" s="4">
        <v>45292</v>
      </c>
      <c r="F310" s="4">
        <v>45657</v>
      </c>
      <c r="H310" s="5">
        <v>337391.88</v>
      </c>
      <c r="I310" s="5">
        <v>19631.830000000002</v>
      </c>
      <c r="J310" s="5">
        <v>39600</v>
      </c>
      <c r="K310" s="5">
        <v>20857.05</v>
      </c>
      <c r="L310" s="5">
        <v>7000</v>
      </c>
      <c r="M310" s="5">
        <v>87088.88</v>
      </c>
      <c r="N310" s="5">
        <v>214724.95</v>
      </c>
      <c r="O310" s="5">
        <v>0</v>
      </c>
      <c r="P310" s="5">
        <v>35578.050000000003</v>
      </c>
      <c r="Q310" s="5">
        <v>250303</v>
      </c>
      <c r="R310" s="1" t="s">
        <v>950</v>
      </c>
      <c r="S310" s="1" t="s">
        <v>735</v>
      </c>
      <c r="T310" s="4">
        <v>45292</v>
      </c>
      <c r="U310" s="4">
        <v>45657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250303</v>
      </c>
      <c r="AH310" s="5">
        <v>45.45</v>
      </c>
      <c r="AI310" s="5">
        <v>0</v>
      </c>
      <c r="AJ310" s="5">
        <v>2293.61</v>
      </c>
      <c r="AK310" s="5">
        <v>0</v>
      </c>
      <c r="AL310" s="5">
        <v>0</v>
      </c>
      <c r="AM310" s="5">
        <v>2248.16</v>
      </c>
      <c r="AN310" s="5">
        <v>45.45</v>
      </c>
      <c r="AO310" s="1" t="s">
        <v>1177</v>
      </c>
    </row>
    <row r="311" spans="1:41" x14ac:dyDescent="0.25">
      <c r="A311" s="1">
        <f t="shared" si="6"/>
        <v>295</v>
      </c>
      <c r="B311" s="1" t="s">
        <v>506</v>
      </c>
      <c r="C311" s="1" t="s">
        <v>122</v>
      </c>
      <c r="D311" s="1" t="s">
        <v>735</v>
      </c>
      <c r="E311" s="4">
        <v>45292</v>
      </c>
      <c r="F311" s="4">
        <v>45657</v>
      </c>
      <c r="H311" s="5">
        <v>234514.14</v>
      </c>
      <c r="I311" s="5">
        <v>15774.56</v>
      </c>
      <c r="J311" s="5">
        <v>29700</v>
      </c>
      <c r="K311" s="5">
        <v>15388.3</v>
      </c>
      <c r="L311" s="5">
        <v>0</v>
      </c>
      <c r="M311" s="5">
        <v>60862.86</v>
      </c>
      <c r="N311" s="5">
        <v>170843.7</v>
      </c>
      <c r="O311" s="5">
        <v>0</v>
      </c>
      <c r="P311" s="5">
        <v>2807.58</v>
      </c>
      <c r="Q311" s="5">
        <v>173651.28</v>
      </c>
      <c r="R311" s="1" t="s">
        <v>951</v>
      </c>
      <c r="S311" s="1" t="s">
        <v>735</v>
      </c>
      <c r="T311" s="4">
        <v>45292</v>
      </c>
      <c r="U311" s="4">
        <v>45657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173651.28</v>
      </c>
      <c r="AH311" s="5">
        <v>0</v>
      </c>
      <c r="AI311" s="5">
        <v>0</v>
      </c>
      <c r="AJ311" s="5">
        <v>14.69</v>
      </c>
      <c r="AK311" s="5">
        <v>0</v>
      </c>
      <c r="AL311" s="5">
        <v>0</v>
      </c>
      <c r="AM311" s="5">
        <v>14.69</v>
      </c>
      <c r="AN311" s="5">
        <v>0</v>
      </c>
      <c r="AO311" s="1" t="s">
        <v>1177</v>
      </c>
    </row>
    <row r="312" spans="1:41" x14ac:dyDescent="0.25">
      <c r="A312" s="1">
        <f t="shared" si="6"/>
        <v>296</v>
      </c>
      <c r="B312" s="1" t="s">
        <v>507</v>
      </c>
      <c r="C312" s="1" t="s">
        <v>122</v>
      </c>
      <c r="D312" s="1" t="s">
        <v>735</v>
      </c>
      <c r="E312" s="4">
        <v>45292</v>
      </c>
      <c r="F312" s="4">
        <v>45657</v>
      </c>
      <c r="H312" s="5">
        <v>327474.51</v>
      </c>
      <c r="I312" s="5">
        <v>19631.830000000002</v>
      </c>
      <c r="J312" s="5">
        <v>39600</v>
      </c>
      <c r="K312" s="5">
        <v>20722.05</v>
      </c>
      <c r="L312" s="5">
        <v>0</v>
      </c>
      <c r="M312" s="5">
        <v>79953.88</v>
      </c>
      <c r="N312" s="5">
        <v>214859.95</v>
      </c>
      <c r="O312" s="5">
        <v>0</v>
      </c>
      <c r="P312" s="5">
        <v>32660.68</v>
      </c>
      <c r="Q312" s="5">
        <v>247520.63</v>
      </c>
      <c r="R312" s="1" t="s">
        <v>952</v>
      </c>
      <c r="S312" s="1" t="s">
        <v>735</v>
      </c>
      <c r="T312" s="4">
        <v>45292</v>
      </c>
      <c r="U312" s="4">
        <v>45657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247520.63</v>
      </c>
      <c r="AH312" s="5">
        <v>0</v>
      </c>
      <c r="AI312" s="5">
        <v>0</v>
      </c>
      <c r="AJ312" s="5">
        <v>2262.84</v>
      </c>
      <c r="AK312" s="5">
        <v>0</v>
      </c>
      <c r="AL312" s="5">
        <v>0</v>
      </c>
      <c r="AM312" s="5">
        <v>2262.84</v>
      </c>
      <c r="AN312" s="5">
        <v>0</v>
      </c>
      <c r="AO312" s="1" t="s">
        <v>1177</v>
      </c>
    </row>
    <row r="313" spans="1:41" x14ac:dyDescent="0.25">
      <c r="A313" s="1">
        <f t="shared" si="6"/>
        <v>297</v>
      </c>
      <c r="B313" s="1" t="s">
        <v>508</v>
      </c>
      <c r="C313" s="1" t="s">
        <v>122</v>
      </c>
      <c r="D313" s="1" t="s">
        <v>735</v>
      </c>
      <c r="E313" s="4">
        <v>45292</v>
      </c>
      <c r="F313" s="4">
        <v>45657</v>
      </c>
      <c r="H313" s="5">
        <v>306144.83</v>
      </c>
      <c r="I313" s="5">
        <v>20264.75</v>
      </c>
      <c r="J313" s="5">
        <v>39600</v>
      </c>
      <c r="K313" s="5">
        <v>19899.419999999998</v>
      </c>
      <c r="L313" s="5">
        <v>0</v>
      </c>
      <c r="M313" s="5">
        <v>79764.17</v>
      </c>
      <c r="N313" s="5">
        <v>223277.58</v>
      </c>
      <c r="O313" s="5">
        <v>0</v>
      </c>
      <c r="P313" s="5">
        <v>3103.08</v>
      </c>
      <c r="Q313" s="5">
        <v>226380.66</v>
      </c>
      <c r="R313" s="1" t="s">
        <v>953</v>
      </c>
      <c r="S313" s="1" t="s">
        <v>735</v>
      </c>
      <c r="T313" s="4">
        <v>45292</v>
      </c>
      <c r="U313" s="4">
        <v>45657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226380.66</v>
      </c>
      <c r="AH313" s="5">
        <v>0</v>
      </c>
      <c r="AI313" s="5">
        <v>0</v>
      </c>
      <c r="AJ313" s="5">
        <v>82.27</v>
      </c>
      <c r="AK313" s="5">
        <v>0</v>
      </c>
      <c r="AL313" s="5">
        <v>0</v>
      </c>
      <c r="AM313" s="5">
        <v>82.27</v>
      </c>
      <c r="AN313" s="5">
        <v>0</v>
      </c>
      <c r="AO313" s="1" t="s">
        <v>1177</v>
      </c>
    </row>
    <row r="314" spans="1:41" x14ac:dyDescent="0.25">
      <c r="A314" s="1">
        <f t="shared" si="6"/>
        <v>298</v>
      </c>
      <c r="B314" s="1" t="s">
        <v>509</v>
      </c>
      <c r="C314" s="1" t="s">
        <v>122</v>
      </c>
      <c r="D314" s="1" t="s">
        <v>735</v>
      </c>
      <c r="E314" s="4">
        <v>45292</v>
      </c>
      <c r="F314" s="4">
        <v>45657</v>
      </c>
      <c r="H314" s="5">
        <v>335729.17</v>
      </c>
      <c r="I314" s="5">
        <v>22779.17</v>
      </c>
      <c r="J314" s="5">
        <v>39600</v>
      </c>
      <c r="K314" s="5">
        <v>21868.75</v>
      </c>
      <c r="L314" s="5">
        <v>0</v>
      </c>
      <c r="M314" s="5">
        <v>84247.92</v>
      </c>
      <c r="N314" s="5">
        <v>251481.25</v>
      </c>
      <c r="O314" s="5">
        <v>0</v>
      </c>
      <c r="P314" s="5">
        <v>0</v>
      </c>
      <c r="Q314" s="5">
        <v>251481.25</v>
      </c>
      <c r="R314" s="1" t="s">
        <v>954</v>
      </c>
      <c r="S314" s="1" t="s">
        <v>735</v>
      </c>
      <c r="T314" s="4">
        <v>45292</v>
      </c>
      <c r="U314" s="4">
        <v>45657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251481.25</v>
      </c>
      <c r="AH314" s="5">
        <v>222.19</v>
      </c>
      <c r="AI314" s="5">
        <v>0</v>
      </c>
      <c r="AJ314" s="5">
        <v>522.30999999999995</v>
      </c>
      <c r="AK314" s="5">
        <v>0</v>
      </c>
      <c r="AL314" s="5">
        <v>0</v>
      </c>
      <c r="AM314" s="5">
        <v>300.12</v>
      </c>
      <c r="AN314" s="5">
        <v>222.19</v>
      </c>
      <c r="AO314" s="1" t="s">
        <v>1177</v>
      </c>
    </row>
    <row r="315" spans="1:41" x14ac:dyDescent="0.25">
      <c r="A315" s="1">
        <f t="shared" si="6"/>
        <v>299</v>
      </c>
      <c r="B315" s="1" t="s">
        <v>1179</v>
      </c>
      <c r="C315" s="1" t="s">
        <v>122</v>
      </c>
      <c r="D315" s="1" t="s">
        <v>735</v>
      </c>
      <c r="E315" s="4">
        <v>45292</v>
      </c>
      <c r="F315" s="4">
        <v>45657</v>
      </c>
      <c r="H315" s="5">
        <v>366562.52</v>
      </c>
      <c r="I315" s="5">
        <v>20205.169999999998</v>
      </c>
      <c r="J315" s="5">
        <v>36250</v>
      </c>
      <c r="K315" s="5">
        <v>21367.5</v>
      </c>
      <c r="L315" s="5">
        <v>0</v>
      </c>
      <c r="M315" s="5">
        <v>77822.67</v>
      </c>
      <c r="N315" s="5">
        <v>221094.57</v>
      </c>
      <c r="O315" s="5">
        <v>0</v>
      </c>
      <c r="P315" s="5">
        <v>67645.279999999999</v>
      </c>
      <c r="Q315" s="5">
        <v>288739.84999999998</v>
      </c>
      <c r="R315" s="1" t="s">
        <v>955</v>
      </c>
      <c r="S315" s="1" t="s">
        <v>735</v>
      </c>
      <c r="T315" s="4">
        <v>45292</v>
      </c>
      <c r="U315" s="4">
        <v>45657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288739.84999999998</v>
      </c>
      <c r="AH315" s="5">
        <v>5810.98</v>
      </c>
      <c r="AI315" s="5">
        <v>0</v>
      </c>
      <c r="AJ315" s="5">
        <v>11803.37</v>
      </c>
      <c r="AK315" s="5">
        <v>0</v>
      </c>
      <c r="AL315" s="5">
        <v>0</v>
      </c>
      <c r="AM315" s="5">
        <v>5992.39</v>
      </c>
      <c r="AN315" s="5">
        <v>5810.98</v>
      </c>
      <c r="AO315" s="1" t="s">
        <v>1177</v>
      </c>
    </row>
    <row r="316" spans="1:41" x14ac:dyDescent="0.25">
      <c r="A316" s="1">
        <f t="shared" si="6"/>
        <v>300</v>
      </c>
      <c r="B316" s="1" t="s">
        <v>510</v>
      </c>
      <c r="C316" s="1" t="s">
        <v>122</v>
      </c>
      <c r="D316" s="1" t="s">
        <v>735</v>
      </c>
      <c r="E316" s="4">
        <v>45292</v>
      </c>
      <c r="F316" s="4">
        <v>45657</v>
      </c>
      <c r="H316" s="5">
        <v>835220.76</v>
      </c>
      <c r="I316" s="5">
        <v>50141.67</v>
      </c>
      <c r="J316" s="5">
        <v>33300</v>
      </c>
      <c r="K316" s="5">
        <v>33542.5</v>
      </c>
      <c r="L316" s="5">
        <v>13000</v>
      </c>
      <c r="M316" s="5">
        <v>129984.17</v>
      </c>
      <c r="N316" s="5">
        <v>568157.5</v>
      </c>
      <c r="O316" s="5">
        <v>0</v>
      </c>
      <c r="P316" s="5">
        <v>137079.09</v>
      </c>
      <c r="Q316" s="5">
        <v>705236.59</v>
      </c>
      <c r="R316" s="1" t="s">
        <v>956</v>
      </c>
      <c r="S316" s="1" t="s">
        <v>735</v>
      </c>
      <c r="T316" s="4">
        <v>45292</v>
      </c>
      <c r="U316" s="4">
        <v>45657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705236.59</v>
      </c>
      <c r="AH316" s="5">
        <v>83547.320000000007</v>
      </c>
      <c r="AI316" s="5">
        <v>0</v>
      </c>
      <c r="AJ316" s="5">
        <v>91065.4</v>
      </c>
      <c r="AK316" s="5">
        <v>0</v>
      </c>
      <c r="AL316" s="5">
        <v>0</v>
      </c>
      <c r="AM316" s="5">
        <v>7518.08</v>
      </c>
      <c r="AN316" s="5">
        <v>83547.320000000007</v>
      </c>
      <c r="AO316" s="1" t="s">
        <v>1177</v>
      </c>
    </row>
    <row r="317" spans="1:41" x14ac:dyDescent="0.25">
      <c r="A317" s="1">
        <f t="shared" si="6"/>
        <v>301</v>
      </c>
      <c r="B317" s="1" t="s">
        <v>511</v>
      </c>
      <c r="C317" s="1" t="s">
        <v>122</v>
      </c>
      <c r="D317" s="1" t="s">
        <v>735</v>
      </c>
      <c r="E317" s="4">
        <v>45292</v>
      </c>
      <c r="F317" s="4">
        <v>45657</v>
      </c>
      <c r="H317" s="5">
        <v>950437.57</v>
      </c>
      <c r="I317" s="5">
        <v>65000</v>
      </c>
      <c r="J317" s="5">
        <v>33300</v>
      </c>
      <c r="K317" s="5">
        <v>38000</v>
      </c>
      <c r="L317" s="5">
        <v>0</v>
      </c>
      <c r="M317" s="5">
        <v>136300</v>
      </c>
      <c r="N317" s="5">
        <v>742000</v>
      </c>
      <c r="O317" s="5">
        <v>0</v>
      </c>
      <c r="P317" s="5">
        <v>72137.570000000007</v>
      </c>
      <c r="Q317" s="5">
        <v>814137.57</v>
      </c>
      <c r="R317" s="1" t="s">
        <v>957</v>
      </c>
      <c r="S317" s="1" t="s">
        <v>735</v>
      </c>
      <c r="T317" s="4">
        <v>45292</v>
      </c>
      <c r="U317" s="4">
        <v>45657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814137.57</v>
      </c>
      <c r="AH317" s="5">
        <v>106034.39</v>
      </c>
      <c r="AI317" s="5">
        <v>0</v>
      </c>
      <c r="AJ317" s="5">
        <v>107502.39999999999</v>
      </c>
      <c r="AK317" s="5">
        <v>0</v>
      </c>
      <c r="AL317" s="5">
        <v>0</v>
      </c>
      <c r="AM317" s="5">
        <v>1468.01</v>
      </c>
      <c r="AN317" s="5">
        <v>106034.39</v>
      </c>
      <c r="AO317" s="1" t="s">
        <v>1177</v>
      </c>
    </row>
    <row r="318" spans="1:41" x14ac:dyDescent="0.25">
      <c r="A318" s="1">
        <f t="shared" si="6"/>
        <v>302</v>
      </c>
      <c r="B318" s="1" t="s">
        <v>512</v>
      </c>
      <c r="C318" s="1" t="s">
        <v>122</v>
      </c>
      <c r="D318" s="1" t="s">
        <v>735</v>
      </c>
      <c r="E318" s="4">
        <v>45292</v>
      </c>
      <c r="F318" s="4">
        <v>45657</v>
      </c>
      <c r="H318" s="5">
        <v>1015506.49</v>
      </c>
      <c r="I318" s="5">
        <v>65000</v>
      </c>
      <c r="J318" s="5">
        <v>33300</v>
      </c>
      <c r="K318" s="5">
        <v>37625</v>
      </c>
      <c r="L318" s="5">
        <v>0</v>
      </c>
      <c r="M318" s="5">
        <v>135925</v>
      </c>
      <c r="N318" s="5">
        <v>742375</v>
      </c>
      <c r="O318" s="5">
        <v>0</v>
      </c>
      <c r="P318" s="5">
        <v>137206.49</v>
      </c>
      <c r="Q318" s="5">
        <v>879581.49</v>
      </c>
      <c r="R318" s="1" t="s">
        <v>958</v>
      </c>
      <c r="S318" s="1" t="s">
        <v>735</v>
      </c>
      <c r="T318" s="4">
        <v>45292</v>
      </c>
      <c r="U318" s="4">
        <v>45657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879581.49</v>
      </c>
      <c r="AH318" s="5">
        <v>122395.37</v>
      </c>
      <c r="AI318" s="5">
        <v>0</v>
      </c>
      <c r="AJ318" s="5">
        <v>123044.55</v>
      </c>
      <c r="AK318" s="5">
        <v>0</v>
      </c>
      <c r="AL318" s="5">
        <v>0</v>
      </c>
      <c r="AM318" s="5">
        <v>649.17999999999995</v>
      </c>
      <c r="AN318" s="5">
        <v>122395.37</v>
      </c>
      <c r="AO318" s="1" t="s">
        <v>1177</v>
      </c>
    </row>
    <row r="319" spans="1:41" x14ac:dyDescent="0.25">
      <c r="A319" s="1">
        <f t="shared" si="6"/>
        <v>303</v>
      </c>
      <c r="B319" s="1" t="s">
        <v>513</v>
      </c>
      <c r="C319" s="1" t="s">
        <v>122</v>
      </c>
      <c r="D319" s="1" t="s">
        <v>735</v>
      </c>
      <c r="E319" s="4">
        <v>45292</v>
      </c>
      <c r="F319" s="4">
        <v>45657</v>
      </c>
      <c r="H319" s="5">
        <v>294107.78999999998</v>
      </c>
      <c r="I319" s="5">
        <v>18000</v>
      </c>
      <c r="J319" s="5">
        <v>33300</v>
      </c>
      <c r="K319" s="5">
        <v>19085</v>
      </c>
      <c r="L319" s="5">
        <v>0</v>
      </c>
      <c r="M319" s="5">
        <v>70385</v>
      </c>
      <c r="N319" s="5">
        <v>196915</v>
      </c>
      <c r="O319" s="5">
        <v>0</v>
      </c>
      <c r="P319" s="5">
        <v>26807.79</v>
      </c>
      <c r="Q319" s="5">
        <v>223722.79</v>
      </c>
      <c r="R319" s="1" t="s">
        <v>959</v>
      </c>
      <c r="S319" s="1" t="s">
        <v>735</v>
      </c>
      <c r="T319" s="4">
        <v>45292</v>
      </c>
      <c r="U319" s="4">
        <v>45657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223722.79</v>
      </c>
      <c r="AH319" s="5">
        <v>0</v>
      </c>
      <c r="AI319" s="5">
        <v>0</v>
      </c>
      <c r="AJ319" s="5">
        <v>1386.28</v>
      </c>
      <c r="AK319" s="5">
        <v>0</v>
      </c>
      <c r="AL319" s="5">
        <v>0</v>
      </c>
      <c r="AM319" s="5">
        <v>1386.28</v>
      </c>
      <c r="AN319" s="5">
        <v>0</v>
      </c>
      <c r="AO319" s="1" t="s">
        <v>1177</v>
      </c>
    </row>
    <row r="320" spans="1:41" x14ac:dyDescent="0.25">
      <c r="A320" s="1">
        <f t="shared" si="6"/>
        <v>304</v>
      </c>
      <c r="B320" s="1" t="s">
        <v>1180</v>
      </c>
      <c r="C320" s="1" t="s">
        <v>122</v>
      </c>
      <c r="D320" s="1" t="s">
        <v>735</v>
      </c>
      <c r="E320" s="4">
        <v>45292</v>
      </c>
      <c r="F320" s="4">
        <v>45657</v>
      </c>
      <c r="H320" s="5">
        <v>259657.48</v>
      </c>
      <c r="I320" s="5">
        <v>17062.5</v>
      </c>
      <c r="J320" s="5">
        <v>33300</v>
      </c>
      <c r="K320" s="5">
        <v>17318.75</v>
      </c>
      <c r="L320" s="5">
        <v>0</v>
      </c>
      <c r="M320" s="5">
        <v>67681.25</v>
      </c>
      <c r="N320" s="5">
        <v>187431.25</v>
      </c>
      <c r="O320" s="5">
        <v>0</v>
      </c>
      <c r="P320" s="5">
        <v>4544.9799999999996</v>
      </c>
      <c r="Q320" s="5">
        <v>191976.23</v>
      </c>
      <c r="R320" s="1" t="s">
        <v>960</v>
      </c>
      <c r="S320" s="1" t="s">
        <v>735</v>
      </c>
      <c r="T320" s="4">
        <v>45292</v>
      </c>
      <c r="U320" s="4">
        <v>45657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191976.23</v>
      </c>
      <c r="AH320" s="5">
        <v>0</v>
      </c>
      <c r="AI320" s="5">
        <v>0</v>
      </c>
      <c r="AJ320" s="5">
        <v>121.93</v>
      </c>
      <c r="AK320" s="5">
        <v>0</v>
      </c>
      <c r="AL320" s="5">
        <v>0</v>
      </c>
      <c r="AM320" s="5">
        <v>121.93</v>
      </c>
      <c r="AN320" s="5">
        <v>0</v>
      </c>
      <c r="AO320" s="1" t="s">
        <v>1177</v>
      </c>
    </row>
    <row r="321" spans="1:41" x14ac:dyDescent="0.25">
      <c r="A321" s="1">
        <f t="shared" si="6"/>
        <v>305</v>
      </c>
      <c r="B321" s="1" t="s">
        <v>514</v>
      </c>
      <c r="C321" s="1" t="s">
        <v>122</v>
      </c>
      <c r="D321" s="1" t="s">
        <v>735</v>
      </c>
      <c r="E321" s="4">
        <v>45292</v>
      </c>
      <c r="F321" s="4">
        <v>45657</v>
      </c>
      <c r="H321" s="5">
        <v>339629.17</v>
      </c>
      <c r="I321" s="5">
        <v>22987.88</v>
      </c>
      <c r="J321" s="5">
        <v>39600</v>
      </c>
      <c r="K321" s="5">
        <v>22133.82</v>
      </c>
      <c r="L321" s="5">
        <v>0</v>
      </c>
      <c r="M321" s="5">
        <v>84721.7</v>
      </c>
      <c r="N321" s="5">
        <v>253720.68</v>
      </c>
      <c r="O321" s="5">
        <v>0</v>
      </c>
      <c r="P321" s="5">
        <v>1186.79</v>
      </c>
      <c r="Q321" s="5">
        <v>254907.47</v>
      </c>
      <c r="R321" s="1" t="s">
        <v>961</v>
      </c>
      <c r="S321" s="1" t="s">
        <v>735</v>
      </c>
      <c r="T321" s="4">
        <v>45292</v>
      </c>
      <c r="U321" s="4">
        <v>45657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254907.47</v>
      </c>
      <c r="AH321" s="5">
        <v>736.12</v>
      </c>
      <c r="AI321" s="5">
        <v>0</v>
      </c>
      <c r="AJ321" s="5">
        <v>1523.25</v>
      </c>
      <c r="AK321" s="5">
        <v>0</v>
      </c>
      <c r="AL321" s="5">
        <v>0</v>
      </c>
      <c r="AM321" s="5">
        <v>787.13</v>
      </c>
      <c r="AN321" s="5">
        <v>736.12</v>
      </c>
      <c r="AO321" s="1" t="s">
        <v>1177</v>
      </c>
    </row>
    <row r="322" spans="1:41" x14ac:dyDescent="0.25">
      <c r="A322" s="1">
        <f t="shared" si="6"/>
        <v>306</v>
      </c>
      <c r="B322" s="1" t="s">
        <v>515</v>
      </c>
      <c r="C322" s="1" t="s">
        <v>122</v>
      </c>
      <c r="D322" s="1" t="s">
        <v>735</v>
      </c>
      <c r="E322" s="4">
        <v>45292</v>
      </c>
      <c r="F322" s="4">
        <v>45657</v>
      </c>
      <c r="H322" s="5">
        <v>460872.87</v>
      </c>
      <c r="I322" s="5">
        <v>23474.63</v>
      </c>
      <c r="J322" s="5">
        <v>39600</v>
      </c>
      <c r="K322" s="5">
        <v>24934.85</v>
      </c>
      <c r="L322" s="5">
        <v>0</v>
      </c>
      <c r="M322" s="5">
        <v>88009.48</v>
      </c>
      <c r="N322" s="5">
        <v>256760.65</v>
      </c>
      <c r="O322" s="5">
        <v>0</v>
      </c>
      <c r="P322" s="5">
        <v>116102.74</v>
      </c>
      <c r="Q322" s="5">
        <v>372863.39</v>
      </c>
      <c r="R322" s="1" t="s">
        <v>962</v>
      </c>
      <c r="S322" s="1" t="s">
        <v>735</v>
      </c>
      <c r="T322" s="4">
        <v>45292</v>
      </c>
      <c r="U322" s="4">
        <v>45657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372863.39</v>
      </c>
      <c r="AH322" s="5">
        <v>18429.509999999998</v>
      </c>
      <c r="AI322" s="5">
        <v>0</v>
      </c>
      <c r="AJ322" s="5">
        <v>20139.71</v>
      </c>
      <c r="AK322" s="5">
        <v>0</v>
      </c>
      <c r="AL322" s="5">
        <v>0</v>
      </c>
      <c r="AM322" s="5">
        <v>1710.2</v>
      </c>
      <c r="AN322" s="5">
        <v>18429.509999999998</v>
      </c>
      <c r="AO322" s="1" t="s">
        <v>1177</v>
      </c>
    </row>
    <row r="323" spans="1:41" x14ac:dyDescent="0.25">
      <c r="A323" s="1">
        <f t="shared" si="6"/>
        <v>307</v>
      </c>
      <c r="B323" s="1" t="s">
        <v>516</v>
      </c>
      <c r="C323" s="1" t="s">
        <v>122</v>
      </c>
      <c r="D323" s="1" t="s">
        <v>735</v>
      </c>
      <c r="E323" s="4">
        <v>45292</v>
      </c>
      <c r="F323" s="4">
        <v>45657</v>
      </c>
      <c r="H323" s="5">
        <v>448286.74</v>
      </c>
      <c r="I323" s="5">
        <v>29885.06</v>
      </c>
      <c r="J323" s="5">
        <v>28050</v>
      </c>
      <c r="K323" s="5">
        <v>27477.5</v>
      </c>
      <c r="L323" s="5">
        <v>0</v>
      </c>
      <c r="M323" s="5">
        <v>85412.56</v>
      </c>
      <c r="N323" s="5">
        <v>331143.19</v>
      </c>
      <c r="O323" s="5">
        <v>0</v>
      </c>
      <c r="P323" s="5">
        <v>31730.99</v>
      </c>
      <c r="Q323" s="5">
        <v>362874.18</v>
      </c>
      <c r="R323" s="1" t="s">
        <v>963</v>
      </c>
      <c r="S323" s="1" t="s">
        <v>735</v>
      </c>
      <c r="T323" s="4">
        <v>45292</v>
      </c>
      <c r="U323" s="4">
        <v>45657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362874.18</v>
      </c>
      <c r="AH323" s="5">
        <v>16931.13</v>
      </c>
      <c r="AI323" s="5">
        <v>0</v>
      </c>
      <c r="AJ323" s="5">
        <v>16720.87</v>
      </c>
      <c r="AK323" s="5">
        <v>0</v>
      </c>
      <c r="AL323" s="5">
        <v>210.26</v>
      </c>
      <c r="AM323" s="5">
        <v>0</v>
      </c>
      <c r="AN323" s="5">
        <v>16931.13</v>
      </c>
      <c r="AO323" s="1" t="s">
        <v>1177</v>
      </c>
    </row>
    <row r="324" spans="1:41" x14ac:dyDescent="0.25">
      <c r="A324" s="1">
        <f t="shared" si="6"/>
        <v>308</v>
      </c>
      <c r="B324" s="1" t="s">
        <v>517</v>
      </c>
      <c r="C324" s="1" t="s">
        <v>122</v>
      </c>
      <c r="D324" s="1" t="s">
        <v>735</v>
      </c>
      <c r="E324" s="4">
        <v>45292</v>
      </c>
      <c r="F324" s="4">
        <v>45657</v>
      </c>
      <c r="H324" s="5">
        <v>456199.61</v>
      </c>
      <c r="I324" s="5">
        <v>30000</v>
      </c>
      <c r="J324" s="5">
        <v>28050</v>
      </c>
      <c r="K324" s="5">
        <v>27500</v>
      </c>
      <c r="L324" s="5">
        <v>0</v>
      </c>
      <c r="M324" s="5">
        <v>85550</v>
      </c>
      <c r="N324" s="5">
        <v>332500</v>
      </c>
      <c r="O324" s="5">
        <v>0</v>
      </c>
      <c r="P324" s="5">
        <v>38149.61</v>
      </c>
      <c r="Q324" s="5">
        <v>370649.61</v>
      </c>
      <c r="R324" s="1" t="s">
        <v>964</v>
      </c>
      <c r="S324" s="1" t="s">
        <v>735</v>
      </c>
      <c r="T324" s="4">
        <v>45292</v>
      </c>
      <c r="U324" s="4">
        <v>45657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370649.61</v>
      </c>
      <c r="AH324" s="5">
        <v>18097.439999999999</v>
      </c>
      <c r="AI324" s="5">
        <v>0</v>
      </c>
      <c r="AJ324" s="5">
        <v>18499.61</v>
      </c>
      <c r="AK324" s="5">
        <v>0</v>
      </c>
      <c r="AL324" s="5">
        <v>0</v>
      </c>
      <c r="AM324" s="5">
        <v>402.17</v>
      </c>
      <c r="AN324" s="5">
        <v>18097.439999999999</v>
      </c>
      <c r="AO324" s="1" t="s">
        <v>1177</v>
      </c>
    </row>
    <row r="325" spans="1:41" x14ac:dyDescent="0.25">
      <c r="A325" s="1">
        <f t="shared" si="6"/>
        <v>309</v>
      </c>
      <c r="B325" s="1" t="s">
        <v>518</v>
      </c>
      <c r="C325" s="1" t="s">
        <v>122</v>
      </c>
      <c r="D325" s="1" t="s">
        <v>735</v>
      </c>
      <c r="E325" s="4">
        <v>45292</v>
      </c>
      <c r="F325" s="4">
        <v>45657</v>
      </c>
      <c r="H325" s="5">
        <v>461105.91</v>
      </c>
      <c r="I325" s="5">
        <v>29770.12</v>
      </c>
      <c r="J325" s="5">
        <v>28050</v>
      </c>
      <c r="K325" s="5">
        <v>27500</v>
      </c>
      <c r="L325" s="5">
        <v>0</v>
      </c>
      <c r="M325" s="5">
        <v>85320.12</v>
      </c>
      <c r="N325" s="5">
        <v>329741.38</v>
      </c>
      <c r="O325" s="5">
        <v>0</v>
      </c>
      <c r="P325" s="5">
        <v>46044.41</v>
      </c>
      <c r="Q325" s="5">
        <v>375785.79</v>
      </c>
      <c r="R325" s="1" t="s">
        <v>965</v>
      </c>
      <c r="S325" s="1" t="s">
        <v>735</v>
      </c>
      <c r="T325" s="4">
        <v>45292</v>
      </c>
      <c r="U325" s="4">
        <v>45657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375785.79</v>
      </c>
      <c r="AH325" s="5">
        <v>18867.87</v>
      </c>
      <c r="AI325" s="5">
        <v>0</v>
      </c>
      <c r="AJ325" s="5">
        <v>19181.53</v>
      </c>
      <c r="AK325" s="5">
        <v>0</v>
      </c>
      <c r="AL325" s="5">
        <v>0</v>
      </c>
      <c r="AM325" s="5">
        <v>313.66000000000003</v>
      </c>
      <c r="AN325" s="5">
        <v>18867.87</v>
      </c>
      <c r="AO325" s="1" t="s">
        <v>1177</v>
      </c>
    </row>
    <row r="326" spans="1:41" x14ac:dyDescent="0.25">
      <c r="A326" s="1">
        <f t="shared" si="6"/>
        <v>310</v>
      </c>
      <c r="B326" s="1" t="s">
        <v>519</v>
      </c>
      <c r="C326" s="1" t="s">
        <v>122</v>
      </c>
      <c r="D326" s="1" t="s">
        <v>735</v>
      </c>
      <c r="E326" s="4">
        <v>45292</v>
      </c>
      <c r="F326" s="4">
        <v>45657</v>
      </c>
      <c r="H326" s="5">
        <v>448269.38</v>
      </c>
      <c r="I326" s="5">
        <v>30000</v>
      </c>
      <c r="J326" s="5">
        <v>28050</v>
      </c>
      <c r="K326" s="5">
        <v>27500</v>
      </c>
      <c r="L326" s="5">
        <v>0</v>
      </c>
      <c r="M326" s="5">
        <v>85550</v>
      </c>
      <c r="N326" s="5">
        <v>332500</v>
      </c>
      <c r="O326" s="5">
        <v>0</v>
      </c>
      <c r="P326" s="5">
        <v>30219.38</v>
      </c>
      <c r="Q326" s="5">
        <v>362719.38</v>
      </c>
      <c r="R326" s="1" t="s">
        <v>966</v>
      </c>
      <c r="S326" s="1" t="s">
        <v>735</v>
      </c>
      <c r="T326" s="4">
        <v>45292</v>
      </c>
      <c r="U326" s="4">
        <v>45657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362719.38</v>
      </c>
      <c r="AH326" s="5">
        <v>16907.91</v>
      </c>
      <c r="AI326" s="5">
        <v>0</v>
      </c>
      <c r="AJ326" s="5">
        <v>16868.78</v>
      </c>
      <c r="AK326" s="5">
        <v>0</v>
      </c>
      <c r="AL326" s="5">
        <v>39.130000000000003</v>
      </c>
      <c r="AM326" s="5">
        <v>0</v>
      </c>
      <c r="AN326" s="5">
        <v>16907.91</v>
      </c>
      <c r="AO326" s="1" t="s">
        <v>1177</v>
      </c>
    </row>
    <row r="327" spans="1:41" x14ac:dyDescent="0.25">
      <c r="A327" s="1">
        <f t="shared" si="6"/>
        <v>311</v>
      </c>
      <c r="B327" s="1" t="s">
        <v>520</v>
      </c>
      <c r="C327" s="1" t="s">
        <v>122</v>
      </c>
      <c r="D327" s="1" t="s">
        <v>735</v>
      </c>
      <c r="E327" s="4">
        <v>45292</v>
      </c>
      <c r="F327" s="4">
        <v>45657</v>
      </c>
      <c r="H327" s="5">
        <v>468014.52</v>
      </c>
      <c r="I327" s="5">
        <v>30000</v>
      </c>
      <c r="J327" s="5">
        <v>28050</v>
      </c>
      <c r="K327" s="5">
        <v>27500</v>
      </c>
      <c r="L327" s="5">
        <v>0</v>
      </c>
      <c r="M327" s="5">
        <v>85550</v>
      </c>
      <c r="N327" s="5">
        <v>332500</v>
      </c>
      <c r="O327" s="5">
        <v>0</v>
      </c>
      <c r="P327" s="5">
        <v>49964.52</v>
      </c>
      <c r="Q327" s="5">
        <v>382464.52</v>
      </c>
      <c r="R327" s="1" t="s">
        <v>967</v>
      </c>
      <c r="S327" s="1" t="s">
        <v>735</v>
      </c>
      <c r="T327" s="4">
        <v>45292</v>
      </c>
      <c r="U327" s="4">
        <v>45657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382464.52</v>
      </c>
      <c r="AH327" s="5">
        <v>19869.68</v>
      </c>
      <c r="AI327" s="5">
        <v>0</v>
      </c>
      <c r="AJ327" s="5">
        <v>20514.75</v>
      </c>
      <c r="AK327" s="5">
        <v>0</v>
      </c>
      <c r="AL327" s="5">
        <v>0</v>
      </c>
      <c r="AM327" s="5">
        <v>645.07000000000005</v>
      </c>
      <c r="AN327" s="5">
        <v>19869.68</v>
      </c>
      <c r="AO327" s="1" t="s">
        <v>1177</v>
      </c>
    </row>
    <row r="328" spans="1:41" x14ac:dyDescent="0.25">
      <c r="A328" s="1">
        <f t="shared" si="6"/>
        <v>312</v>
      </c>
      <c r="B328" s="1" t="s">
        <v>521</v>
      </c>
      <c r="C328" s="1" t="s">
        <v>122</v>
      </c>
      <c r="D328" s="1" t="s">
        <v>735</v>
      </c>
      <c r="E328" s="4">
        <v>45292</v>
      </c>
      <c r="F328" s="4">
        <v>45657</v>
      </c>
      <c r="H328" s="5">
        <v>241593.91</v>
      </c>
      <c r="I328" s="5">
        <v>15850</v>
      </c>
      <c r="J328" s="5">
        <v>33300</v>
      </c>
      <c r="K328" s="5">
        <v>16122.5</v>
      </c>
      <c r="L328" s="5">
        <v>0</v>
      </c>
      <c r="M328" s="5">
        <v>65272.5</v>
      </c>
      <c r="N328" s="5">
        <v>174077.5</v>
      </c>
      <c r="O328" s="5">
        <v>0</v>
      </c>
      <c r="P328" s="5">
        <v>2243.91</v>
      </c>
      <c r="Q328" s="5">
        <v>176321.41</v>
      </c>
      <c r="R328" s="1" t="s">
        <v>968</v>
      </c>
      <c r="S328" s="1" t="s">
        <v>735</v>
      </c>
      <c r="T328" s="4">
        <v>45292</v>
      </c>
      <c r="U328" s="4">
        <v>45657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176321.41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1" t="s">
        <v>1177</v>
      </c>
    </row>
    <row r="329" spans="1:41" x14ac:dyDescent="0.25">
      <c r="A329" s="1">
        <f t="shared" si="6"/>
        <v>313</v>
      </c>
      <c r="B329" s="1" t="s">
        <v>522</v>
      </c>
      <c r="C329" s="1" t="s">
        <v>122</v>
      </c>
      <c r="D329" s="1" t="s">
        <v>735</v>
      </c>
      <c r="E329" s="4">
        <v>45292</v>
      </c>
      <c r="F329" s="4">
        <v>45657</v>
      </c>
      <c r="H329" s="5">
        <v>348085.59</v>
      </c>
      <c r="I329" s="5">
        <v>24340</v>
      </c>
      <c r="J329" s="5">
        <v>12000</v>
      </c>
      <c r="K329" s="5">
        <v>23777</v>
      </c>
      <c r="L329" s="5">
        <v>0</v>
      </c>
      <c r="M329" s="5">
        <v>60117</v>
      </c>
      <c r="N329" s="5">
        <v>268303</v>
      </c>
      <c r="O329" s="5">
        <v>0</v>
      </c>
      <c r="P329" s="5">
        <v>19665.59</v>
      </c>
      <c r="Q329" s="5">
        <v>287968.59000000003</v>
      </c>
      <c r="R329" s="1" t="s">
        <v>969</v>
      </c>
      <c r="S329" s="1" t="s">
        <v>735</v>
      </c>
      <c r="T329" s="4">
        <v>45292</v>
      </c>
      <c r="U329" s="4">
        <v>45657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287968.59000000003</v>
      </c>
      <c r="AH329" s="5">
        <v>5695.29</v>
      </c>
      <c r="AI329" s="5">
        <v>0</v>
      </c>
      <c r="AJ329" s="5">
        <v>5694.09</v>
      </c>
      <c r="AK329" s="5">
        <v>0</v>
      </c>
      <c r="AL329" s="5">
        <v>1.2</v>
      </c>
      <c r="AM329" s="5">
        <v>0</v>
      </c>
      <c r="AN329" s="5">
        <v>5695.29</v>
      </c>
      <c r="AO329" s="1" t="s">
        <v>1177</v>
      </c>
    </row>
    <row r="330" spans="1:41" x14ac:dyDescent="0.25">
      <c r="A330" s="1">
        <f t="shared" si="6"/>
        <v>314</v>
      </c>
      <c r="B330" s="1" t="s">
        <v>523</v>
      </c>
      <c r="C330" s="1" t="s">
        <v>122</v>
      </c>
      <c r="D330" s="1" t="s">
        <v>735</v>
      </c>
      <c r="E330" s="4">
        <v>45292</v>
      </c>
      <c r="F330" s="4">
        <v>45657</v>
      </c>
      <c r="H330" s="5">
        <v>869286.26</v>
      </c>
      <c r="I330" s="5">
        <v>65000</v>
      </c>
      <c r="J330" s="5">
        <v>0</v>
      </c>
      <c r="K330" s="5">
        <v>38000</v>
      </c>
      <c r="L330" s="5">
        <v>0</v>
      </c>
      <c r="M330" s="5">
        <v>103000</v>
      </c>
      <c r="N330" s="5">
        <v>742000</v>
      </c>
      <c r="O330" s="5">
        <v>0</v>
      </c>
      <c r="P330" s="5">
        <v>24286.26</v>
      </c>
      <c r="Q330" s="5">
        <v>766286.26</v>
      </c>
      <c r="R330" s="1" t="s">
        <v>970</v>
      </c>
      <c r="S330" s="1" t="s">
        <v>735</v>
      </c>
      <c r="T330" s="4">
        <v>45292</v>
      </c>
      <c r="U330" s="4">
        <v>45657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766286.26</v>
      </c>
      <c r="AH330" s="5">
        <v>95757.25</v>
      </c>
      <c r="AI330" s="5">
        <v>0</v>
      </c>
      <c r="AJ330" s="5">
        <v>98184.28</v>
      </c>
      <c r="AK330" s="5">
        <v>0</v>
      </c>
      <c r="AL330" s="5">
        <v>0</v>
      </c>
      <c r="AM330" s="5">
        <v>2427.0300000000002</v>
      </c>
      <c r="AN330" s="5">
        <v>95757.25</v>
      </c>
      <c r="AO330" s="1" t="s">
        <v>1177</v>
      </c>
    </row>
    <row r="331" spans="1:41" x14ac:dyDescent="0.25">
      <c r="A331" s="1">
        <f t="shared" si="6"/>
        <v>315</v>
      </c>
      <c r="B331" s="1" t="s">
        <v>524</v>
      </c>
      <c r="C331" s="1" t="s">
        <v>122</v>
      </c>
      <c r="D331" s="1" t="s">
        <v>735</v>
      </c>
      <c r="E331" s="4">
        <v>45292</v>
      </c>
      <c r="F331" s="4">
        <v>45657</v>
      </c>
      <c r="H331" s="5">
        <v>921846.27</v>
      </c>
      <c r="I331" s="5">
        <v>65000</v>
      </c>
      <c r="J331" s="5">
        <v>28050</v>
      </c>
      <c r="K331" s="5">
        <v>38000</v>
      </c>
      <c r="L331" s="5">
        <v>0</v>
      </c>
      <c r="M331" s="5">
        <v>131050</v>
      </c>
      <c r="N331" s="5">
        <v>742000</v>
      </c>
      <c r="O331" s="5">
        <v>0</v>
      </c>
      <c r="P331" s="5">
        <v>48796.27</v>
      </c>
      <c r="Q331" s="5">
        <v>790796.27</v>
      </c>
      <c r="R331" s="1" t="s">
        <v>971</v>
      </c>
      <c r="S331" s="1" t="s">
        <v>735</v>
      </c>
      <c r="T331" s="4">
        <v>45292</v>
      </c>
      <c r="U331" s="4">
        <v>45657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790796.27</v>
      </c>
      <c r="AH331" s="5">
        <v>100659.25</v>
      </c>
      <c r="AI331" s="5">
        <v>0</v>
      </c>
      <c r="AJ331" s="5">
        <v>102534.23</v>
      </c>
      <c r="AK331" s="5">
        <v>0</v>
      </c>
      <c r="AL331" s="5">
        <v>0</v>
      </c>
      <c r="AM331" s="5">
        <v>1874.98</v>
      </c>
      <c r="AN331" s="5">
        <v>100659.25</v>
      </c>
      <c r="AO331" s="1" t="s">
        <v>1177</v>
      </c>
    </row>
    <row r="332" spans="1:41" x14ac:dyDescent="0.25">
      <c r="A332" s="1">
        <f t="shared" si="6"/>
        <v>316</v>
      </c>
      <c r="B332" s="1" t="s">
        <v>525</v>
      </c>
      <c r="C332" s="1" t="s">
        <v>122</v>
      </c>
      <c r="D332" s="1" t="s">
        <v>735</v>
      </c>
      <c r="E332" s="4">
        <v>45292</v>
      </c>
      <c r="F332" s="4">
        <v>45657</v>
      </c>
      <c r="H332" s="5">
        <v>1637701.17</v>
      </c>
      <c r="I332" s="5">
        <v>90000</v>
      </c>
      <c r="J332" s="5">
        <v>24000</v>
      </c>
      <c r="K332" s="5">
        <v>48500</v>
      </c>
      <c r="L332" s="5">
        <v>0</v>
      </c>
      <c r="M332" s="5">
        <v>162500</v>
      </c>
      <c r="N332" s="5">
        <v>1290200</v>
      </c>
      <c r="O332" s="5">
        <v>21558.33</v>
      </c>
      <c r="P332" s="5">
        <v>163442.84</v>
      </c>
      <c r="Q332" s="5">
        <v>1475201.17</v>
      </c>
      <c r="R332" s="1" t="s">
        <v>972</v>
      </c>
      <c r="S332" s="1" t="s">
        <v>735</v>
      </c>
      <c r="T332" s="4">
        <v>45292</v>
      </c>
      <c r="U332" s="4">
        <v>45657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1475201.17</v>
      </c>
      <c r="AH332" s="5">
        <v>271300.28999999998</v>
      </c>
      <c r="AI332" s="5">
        <v>0</v>
      </c>
      <c r="AJ332" s="5">
        <v>274340.09000000003</v>
      </c>
      <c r="AK332" s="5">
        <v>0</v>
      </c>
      <c r="AL332" s="5">
        <v>0</v>
      </c>
      <c r="AM332" s="5">
        <v>3039.8</v>
      </c>
      <c r="AN332" s="5">
        <v>271300.28999999998</v>
      </c>
      <c r="AO332" s="1" t="s">
        <v>1177</v>
      </c>
    </row>
    <row r="333" spans="1:41" x14ac:dyDescent="0.25">
      <c r="A333" s="1">
        <f t="shared" si="6"/>
        <v>317</v>
      </c>
      <c r="B333" s="1" t="s">
        <v>526</v>
      </c>
      <c r="C333" s="1" t="s">
        <v>122</v>
      </c>
      <c r="D333" s="1" t="s">
        <v>735</v>
      </c>
      <c r="E333" s="4">
        <v>45292</v>
      </c>
      <c r="F333" s="4">
        <v>45657</v>
      </c>
      <c r="H333" s="5">
        <v>1021022.61</v>
      </c>
      <c r="I333" s="5">
        <v>75000</v>
      </c>
      <c r="J333" s="5">
        <v>18000</v>
      </c>
      <c r="K333" s="5">
        <v>41000</v>
      </c>
      <c r="L333" s="5">
        <v>0</v>
      </c>
      <c r="M333" s="5">
        <v>134000</v>
      </c>
      <c r="N333" s="5">
        <v>859000</v>
      </c>
      <c r="O333" s="5">
        <v>0</v>
      </c>
      <c r="P333" s="5">
        <v>28022.61</v>
      </c>
      <c r="Q333" s="5">
        <v>887022.61</v>
      </c>
      <c r="R333" s="1" t="s">
        <v>973</v>
      </c>
      <c r="S333" s="1" t="s">
        <v>735</v>
      </c>
      <c r="T333" s="4">
        <v>45292</v>
      </c>
      <c r="U333" s="4">
        <v>45657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887022.61</v>
      </c>
      <c r="AH333" s="5">
        <v>124255.65</v>
      </c>
      <c r="AI333" s="5">
        <v>0</v>
      </c>
      <c r="AJ333" s="5">
        <v>125911.51</v>
      </c>
      <c r="AK333" s="5">
        <v>0</v>
      </c>
      <c r="AL333" s="5">
        <v>0</v>
      </c>
      <c r="AM333" s="5">
        <v>1655.86</v>
      </c>
      <c r="AN333" s="5">
        <v>124255.65</v>
      </c>
      <c r="AO333" s="1" t="s">
        <v>1177</v>
      </c>
    </row>
    <row r="334" spans="1:41" x14ac:dyDescent="0.25">
      <c r="A334" s="1">
        <f t="shared" si="6"/>
        <v>318</v>
      </c>
      <c r="B334" s="1" t="s">
        <v>527</v>
      </c>
      <c r="C334" s="1" t="s">
        <v>122</v>
      </c>
      <c r="D334" s="1" t="s">
        <v>735</v>
      </c>
      <c r="E334" s="4">
        <v>45292</v>
      </c>
      <c r="F334" s="4">
        <v>45657</v>
      </c>
      <c r="H334" s="5">
        <v>308624.78000000003</v>
      </c>
      <c r="I334" s="5">
        <v>16794.3</v>
      </c>
      <c r="J334" s="5">
        <v>33300</v>
      </c>
      <c r="K334" s="5">
        <v>19501.25</v>
      </c>
      <c r="L334" s="5">
        <v>0</v>
      </c>
      <c r="M334" s="5">
        <v>69595.55</v>
      </c>
      <c r="N334" s="5">
        <v>182030.36</v>
      </c>
      <c r="O334" s="5">
        <v>0</v>
      </c>
      <c r="P334" s="5">
        <v>56998.87</v>
      </c>
      <c r="Q334" s="5">
        <v>239029.23</v>
      </c>
      <c r="R334" s="1" t="s">
        <v>974</v>
      </c>
      <c r="S334" s="1" t="s">
        <v>735</v>
      </c>
      <c r="T334" s="4">
        <v>45292</v>
      </c>
      <c r="U334" s="4">
        <v>45657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239029.23</v>
      </c>
      <c r="AH334" s="5">
        <v>0</v>
      </c>
      <c r="AI334" s="5">
        <v>0</v>
      </c>
      <c r="AJ334" s="5">
        <v>1907.61</v>
      </c>
      <c r="AK334" s="5">
        <v>0</v>
      </c>
      <c r="AL334" s="5">
        <v>0</v>
      </c>
      <c r="AM334" s="5">
        <v>1907.61</v>
      </c>
      <c r="AN334" s="5">
        <v>0</v>
      </c>
      <c r="AO334" s="1" t="s">
        <v>1177</v>
      </c>
    </row>
    <row r="335" spans="1:41" x14ac:dyDescent="0.25">
      <c r="A335" s="1">
        <f t="shared" si="6"/>
        <v>319</v>
      </c>
      <c r="B335" s="1" t="s">
        <v>528</v>
      </c>
      <c r="C335" s="1" t="s">
        <v>122</v>
      </c>
      <c r="D335" s="1" t="s">
        <v>735</v>
      </c>
      <c r="E335" s="4">
        <v>45292</v>
      </c>
      <c r="F335" s="4">
        <v>45657</v>
      </c>
      <c r="H335" s="5">
        <v>1215964.8700000001</v>
      </c>
      <c r="I335" s="5">
        <v>90000</v>
      </c>
      <c r="J335" s="5">
        <v>33300</v>
      </c>
      <c r="K335" s="5">
        <v>45786.87</v>
      </c>
      <c r="L335" s="5">
        <v>0</v>
      </c>
      <c r="M335" s="5">
        <v>169086.87</v>
      </c>
      <c r="N335" s="5">
        <v>1045688.13</v>
      </c>
      <c r="O335" s="5">
        <v>956.25</v>
      </c>
      <c r="P335" s="5">
        <v>233.62</v>
      </c>
      <c r="Q335" s="5">
        <v>1046878</v>
      </c>
      <c r="R335" s="1" t="s">
        <v>975</v>
      </c>
      <c r="S335" s="1" t="s">
        <v>735</v>
      </c>
      <c r="T335" s="4">
        <v>45292</v>
      </c>
      <c r="U335" s="4">
        <v>45657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1046878</v>
      </c>
      <c r="AH335" s="5">
        <v>164219.5</v>
      </c>
      <c r="AI335" s="5">
        <v>0</v>
      </c>
      <c r="AJ335" s="5">
        <v>164218.28</v>
      </c>
      <c r="AK335" s="5">
        <v>0</v>
      </c>
      <c r="AL335" s="5">
        <v>1.22</v>
      </c>
      <c r="AM335" s="5">
        <v>0</v>
      </c>
      <c r="AN335" s="5">
        <v>164219.5</v>
      </c>
      <c r="AO335" s="1" t="s">
        <v>1177</v>
      </c>
    </row>
    <row r="336" spans="1:41" x14ac:dyDescent="0.25">
      <c r="A336" s="1">
        <f t="shared" si="6"/>
        <v>320</v>
      </c>
      <c r="B336" s="1" t="s">
        <v>529</v>
      </c>
      <c r="C336" s="1" t="s">
        <v>122</v>
      </c>
      <c r="D336" s="1" t="s">
        <v>735</v>
      </c>
      <c r="E336" s="4">
        <v>45292</v>
      </c>
      <c r="F336" s="4">
        <v>45657</v>
      </c>
      <c r="H336" s="5">
        <v>663812.5</v>
      </c>
      <c r="I336" s="5">
        <v>51062.5</v>
      </c>
      <c r="J336" s="5">
        <v>0</v>
      </c>
      <c r="K336" s="5">
        <v>33818.75</v>
      </c>
      <c r="L336" s="5">
        <v>0</v>
      </c>
      <c r="M336" s="5">
        <v>84881.25</v>
      </c>
      <c r="N336" s="5">
        <v>578931.25</v>
      </c>
      <c r="O336" s="5">
        <v>0</v>
      </c>
      <c r="P336" s="5">
        <v>0</v>
      </c>
      <c r="Q336" s="5">
        <v>578931.25</v>
      </c>
      <c r="R336" s="1" t="s">
        <v>976</v>
      </c>
      <c r="S336" s="1" t="s">
        <v>735</v>
      </c>
      <c r="T336" s="4">
        <v>45292</v>
      </c>
      <c r="U336" s="4">
        <v>45657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578931.25</v>
      </c>
      <c r="AH336" s="5">
        <v>58286.25</v>
      </c>
      <c r="AI336" s="5">
        <v>0</v>
      </c>
      <c r="AJ336" s="5">
        <v>58284.65</v>
      </c>
      <c r="AK336" s="5">
        <v>0</v>
      </c>
      <c r="AL336" s="5">
        <v>1.6</v>
      </c>
      <c r="AM336" s="5">
        <v>0</v>
      </c>
      <c r="AN336" s="5">
        <v>58286.25</v>
      </c>
      <c r="AO336" s="1" t="s">
        <v>1177</v>
      </c>
    </row>
    <row r="337" spans="1:41" x14ac:dyDescent="0.25">
      <c r="A337" s="1">
        <f t="shared" si="6"/>
        <v>321</v>
      </c>
      <c r="B337" s="1" t="s">
        <v>530</v>
      </c>
      <c r="C337" s="1" t="s">
        <v>122</v>
      </c>
      <c r="D337" s="1" t="s">
        <v>735</v>
      </c>
      <c r="E337" s="4">
        <v>45292</v>
      </c>
      <c r="F337" s="4">
        <v>45657</v>
      </c>
      <c r="H337" s="5">
        <v>1545035.71</v>
      </c>
      <c r="I337" s="5">
        <v>90000</v>
      </c>
      <c r="J337" s="5">
        <v>24000</v>
      </c>
      <c r="K337" s="5">
        <v>45882.5</v>
      </c>
      <c r="L337" s="5">
        <v>0</v>
      </c>
      <c r="M337" s="5">
        <v>159882.5</v>
      </c>
      <c r="N337" s="5">
        <v>1049417.5</v>
      </c>
      <c r="O337" s="5">
        <v>1275</v>
      </c>
      <c r="P337" s="5">
        <v>334460.71000000002</v>
      </c>
      <c r="Q337" s="5">
        <v>1385153.21</v>
      </c>
      <c r="R337" s="1" t="s">
        <v>977</v>
      </c>
      <c r="S337" s="1" t="s">
        <v>735</v>
      </c>
      <c r="T337" s="4">
        <v>45292</v>
      </c>
      <c r="U337" s="4">
        <v>45657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1385153.21</v>
      </c>
      <c r="AH337" s="5">
        <v>248788.3</v>
      </c>
      <c r="AI337" s="5">
        <v>0</v>
      </c>
      <c r="AJ337" s="5">
        <v>263799.42</v>
      </c>
      <c r="AK337" s="5">
        <v>0</v>
      </c>
      <c r="AL337" s="5">
        <v>0</v>
      </c>
      <c r="AM337" s="5">
        <v>15011.12</v>
      </c>
      <c r="AN337" s="5">
        <v>248788.3</v>
      </c>
      <c r="AO337" s="1" t="s">
        <v>1177</v>
      </c>
    </row>
    <row r="338" spans="1:41" x14ac:dyDescent="0.25">
      <c r="A338" s="1">
        <f t="shared" si="6"/>
        <v>322</v>
      </c>
      <c r="B338" s="1" t="s">
        <v>531</v>
      </c>
      <c r="C338" s="1" t="s">
        <v>122</v>
      </c>
      <c r="D338" s="1" t="s">
        <v>735</v>
      </c>
      <c r="E338" s="4">
        <v>45292</v>
      </c>
      <c r="F338" s="4">
        <v>45657</v>
      </c>
      <c r="H338" s="5">
        <v>1333210.3</v>
      </c>
      <c r="I338" s="5">
        <v>90000</v>
      </c>
      <c r="J338" s="5">
        <v>33300</v>
      </c>
      <c r="K338" s="5">
        <v>45500</v>
      </c>
      <c r="L338" s="5">
        <v>13000</v>
      </c>
      <c r="M338" s="5">
        <v>181800</v>
      </c>
      <c r="N338" s="5">
        <v>1034500</v>
      </c>
      <c r="O338" s="5">
        <v>0</v>
      </c>
      <c r="P338" s="5">
        <v>116910.3</v>
      </c>
      <c r="Q338" s="5">
        <v>1151410.3</v>
      </c>
      <c r="R338" s="1" t="s">
        <v>978</v>
      </c>
      <c r="S338" s="1" t="s">
        <v>735</v>
      </c>
      <c r="T338" s="4">
        <v>45292</v>
      </c>
      <c r="U338" s="4">
        <v>45657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1151410.3</v>
      </c>
      <c r="AH338" s="5">
        <v>190352.58</v>
      </c>
      <c r="AI338" s="5">
        <v>0</v>
      </c>
      <c r="AJ338" s="5">
        <v>193202.09</v>
      </c>
      <c r="AK338" s="5">
        <v>0</v>
      </c>
      <c r="AL338" s="5">
        <v>0</v>
      </c>
      <c r="AM338" s="5">
        <v>2849.52</v>
      </c>
      <c r="AN338" s="5">
        <v>190352.58</v>
      </c>
      <c r="AO338" s="1" t="s">
        <v>1177</v>
      </c>
    </row>
    <row r="339" spans="1:41" x14ac:dyDescent="0.25">
      <c r="A339" s="1">
        <f t="shared" si="6"/>
        <v>323</v>
      </c>
      <c r="B339" s="1" t="s">
        <v>532</v>
      </c>
      <c r="C339" s="1" t="s">
        <v>122</v>
      </c>
      <c r="D339" s="1" t="s">
        <v>735</v>
      </c>
      <c r="E339" s="4">
        <v>45292</v>
      </c>
      <c r="F339" s="4">
        <v>45657</v>
      </c>
      <c r="H339" s="5">
        <v>407820.12</v>
      </c>
      <c r="I339" s="5">
        <v>29166.67</v>
      </c>
      <c r="J339" s="5">
        <v>28050</v>
      </c>
      <c r="K339" s="5">
        <v>26800</v>
      </c>
      <c r="L339" s="5">
        <v>0</v>
      </c>
      <c r="M339" s="5">
        <v>84016.67</v>
      </c>
      <c r="N339" s="5">
        <v>323200</v>
      </c>
      <c r="O339" s="5">
        <v>0</v>
      </c>
      <c r="P339" s="5">
        <v>603.45000000000005</v>
      </c>
      <c r="Q339" s="5">
        <v>323803.45</v>
      </c>
      <c r="R339" s="1" t="s">
        <v>979</v>
      </c>
      <c r="S339" s="1" t="s">
        <v>735</v>
      </c>
      <c r="T339" s="4">
        <v>45292</v>
      </c>
      <c r="U339" s="4">
        <v>45657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323803.45</v>
      </c>
      <c r="AH339" s="5">
        <v>11070.52</v>
      </c>
      <c r="AI339" s="5">
        <v>0</v>
      </c>
      <c r="AJ339" s="5">
        <v>11069.3</v>
      </c>
      <c r="AK339" s="5">
        <v>0</v>
      </c>
      <c r="AL339" s="5">
        <v>1.22</v>
      </c>
      <c r="AM339" s="5">
        <v>0</v>
      </c>
      <c r="AN339" s="5">
        <v>11070.52</v>
      </c>
      <c r="AO339" s="1" t="s">
        <v>1177</v>
      </c>
    </row>
    <row r="340" spans="1:41" x14ac:dyDescent="0.25">
      <c r="A340" s="1">
        <f t="shared" si="6"/>
        <v>324</v>
      </c>
      <c r="B340" s="1" t="s">
        <v>533</v>
      </c>
      <c r="C340" s="1" t="s">
        <v>122</v>
      </c>
      <c r="D340" s="1" t="s">
        <v>735</v>
      </c>
      <c r="E340" s="4">
        <v>45292</v>
      </c>
      <c r="F340" s="4">
        <v>45657</v>
      </c>
      <c r="H340" s="5">
        <v>424608.07</v>
      </c>
      <c r="I340" s="5">
        <v>29166.67</v>
      </c>
      <c r="J340" s="5">
        <v>28050</v>
      </c>
      <c r="K340" s="5">
        <v>26800</v>
      </c>
      <c r="L340" s="5">
        <v>0</v>
      </c>
      <c r="M340" s="5">
        <v>84016.67</v>
      </c>
      <c r="N340" s="5">
        <v>323200</v>
      </c>
      <c r="O340" s="5">
        <v>0</v>
      </c>
      <c r="P340" s="5">
        <v>17391.400000000001</v>
      </c>
      <c r="Q340" s="5">
        <v>340591.4</v>
      </c>
      <c r="R340" s="1" t="s">
        <v>980</v>
      </c>
      <c r="S340" s="1" t="s">
        <v>735</v>
      </c>
      <c r="T340" s="4">
        <v>45292</v>
      </c>
      <c r="U340" s="4">
        <v>45657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340591.4</v>
      </c>
      <c r="AH340" s="5">
        <v>13588.71</v>
      </c>
      <c r="AI340" s="5">
        <v>0</v>
      </c>
      <c r="AJ340" s="5">
        <v>13877.53</v>
      </c>
      <c r="AK340" s="5">
        <v>0</v>
      </c>
      <c r="AL340" s="5">
        <v>0</v>
      </c>
      <c r="AM340" s="5">
        <v>288.82</v>
      </c>
      <c r="AN340" s="5">
        <v>13588.71</v>
      </c>
      <c r="AO340" s="1" t="s">
        <v>1177</v>
      </c>
    </row>
    <row r="341" spans="1:41" x14ac:dyDescent="0.25">
      <c r="A341" s="1">
        <f t="shared" si="6"/>
        <v>325</v>
      </c>
      <c r="B341" s="1" t="s">
        <v>534</v>
      </c>
      <c r="C341" s="1" t="s">
        <v>122</v>
      </c>
      <c r="D341" s="1" t="s">
        <v>735</v>
      </c>
      <c r="E341" s="4">
        <v>45292</v>
      </c>
      <c r="F341" s="4">
        <v>45657</v>
      </c>
      <c r="H341" s="5">
        <v>448730.58</v>
      </c>
      <c r="I341" s="5">
        <v>29166.67</v>
      </c>
      <c r="J341" s="5">
        <v>28050</v>
      </c>
      <c r="K341" s="5">
        <v>26800</v>
      </c>
      <c r="L341" s="5">
        <v>0</v>
      </c>
      <c r="M341" s="5">
        <v>84016.67</v>
      </c>
      <c r="N341" s="5">
        <v>323200</v>
      </c>
      <c r="O341" s="5">
        <v>0</v>
      </c>
      <c r="P341" s="5">
        <v>41513.910000000003</v>
      </c>
      <c r="Q341" s="5">
        <v>364713.91</v>
      </c>
      <c r="R341" s="1" t="s">
        <v>981</v>
      </c>
      <c r="S341" s="1" t="s">
        <v>735</v>
      </c>
      <c r="T341" s="4">
        <v>45292</v>
      </c>
      <c r="U341" s="4">
        <v>45657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364713.91</v>
      </c>
      <c r="AH341" s="5">
        <v>17207.09</v>
      </c>
      <c r="AI341" s="5">
        <v>0</v>
      </c>
      <c r="AJ341" s="5">
        <v>17678.25</v>
      </c>
      <c r="AK341" s="5">
        <v>0</v>
      </c>
      <c r="AL341" s="5">
        <v>0</v>
      </c>
      <c r="AM341" s="5">
        <v>471.16</v>
      </c>
      <c r="AN341" s="5">
        <v>17207.09</v>
      </c>
      <c r="AO341" s="1" t="s">
        <v>1177</v>
      </c>
    </row>
    <row r="342" spans="1:41" x14ac:dyDescent="0.25">
      <c r="A342" s="1">
        <f t="shared" si="6"/>
        <v>326</v>
      </c>
      <c r="B342" s="1" t="s">
        <v>535</v>
      </c>
      <c r="C342" s="1" t="s">
        <v>122</v>
      </c>
      <c r="D342" s="1" t="s">
        <v>735</v>
      </c>
      <c r="E342" s="4">
        <v>45292</v>
      </c>
      <c r="F342" s="4">
        <v>45657</v>
      </c>
      <c r="H342" s="5">
        <v>438162.17</v>
      </c>
      <c r="I342" s="5">
        <v>29166.67</v>
      </c>
      <c r="J342" s="5">
        <v>28050</v>
      </c>
      <c r="K342" s="5">
        <v>26800</v>
      </c>
      <c r="L342" s="5">
        <v>0</v>
      </c>
      <c r="M342" s="5">
        <v>84016.67</v>
      </c>
      <c r="N342" s="5">
        <v>323200</v>
      </c>
      <c r="O342" s="5">
        <v>0</v>
      </c>
      <c r="P342" s="5">
        <v>30945.5</v>
      </c>
      <c r="Q342" s="5">
        <v>354145.5</v>
      </c>
      <c r="R342" s="1" t="s">
        <v>982</v>
      </c>
      <c r="S342" s="1" t="s">
        <v>735</v>
      </c>
      <c r="T342" s="4">
        <v>45292</v>
      </c>
      <c r="U342" s="4">
        <v>45657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354145.5</v>
      </c>
      <c r="AH342" s="5">
        <v>15621.83</v>
      </c>
      <c r="AI342" s="5">
        <v>0</v>
      </c>
      <c r="AJ342" s="5">
        <v>15951.59</v>
      </c>
      <c r="AK342" s="5">
        <v>0</v>
      </c>
      <c r="AL342" s="5">
        <v>0</v>
      </c>
      <c r="AM342" s="5">
        <v>329.77</v>
      </c>
      <c r="AN342" s="5">
        <v>15621.83</v>
      </c>
      <c r="AO342" s="1" t="s">
        <v>1177</v>
      </c>
    </row>
    <row r="343" spans="1:41" x14ac:dyDescent="0.25">
      <c r="A343" s="1">
        <f t="shared" si="6"/>
        <v>327</v>
      </c>
      <c r="B343" s="1" t="s">
        <v>536</v>
      </c>
      <c r="C343" s="1" t="s">
        <v>122</v>
      </c>
      <c r="D343" s="1" t="s">
        <v>735</v>
      </c>
      <c r="E343" s="4">
        <v>45292</v>
      </c>
      <c r="F343" s="4">
        <v>45657</v>
      </c>
      <c r="H343" s="5">
        <v>461822.56</v>
      </c>
      <c r="I343" s="5">
        <v>29166.67</v>
      </c>
      <c r="J343" s="5">
        <v>28050</v>
      </c>
      <c r="K343" s="5">
        <v>26800</v>
      </c>
      <c r="L343" s="5">
        <v>41000</v>
      </c>
      <c r="M343" s="5">
        <v>125016.67</v>
      </c>
      <c r="N343" s="5">
        <v>323200</v>
      </c>
      <c r="O343" s="5">
        <v>0</v>
      </c>
      <c r="P343" s="5">
        <v>13605.89</v>
      </c>
      <c r="Q343" s="5">
        <v>336805.89</v>
      </c>
      <c r="R343" s="1" t="s">
        <v>983</v>
      </c>
      <c r="S343" s="1" t="s">
        <v>735</v>
      </c>
      <c r="T343" s="4">
        <v>45292</v>
      </c>
      <c r="U343" s="4">
        <v>45657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336805.89</v>
      </c>
      <c r="AH343" s="5">
        <v>13020.88</v>
      </c>
      <c r="AI343" s="5">
        <v>0</v>
      </c>
      <c r="AJ343" s="5">
        <v>13073.16</v>
      </c>
      <c r="AK343" s="5">
        <v>0</v>
      </c>
      <c r="AL343" s="5">
        <v>0</v>
      </c>
      <c r="AM343" s="5">
        <v>52.28</v>
      </c>
      <c r="AN343" s="5">
        <v>13020.88</v>
      </c>
      <c r="AO343" s="1" t="s">
        <v>1177</v>
      </c>
    </row>
    <row r="344" spans="1:41" x14ac:dyDescent="0.25">
      <c r="A344" s="1">
        <f t="shared" si="6"/>
        <v>328</v>
      </c>
      <c r="B344" s="1" t="s">
        <v>537</v>
      </c>
      <c r="C344" s="1" t="s">
        <v>122</v>
      </c>
      <c r="D344" s="1" t="s">
        <v>735</v>
      </c>
      <c r="E344" s="4">
        <v>45292</v>
      </c>
      <c r="F344" s="4">
        <v>45657</v>
      </c>
      <c r="H344" s="5">
        <v>407647.71</v>
      </c>
      <c r="I344" s="5">
        <v>29166.67</v>
      </c>
      <c r="J344" s="5">
        <v>28050</v>
      </c>
      <c r="K344" s="5">
        <v>26800</v>
      </c>
      <c r="L344" s="5">
        <v>0</v>
      </c>
      <c r="M344" s="5">
        <v>84016.67</v>
      </c>
      <c r="N344" s="5">
        <v>323200</v>
      </c>
      <c r="O344" s="5">
        <v>0</v>
      </c>
      <c r="P344" s="5">
        <v>431.04</v>
      </c>
      <c r="Q344" s="5">
        <v>323631.03999999998</v>
      </c>
      <c r="R344" s="1" t="s">
        <v>984</v>
      </c>
      <c r="S344" s="1" t="s">
        <v>735</v>
      </c>
      <c r="T344" s="4">
        <v>45292</v>
      </c>
      <c r="U344" s="4">
        <v>45657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323631.03999999998</v>
      </c>
      <c r="AH344" s="5">
        <v>11044.66</v>
      </c>
      <c r="AI344" s="5">
        <v>0</v>
      </c>
      <c r="AJ344" s="5">
        <v>11043.44</v>
      </c>
      <c r="AK344" s="5">
        <v>0</v>
      </c>
      <c r="AL344" s="5">
        <v>1.22</v>
      </c>
      <c r="AM344" s="5">
        <v>0</v>
      </c>
      <c r="AN344" s="5">
        <v>11044.66</v>
      </c>
      <c r="AO344" s="1" t="s">
        <v>1177</v>
      </c>
    </row>
    <row r="345" spans="1:41" x14ac:dyDescent="0.25">
      <c r="A345" s="1">
        <f t="shared" si="6"/>
        <v>329</v>
      </c>
      <c r="B345" s="1" t="s">
        <v>538</v>
      </c>
      <c r="C345" s="1" t="s">
        <v>122</v>
      </c>
      <c r="D345" s="1" t="s">
        <v>735</v>
      </c>
      <c r="E345" s="4">
        <v>45292</v>
      </c>
      <c r="F345" s="4">
        <v>45657</v>
      </c>
      <c r="H345" s="5">
        <v>410371.84000000003</v>
      </c>
      <c r="I345" s="5">
        <v>29166.67</v>
      </c>
      <c r="J345" s="5">
        <v>28050</v>
      </c>
      <c r="K345" s="5">
        <v>26800</v>
      </c>
      <c r="L345" s="5">
        <v>0</v>
      </c>
      <c r="M345" s="5">
        <v>84016.67</v>
      </c>
      <c r="N345" s="5">
        <v>323200</v>
      </c>
      <c r="O345" s="5">
        <v>0</v>
      </c>
      <c r="P345" s="5">
        <v>3155.17</v>
      </c>
      <c r="Q345" s="5">
        <v>326355.17</v>
      </c>
      <c r="R345" s="1" t="s">
        <v>985</v>
      </c>
      <c r="S345" s="1" t="s">
        <v>735</v>
      </c>
      <c r="T345" s="4">
        <v>45292</v>
      </c>
      <c r="U345" s="4">
        <v>45657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326355.17</v>
      </c>
      <c r="AH345" s="5">
        <v>11453.28</v>
      </c>
      <c r="AI345" s="5">
        <v>0</v>
      </c>
      <c r="AJ345" s="5">
        <v>11302.06</v>
      </c>
      <c r="AK345" s="5">
        <v>0</v>
      </c>
      <c r="AL345" s="5">
        <v>151.22</v>
      </c>
      <c r="AM345" s="5">
        <v>0</v>
      </c>
      <c r="AN345" s="5">
        <v>11453.28</v>
      </c>
      <c r="AO345" s="1" t="s">
        <v>1177</v>
      </c>
    </row>
    <row r="346" spans="1:41" x14ac:dyDescent="0.25">
      <c r="A346" s="1">
        <f t="shared" si="6"/>
        <v>330</v>
      </c>
      <c r="B346" s="1" t="s">
        <v>539</v>
      </c>
      <c r="C346" s="1" t="s">
        <v>122</v>
      </c>
      <c r="D346" s="1" t="s">
        <v>735</v>
      </c>
      <c r="E346" s="4">
        <v>45292</v>
      </c>
      <c r="F346" s="4">
        <v>45657</v>
      </c>
      <c r="H346" s="5">
        <v>408216.67</v>
      </c>
      <c r="I346" s="5">
        <v>29166.67</v>
      </c>
      <c r="J346" s="5">
        <v>28050</v>
      </c>
      <c r="K346" s="5">
        <v>26800</v>
      </c>
      <c r="L346" s="5">
        <v>0</v>
      </c>
      <c r="M346" s="5">
        <v>84016.67</v>
      </c>
      <c r="N346" s="5">
        <v>323200</v>
      </c>
      <c r="O346" s="5">
        <v>0</v>
      </c>
      <c r="P346" s="5">
        <v>1000</v>
      </c>
      <c r="Q346" s="5">
        <v>324200</v>
      </c>
      <c r="R346" s="1" t="s">
        <v>986</v>
      </c>
      <c r="S346" s="1" t="s">
        <v>735</v>
      </c>
      <c r="T346" s="4">
        <v>45292</v>
      </c>
      <c r="U346" s="4">
        <v>45657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324200</v>
      </c>
      <c r="AH346" s="5">
        <v>11130</v>
      </c>
      <c r="AI346" s="5">
        <v>0</v>
      </c>
      <c r="AJ346" s="5">
        <v>10978.78</v>
      </c>
      <c r="AK346" s="5">
        <v>0</v>
      </c>
      <c r="AL346" s="5">
        <v>151.22</v>
      </c>
      <c r="AM346" s="5">
        <v>0</v>
      </c>
      <c r="AN346" s="5">
        <v>11130</v>
      </c>
      <c r="AO346" s="1" t="s">
        <v>1177</v>
      </c>
    </row>
    <row r="347" spans="1:41" x14ac:dyDescent="0.25">
      <c r="A347" s="1">
        <f t="shared" si="6"/>
        <v>331</v>
      </c>
      <c r="B347" s="1" t="s">
        <v>540</v>
      </c>
      <c r="C347" s="1" t="s">
        <v>122</v>
      </c>
      <c r="D347" s="1" t="s">
        <v>735</v>
      </c>
      <c r="E347" s="4">
        <v>45292</v>
      </c>
      <c r="F347" s="4">
        <v>45657</v>
      </c>
      <c r="H347" s="5">
        <v>397300</v>
      </c>
      <c r="I347" s="5">
        <v>28000</v>
      </c>
      <c r="J347" s="5">
        <v>33300</v>
      </c>
      <c r="K347" s="5">
        <v>26090</v>
      </c>
      <c r="L347" s="5">
        <v>0</v>
      </c>
      <c r="M347" s="5">
        <v>87390</v>
      </c>
      <c r="N347" s="5">
        <v>309910</v>
      </c>
      <c r="O347" s="5">
        <v>0</v>
      </c>
      <c r="P347" s="5">
        <v>0</v>
      </c>
      <c r="Q347" s="5">
        <v>309910</v>
      </c>
      <c r="R347" s="1" t="s">
        <v>987</v>
      </c>
      <c r="S347" s="1" t="s">
        <v>735</v>
      </c>
      <c r="T347" s="4">
        <v>45292</v>
      </c>
      <c r="U347" s="4">
        <v>45657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309910</v>
      </c>
      <c r="AH347" s="5">
        <v>8986.5</v>
      </c>
      <c r="AI347" s="5">
        <v>0</v>
      </c>
      <c r="AJ347" s="5">
        <v>8985.2800000000007</v>
      </c>
      <c r="AK347" s="5">
        <v>0</v>
      </c>
      <c r="AL347" s="5">
        <v>1.22</v>
      </c>
      <c r="AM347" s="5">
        <v>0</v>
      </c>
      <c r="AN347" s="5">
        <v>8986.5</v>
      </c>
      <c r="AO347" s="1" t="s">
        <v>1177</v>
      </c>
    </row>
    <row r="348" spans="1:41" x14ac:dyDescent="0.25">
      <c r="A348" s="1">
        <f t="shared" si="6"/>
        <v>332</v>
      </c>
      <c r="B348" s="1" t="s">
        <v>541</v>
      </c>
      <c r="C348" s="1" t="s">
        <v>122</v>
      </c>
      <c r="D348" s="1" t="s">
        <v>735</v>
      </c>
      <c r="E348" s="4">
        <v>45292</v>
      </c>
      <c r="F348" s="4">
        <v>45657</v>
      </c>
      <c r="H348" s="5">
        <v>1252645.4099999999</v>
      </c>
      <c r="I348" s="5">
        <v>90000</v>
      </c>
      <c r="J348" s="5">
        <v>33300</v>
      </c>
      <c r="K348" s="5">
        <v>45500</v>
      </c>
      <c r="L348" s="5">
        <v>0</v>
      </c>
      <c r="M348" s="5">
        <v>168800</v>
      </c>
      <c r="N348" s="5">
        <v>1034500</v>
      </c>
      <c r="O348" s="5">
        <v>0</v>
      </c>
      <c r="P348" s="5">
        <v>49345.41</v>
      </c>
      <c r="Q348" s="5">
        <v>1083845.4099999999</v>
      </c>
      <c r="R348" s="1" t="s">
        <v>988</v>
      </c>
      <c r="S348" s="1" t="s">
        <v>735</v>
      </c>
      <c r="T348" s="4">
        <v>45292</v>
      </c>
      <c r="U348" s="4">
        <v>45657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1083845.4099999999</v>
      </c>
      <c r="AH348" s="5">
        <v>173461.35</v>
      </c>
      <c r="AI348" s="5">
        <v>0</v>
      </c>
      <c r="AJ348" s="5">
        <v>173460.16</v>
      </c>
      <c r="AK348" s="5">
        <v>0</v>
      </c>
      <c r="AL348" s="5">
        <v>1.19</v>
      </c>
      <c r="AM348" s="5">
        <v>0</v>
      </c>
      <c r="AN348" s="5">
        <v>173461.35</v>
      </c>
      <c r="AO348" s="1" t="s">
        <v>1177</v>
      </c>
    </row>
    <row r="349" spans="1:41" x14ac:dyDescent="0.25">
      <c r="A349" s="1">
        <f t="shared" si="6"/>
        <v>333</v>
      </c>
      <c r="B349" s="1" t="s">
        <v>542</v>
      </c>
      <c r="C349" s="1" t="s">
        <v>122</v>
      </c>
      <c r="D349" s="1" t="s">
        <v>735</v>
      </c>
      <c r="E349" s="4">
        <v>45292</v>
      </c>
      <c r="F349" s="4">
        <v>45657</v>
      </c>
      <c r="H349" s="5">
        <v>414264.7</v>
      </c>
      <c r="I349" s="5">
        <v>27000</v>
      </c>
      <c r="J349" s="5">
        <v>28050</v>
      </c>
      <c r="K349" s="5">
        <v>26195</v>
      </c>
      <c r="L349" s="5">
        <v>0</v>
      </c>
      <c r="M349" s="5">
        <v>81245</v>
      </c>
      <c r="N349" s="5">
        <v>297805</v>
      </c>
      <c r="O349" s="5">
        <v>0</v>
      </c>
      <c r="P349" s="5">
        <v>35214.699999999997</v>
      </c>
      <c r="Q349" s="5">
        <v>333019.7</v>
      </c>
      <c r="R349" s="1" t="s">
        <v>989</v>
      </c>
      <c r="S349" s="1" t="s">
        <v>735</v>
      </c>
      <c r="T349" s="4">
        <v>45292</v>
      </c>
      <c r="U349" s="4">
        <v>45657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333019.7</v>
      </c>
      <c r="AH349" s="5">
        <v>12452.96</v>
      </c>
      <c r="AI349" s="5">
        <v>0</v>
      </c>
      <c r="AJ349" s="5">
        <v>12643.04</v>
      </c>
      <c r="AK349" s="5">
        <v>0</v>
      </c>
      <c r="AL349" s="5">
        <v>0</v>
      </c>
      <c r="AM349" s="5">
        <v>190.09</v>
      </c>
      <c r="AN349" s="5">
        <v>12452.96</v>
      </c>
      <c r="AO349" s="1" t="s">
        <v>1177</v>
      </c>
    </row>
    <row r="350" spans="1:41" x14ac:dyDescent="0.25">
      <c r="A350" s="1">
        <f t="shared" si="6"/>
        <v>334</v>
      </c>
      <c r="B350" s="1" t="s">
        <v>543</v>
      </c>
      <c r="C350" s="1" t="s">
        <v>122</v>
      </c>
      <c r="D350" s="1" t="s">
        <v>735</v>
      </c>
      <c r="E350" s="4">
        <v>45292</v>
      </c>
      <c r="F350" s="4">
        <v>45657</v>
      </c>
      <c r="H350" s="5">
        <v>897221.07</v>
      </c>
      <c r="I350" s="5">
        <v>60000</v>
      </c>
      <c r="J350" s="5">
        <v>33300</v>
      </c>
      <c r="K350" s="5">
        <v>36500</v>
      </c>
      <c r="L350" s="5">
        <v>0</v>
      </c>
      <c r="M350" s="5">
        <v>129800</v>
      </c>
      <c r="N350" s="5">
        <v>683500</v>
      </c>
      <c r="O350" s="5">
        <v>0</v>
      </c>
      <c r="P350" s="5">
        <v>83921.07</v>
      </c>
      <c r="Q350" s="5">
        <v>767421.07</v>
      </c>
      <c r="R350" s="1" t="s">
        <v>990</v>
      </c>
      <c r="S350" s="1" t="s">
        <v>735</v>
      </c>
      <c r="T350" s="4">
        <v>45292</v>
      </c>
      <c r="U350" s="4">
        <v>45657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767421.07</v>
      </c>
      <c r="AH350" s="5">
        <v>95984.21</v>
      </c>
      <c r="AI350" s="5">
        <v>0</v>
      </c>
      <c r="AJ350" s="5">
        <v>98065.7</v>
      </c>
      <c r="AK350" s="5">
        <v>0</v>
      </c>
      <c r="AL350" s="5">
        <v>0</v>
      </c>
      <c r="AM350" s="5">
        <v>2081.4899999999998</v>
      </c>
      <c r="AN350" s="5">
        <v>95984.21</v>
      </c>
      <c r="AO350" s="1" t="s">
        <v>1177</v>
      </c>
    </row>
    <row r="351" spans="1:41" x14ac:dyDescent="0.25">
      <c r="A351" s="1">
        <f t="shared" ref="A351:A414" si="7">A350+1</f>
        <v>335</v>
      </c>
      <c r="B351" s="1" t="s">
        <v>544</v>
      </c>
      <c r="C351" s="1" t="s">
        <v>122</v>
      </c>
      <c r="D351" s="1" t="s">
        <v>735</v>
      </c>
      <c r="E351" s="4">
        <v>45292</v>
      </c>
      <c r="F351" s="4">
        <v>45657</v>
      </c>
      <c r="H351" s="5">
        <v>305787.15999999997</v>
      </c>
      <c r="I351" s="5">
        <v>20212.5</v>
      </c>
      <c r="J351" s="5">
        <v>35400</v>
      </c>
      <c r="K351" s="5">
        <v>20108.75</v>
      </c>
      <c r="L351" s="5">
        <v>0</v>
      </c>
      <c r="M351" s="5">
        <v>75721.25</v>
      </c>
      <c r="N351" s="5">
        <v>222441.25</v>
      </c>
      <c r="O351" s="5">
        <v>0</v>
      </c>
      <c r="P351" s="5">
        <v>7624.66</v>
      </c>
      <c r="Q351" s="5">
        <v>230065.91</v>
      </c>
      <c r="R351" s="1" t="s">
        <v>991</v>
      </c>
      <c r="S351" s="1" t="s">
        <v>735</v>
      </c>
      <c r="T351" s="4">
        <v>45292</v>
      </c>
      <c r="U351" s="4">
        <v>45657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230065.91</v>
      </c>
      <c r="AH351" s="5">
        <v>0</v>
      </c>
      <c r="AI351" s="5">
        <v>0</v>
      </c>
      <c r="AJ351" s="5">
        <v>152.15</v>
      </c>
      <c r="AK351" s="5">
        <v>0</v>
      </c>
      <c r="AL351" s="5">
        <v>0</v>
      </c>
      <c r="AM351" s="5">
        <v>152.15</v>
      </c>
      <c r="AN351" s="5">
        <v>0</v>
      </c>
      <c r="AO351" s="1" t="s">
        <v>1177</v>
      </c>
    </row>
    <row r="352" spans="1:41" x14ac:dyDescent="0.25">
      <c r="A352" s="1">
        <f t="shared" si="7"/>
        <v>336</v>
      </c>
      <c r="B352" s="1" t="s">
        <v>545</v>
      </c>
      <c r="C352" s="1" t="s">
        <v>122</v>
      </c>
      <c r="D352" s="1" t="s">
        <v>735</v>
      </c>
      <c r="E352" s="4">
        <v>45292</v>
      </c>
      <c r="F352" s="4">
        <v>45657</v>
      </c>
      <c r="H352" s="5">
        <v>297686.45</v>
      </c>
      <c r="I352" s="5">
        <v>17862.07</v>
      </c>
      <c r="J352" s="5">
        <v>33300</v>
      </c>
      <c r="K352" s="5">
        <v>18365</v>
      </c>
      <c r="L352" s="5">
        <v>20000</v>
      </c>
      <c r="M352" s="5">
        <v>89527.07</v>
      </c>
      <c r="N352" s="5">
        <v>195979.82</v>
      </c>
      <c r="O352" s="5">
        <v>0</v>
      </c>
      <c r="P352" s="5">
        <v>12179.56</v>
      </c>
      <c r="Q352" s="5">
        <v>208159.38</v>
      </c>
      <c r="R352" s="1" t="s">
        <v>992</v>
      </c>
      <c r="S352" s="1" t="s">
        <v>735</v>
      </c>
      <c r="T352" s="4">
        <v>45292</v>
      </c>
      <c r="U352" s="4">
        <v>45657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208159.38</v>
      </c>
      <c r="AH352" s="5">
        <v>0</v>
      </c>
      <c r="AI352" s="5">
        <v>0</v>
      </c>
      <c r="AJ352" s="5">
        <v>90.33</v>
      </c>
      <c r="AK352" s="5">
        <v>0</v>
      </c>
      <c r="AL352" s="5">
        <v>0</v>
      </c>
      <c r="AM352" s="5">
        <v>90.33</v>
      </c>
      <c r="AN352" s="5">
        <v>0</v>
      </c>
      <c r="AO352" s="1" t="s">
        <v>1177</v>
      </c>
    </row>
    <row r="353" spans="1:41" x14ac:dyDescent="0.25">
      <c r="A353" s="1">
        <f t="shared" si="7"/>
        <v>337</v>
      </c>
      <c r="B353" s="1" t="s">
        <v>546</v>
      </c>
      <c r="C353" s="1" t="s">
        <v>122</v>
      </c>
      <c r="D353" s="1" t="s">
        <v>735</v>
      </c>
      <c r="E353" s="4">
        <v>45292</v>
      </c>
      <c r="F353" s="4">
        <v>45657</v>
      </c>
      <c r="H353" s="5">
        <v>270846.74</v>
      </c>
      <c r="I353" s="5">
        <v>16609.2</v>
      </c>
      <c r="J353" s="5">
        <v>33300</v>
      </c>
      <c r="K353" s="5">
        <v>17817.5</v>
      </c>
      <c r="L353" s="5">
        <v>0</v>
      </c>
      <c r="M353" s="5">
        <v>67726.7</v>
      </c>
      <c r="N353" s="5">
        <v>181492.84</v>
      </c>
      <c r="O353" s="5">
        <v>0</v>
      </c>
      <c r="P353" s="5">
        <v>21627.200000000001</v>
      </c>
      <c r="Q353" s="5">
        <v>203120.04</v>
      </c>
      <c r="R353" s="1" t="s">
        <v>993</v>
      </c>
      <c r="S353" s="1" t="s">
        <v>735</v>
      </c>
      <c r="T353" s="4">
        <v>45292</v>
      </c>
      <c r="U353" s="4">
        <v>45657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203120.04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1" t="s">
        <v>1177</v>
      </c>
    </row>
    <row r="354" spans="1:41" x14ac:dyDescent="0.25">
      <c r="A354" s="1">
        <f t="shared" si="7"/>
        <v>338</v>
      </c>
      <c r="B354" s="1" t="s">
        <v>547</v>
      </c>
      <c r="C354" s="1" t="s">
        <v>122</v>
      </c>
      <c r="D354" s="1" t="s">
        <v>735</v>
      </c>
      <c r="E354" s="4">
        <v>45292</v>
      </c>
      <c r="F354" s="4">
        <v>45657</v>
      </c>
      <c r="H354" s="5">
        <v>263243.71000000002</v>
      </c>
      <c r="I354" s="5">
        <v>17931.03</v>
      </c>
      <c r="J354" s="5">
        <v>18000</v>
      </c>
      <c r="K354" s="5">
        <v>18162.5</v>
      </c>
      <c r="L354" s="5">
        <v>0</v>
      </c>
      <c r="M354" s="5">
        <v>54093.53</v>
      </c>
      <c r="N354" s="5">
        <v>197009.91</v>
      </c>
      <c r="O354" s="5">
        <v>0</v>
      </c>
      <c r="P354" s="5">
        <v>12140.27</v>
      </c>
      <c r="Q354" s="5">
        <v>209150.18</v>
      </c>
      <c r="R354" s="1" t="s">
        <v>994</v>
      </c>
      <c r="S354" s="1" t="s">
        <v>735</v>
      </c>
      <c r="T354" s="4">
        <v>45292</v>
      </c>
      <c r="U354" s="4">
        <v>45657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209150.18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1" t="s">
        <v>1177</v>
      </c>
    </row>
    <row r="355" spans="1:41" x14ac:dyDescent="0.25">
      <c r="A355" s="1">
        <f t="shared" si="7"/>
        <v>339</v>
      </c>
      <c r="B355" s="1" t="s">
        <v>548</v>
      </c>
      <c r="C355" s="1" t="s">
        <v>122</v>
      </c>
      <c r="D355" s="1" t="s">
        <v>735</v>
      </c>
      <c r="E355" s="4">
        <v>45292</v>
      </c>
      <c r="F355" s="4">
        <v>45657</v>
      </c>
      <c r="H355" s="5">
        <v>285027.06</v>
      </c>
      <c r="I355" s="5">
        <v>19923.37</v>
      </c>
      <c r="J355" s="5">
        <v>18000</v>
      </c>
      <c r="K355" s="5">
        <v>19302.5</v>
      </c>
      <c r="L355" s="5">
        <v>7000</v>
      </c>
      <c r="M355" s="5">
        <v>64225.87</v>
      </c>
      <c r="N355" s="5">
        <v>219777.96</v>
      </c>
      <c r="O355" s="5">
        <v>0</v>
      </c>
      <c r="P355" s="5">
        <v>1023.23</v>
      </c>
      <c r="Q355" s="5">
        <v>220801.19</v>
      </c>
      <c r="R355" s="1" t="s">
        <v>995</v>
      </c>
      <c r="S355" s="1" t="s">
        <v>735</v>
      </c>
      <c r="T355" s="4">
        <v>45292</v>
      </c>
      <c r="U355" s="4">
        <v>45657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220801.19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1" t="s">
        <v>1177</v>
      </c>
    </row>
    <row r="356" spans="1:41" x14ac:dyDescent="0.25">
      <c r="A356" s="1">
        <f t="shared" si="7"/>
        <v>340</v>
      </c>
      <c r="B356" s="1" t="s">
        <v>549</v>
      </c>
      <c r="C356" s="1" t="s">
        <v>122</v>
      </c>
      <c r="D356" s="1" t="s">
        <v>735</v>
      </c>
      <c r="E356" s="4">
        <v>45292</v>
      </c>
      <c r="F356" s="4">
        <v>45657</v>
      </c>
      <c r="H356" s="5">
        <v>1206143.57</v>
      </c>
      <c r="I356" s="5">
        <v>65000</v>
      </c>
      <c r="J356" s="5">
        <v>18000</v>
      </c>
      <c r="K356" s="5">
        <v>38000</v>
      </c>
      <c r="L356" s="5">
        <v>10000</v>
      </c>
      <c r="M356" s="5">
        <v>131000</v>
      </c>
      <c r="N356" s="5">
        <v>742000</v>
      </c>
      <c r="O356" s="5">
        <v>0</v>
      </c>
      <c r="P356" s="5">
        <v>333143.57</v>
      </c>
      <c r="Q356" s="5">
        <v>1075143.57</v>
      </c>
      <c r="R356" s="1" t="s">
        <v>996</v>
      </c>
      <c r="S356" s="1" t="s">
        <v>735</v>
      </c>
      <c r="T356" s="4">
        <v>45292</v>
      </c>
      <c r="U356" s="4">
        <v>45657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1075143.57</v>
      </c>
      <c r="AH356" s="5">
        <v>171285.89</v>
      </c>
      <c r="AI356" s="5">
        <v>0</v>
      </c>
      <c r="AJ356" s="5">
        <v>171578.28</v>
      </c>
      <c r="AK356" s="5">
        <v>0</v>
      </c>
      <c r="AL356" s="5">
        <v>0</v>
      </c>
      <c r="AM356" s="5">
        <v>292.39</v>
      </c>
      <c r="AN356" s="5">
        <v>171285.89</v>
      </c>
      <c r="AO356" s="1" t="s">
        <v>1177</v>
      </c>
    </row>
    <row r="357" spans="1:41" x14ac:dyDescent="0.25">
      <c r="A357" s="1">
        <f t="shared" si="7"/>
        <v>341</v>
      </c>
      <c r="B357" s="1" t="s">
        <v>550</v>
      </c>
      <c r="C357" s="1" t="s">
        <v>122</v>
      </c>
      <c r="D357" s="1" t="s">
        <v>735</v>
      </c>
      <c r="E357" s="4">
        <v>45292</v>
      </c>
      <c r="F357" s="4">
        <v>45657</v>
      </c>
      <c r="H357" s="5">
        <v>296672.51</v>
      </c>
      <c r="I357" s="5">
        <v>17793.099999999999</v>
      </c>
      <c r="J357" s="5">
        <v>18000</v>
      </c>
      <c r="K357" s="5">
        <v>18702.5</v>
      </c>
      <c r="L357" s="5">
        <v>21000</v>
      </c>
      <c r="M357" s="5">
        <v>75495.600000000006</v>
      </c>
      <c r="N357" s="5">
        <v>194814.74</v>
      </c>
      <c r="O357" s="5">
        <v>0</v>
      </c>
      <c r="P357" s="5">
        <v>26362.17</v>
      </c>
      <c r="Q357" s="5">
        <v>221176.91</v>
      </c>
      <c r="R357" s="1" t="s">
        <v>997</v>
      </c>
      <c r="S357" s="1" t="s">
        <v>735</v>
      </c>
      <c r="T357" s="4">
        <v>45292</v>
      </c>
      <c r="U357" s="4">
        <v>45657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221176.91</v>
      </c>
      <c r="AH357" s="5">
        <v>0</v>
      </c>
      <c r="AI357" s="5">
        <v>0</v>
      </c>
      <c r="AJ357" s="5">
        <v>182.14</v>
      </c>
      <c r="AK357" s="5">
        <v>0</v>
      </c>
      <c r="AL357" s="5">
        <v>0</v>
      </c>
      <c r="AM357" s="5">
        <v>182.14</v>
      </c>
      <c r="AN357" s="5">
        <v>0</v>
      </c>
      <c r="AO357" s="1" t="s">
        <v>1177</v>
      </c>
    </row>
    <row r="358" spans="1:41" x14ac:dyDescent="0.25">
      <c r="A358" s="1">
        <f t="shared" si="7"/>
        <v>342</v>
      </c>
      <c r="B358" s="1" t="s">
        <v>551</v>
      </c>
      <c r="C358" s="1" t="s">
        <v>122</v>
      </c>
      <c r="D358" s="1" t="s">
        <v>735</v>
      </c>
      <c r="E358" s="4">
        <v>45292</v>
      </c>
      <c r="F358" s="4">
        <v>45657</v>
      </c>
      <c r="H358" s="5">
        <v>241707.94</v>
      </c>
      <c r="I358" s="5">
        <v>17000</v>
      </c>
      <c r="J358" s="5">
        <v>18000</v>
      </c>
      <c r="K358" s="5">
        <v>16917.5</v>
      </c>
      <c r="L358" s="5">
        <v>0</v>
      </c>
      <c r="M358" s="5">
        <v>51917.5</v>
      </c>
      <c r="N358" s="5">
        <v>187082.5</v>
      </c>
      <c r="O358" s="5">
        <v>0</v>
      </c>
      <c r="P358" s="5">
        <v>2707.94</v>
      </c>
      <c r="Q358" s="5">
        <v>189790.44</v>
      </c>
      <c r="R358" s="1" t="s">
        <v>998</v>
      </c>
      <c r="S358" s="1" t="s">
        <v>735</v>
      </c>
      <c r="T358" s="4">
        <v>45292</v>
      </c>
      <c r="U358" s="4">
        <v>45657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189790.44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1" t="s">
        <v>1177</v>
      </c>
    </row>
    <row r="359" spans="1:41" x14ac:dyDescent="0.25">
      <c r="A359" s="1">
        <f t="shared" si="7"/>
        <v>343</v>
      </c>
      <c r="B359" s="1" t="s">
        <v>552</v>
      </c>
      <c r="C359" s="1" t="s">
        <v>122</v>
      </c>
      <c r="D359" s="1" t="s">
        <v>735</v>
      </c>
      <c r="E359" s="4">
        <v>45292</v>
      </c>
      <c r="F359" s="4">
        <v>45657</v>
      </c>
      <c r="H359" s="5">
        <v>882894.95</v>
      </c>
      <c r="I359" s="5">
        <v>54789.27</v>
      </c>
      <c r="J359" s="5">
        <v>0</v>
      </c>
      <c r="K359" s="5">
        <v>35000</v>
      </c>
      <c r="L359" s="5">
        <v>0</v>
      </c>
      <c r="M359" s="5">
        <v>89789.27</v>
      </c>
      <c r="N359" s="5">
        <v>622471.26</v>
      </c>
      <c r="O359" s="5">
        <v>0</v>
      </c>
      <c r="P359" s="5">
        <v>170634.42</v>
      </c>
      <c r="Q359" s="5">
        <v>793105.68</v>
      </c>
      <c r="R359" s="1" t="s">
        <v>999</v>
      </c>
      <c r="S359" s="1" t="s">
        <v>735</v>
      </c>
      <c r="T359" s="4">
        <v>45292</v>
      </c>
      <c r="U359" s="4">
        <v>45657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793105.68</v>
      </c>
      <c r="AH359" s="5">
        <v>101121.14</v>
      </c>
      <c r="AI359" s="5">
        <v>0</v>
      </c>
      <c r="AJ359" s="5">
        <v>103273.3</v>
      </c>
      <c r="AK359" s="5">
        <v>0</v>
      </c>
      <c r="AL359" s="5">
        <v>0</v>
      </c>
      <c r="AM359" s="5">
        <v>2152.16</v>
      </c>
      <c r="AN359" s="5">
        <v>101121.14</v>
      </c>
      <c r="AO359" s="1" t="s">
        <v>1177</v>
      </c>
    </row>
    <row r="360" spans="1:41" x14ac:dyDescent="0.25">
      <c r="A360" s="1">
        <f t="shared" si="7"/>
        <v>344</v>
      </c>
      <c r="B360" s="1" t="s">
        <v>553</v>
      </c>
      <c r="C360" s="1" t="s">
        <v>122</v>
      </c>
      <c r="D360" s="1" t="s">
        <v>735</v>
      </c>
      <c r="E360" s="4">
        <v>45292</v>
      </c>
      <c r="F360" s="4">
        <v>45657</v>
      </c>
      <c r="H360" s="5">
        <v>333046.94</v>
      </c>
      <c r="I360" s="5">
        <v>18000</v>
      </c>
      <c r="J360" s="5">
        <v>18000</v>
      </c>
      <c r="K360" s="5">
        <v>21155</v>
      </c>
      <c r="L360" s="5">
        <v>0</v>
      </c>
      <c r="M360" s="5">
        <v>57155</v>
      </c>
      <c r="N360" s="5">
        <v>194845</v>
      </c>
      <c r="O360" s="5">
        <v>0</v>
      </c>
      <c r="P360" s="5">
        <v>81046.94</v>
      </c>
      <c r="Q360" s="5">
        <v>275891.94</v>
      </c>
      <c r="R360" s="1" t="s">
        <v>1000</v>
      </c>
      <c r="S360" s="1" t="s">
        <v>735</v>
      </c>
      <c r="T360" s="4">
        <v>45292</v>
      </c>
      <c r="U360" s="4">
        <v>45657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275891.94</v>
      </c>
      <c r="AH360" s="5">
        <v>3883.79</v>
      </c>
      <c r="AI360" s="5">
        <v>0</v>
      </c>
      <c r="AJ360" s="5">
        <v>5725.86</v>
      </c>
      <c r="AK360" s="5">
        <v>0</v>
      </c>
      <c r="AL360" s="5">
        <v>0</v>
      </c>
      <c r="AM360" s="5">
        <v>1842.07</v>
      </c>
      <c r="AN360" s="5">
        <v>3883.79</v>
      </c>
      <c r="AO360" s="1" t="s">
        <v>1177</v>
      </c>
    </row>
    <row r="361" spans="1:41" x14ac:dyDescent="0.25">
      <c r="A361" s="1">
        <f t="shared" si="7"/>
        <v>345</v>
      </c>
      <c r="B361" s="1" t="s">
        <v>554</v>
      </c>
      <c r="C361" s="1" t="s">
        <v>122</v>
      </c>
      <c r="D361" s="1" t="s">
        <v>735</v>
      </c>
      <c r="E361" s="4">
        <v>45292</v>
      </c>
      <c r="F361" s="4">
        <v>45657</v>
      </c>
      <c r="H361" s="5">
        <v>275088.12</v>
      </c>
      <c r="I361" s="5">
        <v>19846.740000000002</v>
      </c>
      <c r="J361" s="5">
        <v>18000</v>
      </c>
      <c r="K361" s="5">
        <v>19167.5</v>
      </c>
      <c r="L361" s="5">
        <v>0</v>
      </c>
      <c r="M361" s="5">
        <v>57014.239999999998</v>
      </c>
      <c r="N361" s="5">
        <v>218073.88</v>
      </c>
      <c r="O361" s="5">
        <v>0</v>
      </c>
      <c r="P361" s="5">
        <v>0</v>
      </c>
      <c r="Q361" s="5">
        <v>218073.88</v>
      </c>
      <c r="R361" s="1" t="s">
        <v>1001</v>
      </c>
      <c r="S361" s="1" t="s">
        <v>735</v>
      </c>
      <c r="T361" s="4">
        <v>45292</v>
      </c>
      <c r="U361" s="4">
        <v>45657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218073.88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1" t="s">
        <v>1177</v>
      </c>
    </row>
    <row r="362" spans="1:41" x14ac:dyDescent="0.25">
      <c r="A362" s="1">
        <f t="shared" si="7"/>
        <v>346</v>
      </c>
      <c r="B362" s="1" t="s">
        <v>555</v>
      </c>
      <c r="C362" s="1" t="s">
        <v>122</v>
      </c>
      <c r="D362" s="1" t="s">
        <v>735</v>
      </c>
      <c r="E362" s="4">
        <v>45292</v>
      </c>
      <c r="F362" s="4">
        <v>45657</v>
      </c>
      <c r="H362" s="5">
        <v>1056308.97</v>
      </c>
      <c r="I362" s="5">
        <v>70000</v>
      </c>
      <c r="J362" s="5">
        <v>0</v>
      </c>
      <c r="K362" s="5">
        <v>39500</v>
      </c>
      <c r="L362" s="5">
        <v>0</v>
      </c>
      <c r="M362" s="5">
        <v>109500</v>
      </c>
      <c r="N362" s="5">
        <v>800500</v>
      </c>
      <c r="O362" s="5">
        <v>0</v>
      </c>
      <c r="P362" s="5">
        <v>146308.97</v>
      </c>
      <c r="Q362" s="5">
        <v>946808.97</v>
      </c>
      <c r="R362" s="1" t="s">
        <v>1002</v>
      </c>
      <c r="S362" s="1" t="s">
        <v>735</v>
      </c>
      <c r="T362" s="4">
        <v>45292</v>
      </c>
      <c r="U362" s="4">
        <v>45657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946808.97</v>
      </c>
      <c r="AH362" s="5">
        <v>139202.23999999999</v>
      </c>
      <c r="AI362" s="5">
        <v>0</v>
      </c>
      <c r="AJ362" s="5">
        <v>138233.19</v>
      </c>
      <c r="AK362" s="5">
        <v>0</v>
      </c>
      <c r="AL362" s="5">
        <v>969.05</v>
      </c>
      <c r="AM362" s="5">
        <v>0</v>
      </c>
      <c r="AN362" s="5">
        <v>139202.23999999999</v>
      </c>
      <c r="AO362" s="1" t="s">
        <v>1177</v>
      </c>
    </row>
    <row r="363" spans="1:41" x14ac:dyDescent="0.25">
      <c r="A363" s="1">
        <f t="shared" si="7"/>
        <v>347</v>
      </c>
      <c r="B363" s="1" t="s">
        <v>556</v>
      </c>
      <c r="C363" s="1" t="s">
        <v>122</v>
      </c>
      <c r="D363" s="1" t="s">
        <v>735</v>
      </c>
      <c r="E363" s="4">
        <v>45292</v>
      </c>
      <c r="F363" s="4">
        <v>45657</v>
      </c>
      <c r="H363" s="5">
        <v>405763.37</v>
      </c>
      <c r="I363" s="5">
        <v>27000</v>
      </c>
      <c r="J363" s="5">
        <v>29800</v>
      </c>
      <c r="K363" s="5">
        <v>26172.5</v>
      </c>
      <c r="L363" s="5">
        <v>0</v>
      </c>
      <c r="M363" s="5">
        <v>82972.5</v>
      </c>
      <c r="N363" s="5">
        <v>297827.5</v>
      </c>
      <c r="O363" s="5">
        <v>0</v>
      </c>
      <c r="P363" s="5">
        <v>24963.37</v>
      </c>
      <c r="Q363" s="5">
        <v>322790.87</v>
      </c>
      <c r="R363" s="1" t="s">
        <v>1003</v>
      </c>
      <c r="S363" s="1" t="s">
        <v>735</v>
      </c>
      <c r="T363" s="4">
        <v>45292</v>
      </c>
      <c r="U363" s="4">
        <v>45657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322790.87</v>
      </c>
      <c r="AH363" s="5">
        <v>10918.63</v>
      </c>
      <c r="AI363" s="5">
        <v>0</v>
      </c>
      <c r="AJ363" s="5">
        <v>10917.42</v>
      </c>
      <c r="AK363" s="5">
        <v>0</v>
      </c>
      <c r="AL363" s="5">
        <v>1.21</v>
      </c>
      <c r="AM363" s="5">
        <v>0</v>
      </c>
      <c r="AN363" s="5">
        <v>10918.63</v>
      </c>
      <c r="AO363" s="1" t="s">
        <v>1177</v>
      </c>
    </row>
    <row r="364" spans="1:41" x14ac:dyDescent="0.25">
      <c r="A364" s="1">
        <f t="shared" si="7"/>
        <v>348</v>
      </c>
      <c r="B364" s="1" t="s">
        <v>557</v>
      </c>
      <c r="C364" s="1" t="s">
        <v>122</v>
      </c>
      <c r="D364" s="1" t="s">
        <v>735</v>
      </c>
      <c r="E364" s="4">
        <v>45292</v>
      </c>
      <c r="F364" s="4">
        <v>45657</v>
      </c>
      <c r="H364" s="5">
        <v>279298.46999999997</v>
      </c>
      <c r="I364" s="5">
        <v>20000</v>
      </c>
      <c r="J364" s="5">
        <v>18000</v>
      </c>
      <c r="K364" s="5">
        <v>19347.5</v>
      </c>
      <c r="L364" s="5">
        <v>0</v>
      </c>
      <c r="M364" s="5">
        <v>57347.5</v>
      </c>
      <c r="N364" s="5">
        <v>220652.5</v>
      </c>
      <c r="O364" s="5">
        <v>0</v>
      </c>
      <c r="P364" s="5">
        <v>1298.47</v>
      </c>
      <c r="Q364" s="5">
        <v>221950.97</v>
      </c>
      <c r="R364" s="1" t="s">
        <v>1004</v>
      </c>
      <c r="S364" s="1" t="s">
        <v>735</v>
      </c>
      <c r="T364" s="4">
        <v>45292</v>
      </c>
      <c r="U364" s="4">
        <v>45657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221950.97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1" t="s">
        <v>1177</v>
      </c>
    </row>
    <row r="365" spans="1:41" x14ac:dyDescent="0.25">
      <c r="A365" s="1">
        <f t="shared" si="7"/>
        <v>349</v>
      </c>
      <c r="B365" s="1" t="s">
        <v>558</v>
      </c>
      <c r="C365" s="1" t="s">
        <v>122</v>
      </c>
      <c r="D365" s="1" t="s">
        <v>735</v>
      </c>
      <c r="E365" s="4">
        <v>45292</v>
      </c>
      <c r="F365" s="4">
        <v>45657</v>
      </c>
      <c r="H365" s="5">
        <v>747999.11</v>
      </c>
      <c r="I365" s="5">
        <v>42000</v>
      </c>
      <c r="J365" s="5">
        <v>37210</v>
      </c>
      <c r="K365" s="5">
        <v>31100</v>
      </c>
      <c r="L365" s="5">
        <v>0</v>
      </c>
      <c r="M365" s="5">
        <v>110310</v>
      </c>
      <c r="N365" s="5">
        <v>472900</v>
      </c>
      <c r="O365" s="5">
        <v>0</v>
      </c>
      <c r="P365" s="5">
        <v>164789.10999999999</v>
      </c>
      <c r="Q365" s="5">
        <v>637689.11</v>
      </c>
      <c r="R365" s="1" t="s">
        <v>1005</v>
      </c>
      <c r="S365" s="1" t="s">
        <v>735</v>
      </c>
      <c r="T365" s="4">
        <v>45292</v>
      </c>
      <c r="U365" s="4">
        <v>45657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637689.11</v>
      </c>
      <c r="AH365" s="5">
        <v>70037.820000000007</v>
      </c>
      <c r="AI365" s="5">
        <v>0</v>
      </c>
      <c r="AJ365" s="5">
        <v>70836.88</v>
      </c>
      <c r="AK365" s="5">
        <v>0</v>
      </c>
      <c r="AL365" s="5">
        <v>0</v>
      </c>
      <c r="AM365" s="5">
        <v>799.06</v>
      </c>
      <c r="AN365" s="5">
        <v>70037.820000000007</v>
      </c>
      <c r="AO365" s="1" t="s">
        <v>1177</v>
      </c>
    </row>
    <row r="366" spans="1:41" x14ac:dyDescent="0.25">
      <c r="A366" s="1">
        <f t="shared" si="7"/>
        <v>350</v>
      </c>
      <c r="B366" s="1" t="s">
        <v>559</v>
      </c>
      <c r="C366" s="1" t="s">
        <v>122</v>
      </c>
      <c r="D366" s="1" t="s">
        <v>735</v>
      </c>
      <c r="E366" s="4">
        <v>45292</v>
      </c>
      <c r="F366" s="4">
        <v>45657</v>
      </c>
      <c r="H366" s="5">
        <v>354450.2</v>
      </c>
      <c r="I366" s="5">
        <v>20000</v>
      </c>
      <c r="J366" s="5">
        <v>18000</v>
      </c>
      <c r="K366" s="5">
        <v>22655</v>
      </c>
      <c r="L366" s="5">
        <v>0</v>
      </c>
      <c r="M366" s="5">
        <v>60655</v>
      </c>
      <c r="N366" s="5">
        <v>217345</v>
      </c>
      <c r="O366" s="5">
        <v>0</v>
      </c>
      <c r="P366" s="5">
        <v>76450.2</v>
      </c>
      <c r="Q366" s="5">
        <v>293795.20000000001</v>
      </c>
      <c r="R366" s="1" t="s">
        <v>1006</v>
      </c>
      <c r="S366" s="1" t="s">
        <v>735</v>
      </c>
      <c r="T366" s="4">
        <v>45292</v>
      </c>
      <c r="U366" s="4">
        <v>45657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293795.20000000001</v>
      </c>
      <c r="AH366" s="5">
        <v>6569.28</v>
      </c>
      <c r="AI366" s="5">
        <v>0</v>
      </c>
      <c r="AJ366" s="5">
        <v>6919.9</v>
      </c>
      <c r="AK366" s="5">
        <v>0</v>
      </c>
      <c r="AL366" s="5">
        <v>0</v>
      </c>
      <c r="AM366" s="5">
        <v>350.62</v>
      </c>
      <c r="AN366" s="5">
        <v>6569.28</v>
      </c>
      <c r="AO366" s="1" t="s">
        <v>1177</v>
      </c>
    </row>
    <row r="367" spans="1:41" x14ac:dyDescent="0.25">
      <c r="A367" s="1">
        <f t="shared" si="7"/>
        <v>351</v>
      </c>
      <c r="B367" s="1" t="s">
        <v>560</v>
      </c>
      <c r="C367" s="1" t="s">
        <v>122</v>
      </c>
      <c r="D367" s="1" t="s">
        <v>735</v>
      </c>
      <c r="E367" s="4">
        <v>45292</v>
      </c>
      <c r="F367" s="4">
        <v>45657</v>
      </c>
      <c r="H367" s="5">
        <v>409634.07</v>
      </c>
      <c r="I367" s="5">
        <v>24904.21</v>
      </c>
      <c r="J367" s="5">
        <v>18000</v>
      </c>
      <c r="K367" s="5">
        <v>25595</v>
      </c>
      <c r="L367" s="5">
        <v>0</v>
      </c>
      <c r="M367" s="5">
        <v>68499.210000000006</v>
      </c>
      <c r="N367" s="5">
        <v>273255.57</v>
      </c>
      <c r="O367" s="5">
        <v>0</v>
      </c>
      <c r="P367" s="5">
        <v>67879.289999999994</v>
      </c>
      <c r="Q367" s="5">
        <v>341134.86</v>
      </c>
      <c r="R367" s="1" t="s">
        <v>1007</v>
      </c>
      <c r="S367" s="1" t="s">
        <v>735</v>
      </c>
      <c r="T367" s="4">
        <v>45292</v>
      </c>
      <c r="U367" s="4">
        <v>45657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341134.86</v>
      </c>
      <c r="AH367" s="5">
        <v>13670.23</v>
      </c>
      <c r="AI367" s="5">
        <v>0</v>
      </c>
      <c r="AJ367" s="5">
        <v>13791.52</v>
      </c>
      <c r="AK367" s="5">
        <v>0</v>
      </c>
      <c r="AL367" s="5">
        <v>0</v>
      </c>
      <c r="AM367" s="5">
        <v>121.29</v>
      </c>
      <c r="AN367" s="5">
        <v>13670.23</v>
      </c>
      <c r="AO367" s="1" t="s">
        <v>1177</v>
      </c>
    </row>
    <row r="368" spans="1:41" x14ac:dyDescent="0.25">
      <c r="A368" s="1">
        <f t="shared" si="7"/>
        <v>352</v>
      </c>
      <c r="B368" s="1" t="s">
        <v>561</v>
      </c>
      <c r="C368" s="1" t="s">
        <v>122</v>
      </c>
      <c r="D368" s="1" t="s">
        <v>735</v>
      </c>
      <c r="E368" s="4">
        <v>45292</v>
      </c>
      <c r="F368" s="4">
        <v>45657</v>
      </c>
      <c r="H368" s="5">
        <v>278431.03999999998</v>
      </c>
      <c r="I368" s="5">
        <v>20000</v>
      </c>
      <c r="J368" s="5">
        <v>18000</v>
      </c>
      <c r="K368" s="5">
        <v>19325</v>
      </c>
      <c r="L368" s="5">
        <v>0</v>
      </c>
      <c r="M368" s="5">
        <v>57325</v>
      </c>
      <c r="N368" s="5">
        <v>220675</v>
      </c>
      <c r="O368" s="5">
        <v>0</v>
      </c>
      <c r="P368" s="5">
        <v>431.04</v>
      </c>
      <c r="Q368" s="5">
        <v>221106.04</v>
      </c>
      <c r="R368" s="1" t="s">
        <v>1008</v>
      </c>
      <c r="S368" s="1" t="s">
        <v>735</v>
      </c>
      <c r="T368" s="4">
        <v>45292</v>
      </c>
      <c r="U368" s="4">
        <v>45657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221106.04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1" t="s">
        <v>1177</v>
      </c>
    </row>
    <row r="369" spans="1:41" x14ac:dyDescent="0.25">
      <c r="A369" s="1">
        <f t="shared" si="7"/>
        <v>353</v>
      </c>
      <c r="B369" s="1" t="s">
        <v>562</v>
      </c>
      <c r="C369" s="1" t="s">
        <v>122</v>
      </c>
      <c r="D369" s="1" t="s">
        <v>735</v>
      </c>
      <c r="E369" s="4">
        <v>45292</v>
      </c>
      <c r="F369" s="4">
        <v>45657</v>
      </c>
      <c r="H369" s="5">
        <v>277300.77</v>
      </c>
      <c r="I369" s="5">
        <v>19846.740000000002</v>
      </c>
      <c r="J369" s="5">
        <v>18000</v>
      </c>
      <c r="K369" s="5">
        <v>19280</v>
      </c>
      <c r="L369" s="5">
        <v>0</v>
      </c>
      <c r="M369" s="5">
        <v>57126.74</v>
      </c>
      <c r="N369" s="5">
        <v>218880.92</v>
      </c>
      <c r="O369" s="5">
        <v>0</v>
      </c>
      <c r="P369" s="5">
        <v>1293.1099999999999</v>
      </c>
      <c r="Q369" s="5">
        <v>220174.03</v>
      </c>
      <c r="R369" s="1" t="s">
        <v>1009</v>
      </c>
      <c r="S369" s="1" t="s">
        <v>735</v>
      </c>
      <c r="T369" s="4">
        <v>45292</v>
      </c>
      <c r="U369" s="4">
        <v>45657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220174.03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1" t="s">
        <v>1177</v>
      </c>
    </row>
    <row r="370" spans="1:41" x14ac:dyDescent="0.25">
      <c r="A370" s="1">
        <f t="shared" si="7"/>
        <v>354</v>
      </c>
      <c r="B370" s="1" t="s">
        <v>563</v>
      </c>
      <c r="C370" s="1" t="s">
        <v>122</v>
      </c>
      <c r="D370" s="1" t="s">
        <v>735</v>
      </c>
      <c r="E370" s="4">
        <v>45292</v>
      </c>
      <c r="F370" s="4">
        <v>45657</v>
      </c>
      <c r="H370" s="5">
        <v>530226.76</v>
      </c>
      <c r="I370" s="5">
        <v>20965.04</v>
      </c>
      <c r="J370" s="5">
        <v>18000</v>
      </c>
      <c r="K370" s="5">
        <v>24277.5</v>
      </c>
      <c r="L370" s="5">
        <v>0</v>
      </c>
      <c r="M370" s="5">
        <v>63242.54</v>
      </c>
      <c r="N370" s="5">
        <v>227302.96</v>
      </c>
      <c r="O370" s="5">
        <v>0</v>
      </c>
      <c r="P370" s="5">
        <v>239681.26</v>
      </c>
      <c r="Q370" s="5">
        <v>466984.22</v>
      </c>
      <c r="R370" s="1" t="s">
        <v>1010</v>
      </c>
      <c r="S370" s="1" t="s">
        <v>735</v>
      </c>
      <c r="T370" s="4">
        <v>45292</v>
      </c>
      <c r="U370" s="4">
        <v>45657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466984.22</v>
      </c>
      <c r="AH370" s="5">
        <v>35896.839999999997</v>
      </c>
      <c r="AI370" s="5">
        <v>0</v>
      </c>
      <c r="AJ370" s="5">
        <v>38186.42</v>
      </c>
      <c r="AK370" s="5">
        <v>0</v>
      </c>
      <c r="AL370" s="5">
        <v>0</v>
      </c>
      <c r="AM370" s="5">
        <v>2289.58</v>
      </c>
      <c r="AN370" s="5">
        <v>35896.839999999997</v>
      </c>
      <c r="AO370" s="1" t="s">
        <v>1177</v>
      </c>
    </row>
    <row r="371" spans="1:41" x14ac:dyDescent="0.25">
      <c r="A371" s="1">
        <f t="shared" si="7"/>
        <v>355</v>
      </c>
      <c r="B371" s="1" t="s">
        <v>564</v>
      </c>
      <c r="C371" s="1" t="s">
        <v>122</v>
      </c>
      <c r="D371" s="1" t="s">
        <v>735</v>
      </c>
      <c r="E371" s="4">
        <v>45292</v>
      </c>
      <c r="F371" s="4">
        <v>45657</v>
      </c>
      <c r="H371" s="5">
        <v>460828.9</v>
      </c>
      <c r="I371" s="5">
        <v>25000</v>
      </c>
      <c r="J371" s="5">
        <v>18000</v>
      </c>
      <c r="K371" s="5">
        <v>25752.5</v>
      </c>
      <c r="L371" s="5">
        <v>0</v>
      </c>
      <c r="M371" s="5">
        <v>68752.5</v>
      </c>
      <c r="N371" s="5">
        <v>274247.5</v>
      </c>
      <c r="O371" s="5">
        <v>0</v>
      </c>
      <c r="P371" s="5">
        <v>117828.9</v>
      </c>
      <c r="Q371" s="5">
        <v>392076.4</v>
      </c>
      <c r="R371" s="1" t="s">
        <v>1011</v>
      </c>
      <c r="S371" s="1" t="s">
        <v>735</v>
      </c>
      <c r="T371" s="4">
        <v>45292</v>
      </c>
      <c r="U371" s="4">
        <v>45657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392076.4</v>
      </c>
      <c r="AH371" s="5">
        <v>21311.46</v>
      </c>
      <c r="AI371" s="5">
        <v>0</v>
      </c>
      <c r="AJ371" s="5">
        <v>22718.75</v>
      </c>
      <c r="AK371" s="5">
        <v>0</v>
      </c>
      <c r="AL371" s="5">
        <v>0</v>
      </c>
      <c r="AM371" s="5">
        <v>1407.29</v>
      </c>
      <c r="AN371" s="5">
        <v>21311.46</v>
      </c>
      <c r="AO371" s="1" t="s">
        <v>1177</v>
      </c>
    </row>
    <row r="372" spans="1:41" x14ac:dyDescent="0.25">
      <c r="A372" s="1">
        <f t="shared" si="7"/>
        <v>356</v>
      </c>
      <c r="B372" s="1" t="s">
        <v>565</v>
      </c>
      <c r="C372" s="1" t="s">
        <v>122</v>
      </c>
      <c r="D372" s="1" t="s">
        <v>735</v>
      </c>
      <c r="E372" s="4">
        <v>45292</v>
      </c>
      <c r="F372" s="4">
        <v>45657</v>
      </c>
      <c r="H372" s="5">
        <v>328551.37</v>
      </c>
      <c r="I372" s="5">
        <v>19923.37</v>
      </c>
      <c r="J372" s="5">
        <v>18000</v>
      </c>
      <c r="K372" s="5">
        <v>21575</v>
      </c>
      <c r="L372" s="5">
        <v>0</v>
      </c>
      <c r="M372" s="5">
        <v>59498.37</v>
      </c>
      <c r="N372" s="5">
        <v>217505.46</v>
      </c>
      <c r="O372" s="5">
        <v>0</v>
      </c>
      <c r="P372" s="5">
        <v>51547.54</v>
      </c>
      <c r="Q372" s="5">
        <v>269053</v>
      </c>
      <c r="R372" s="1" t="s">
        <v>1012</v>
      </c>
      <c r="S372" s="1" t="s">
        <v>735</v>
      </c>
      <c r="T372" s="4">
        <v>45292</v>
      </c>
      <c r="U372" s="4">
        <v>45657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269053</v>
      </c>
      <c r="AH372" s="5">
        <v>2857.95</v>
      </c>
      <c r="AI372" s="5">
        <v>0</v>
      </c>
      <c r="AJ372" s="5">
        <v>3732.32</v>
      </c>
      <c r="AK372" s="5">
        <v>0</v>
      </c>
      <c r="AL372" s="5">
        <v>0</v>
      </c>
      <c r="AM372" s="5">
        <v>874.37</v>
      </c>
      <c r="AN372" s="5">
        <v>2857.95</v>
      </c>
      <c r="AO372" s="1" t="s">
        <v>1177</v>
      </c>
    </row>
    <row r="373" spans="1:41" x14ac:dyDescent="0.25">
      <c r="A373" s="1">
        <f t="shared" si="7"/>
        <v>357</v>
      </c>
      <c r="B373" s="1" t="s">
        <v>566</v>
      </c>
      <c r="C373" s="1" t="s">
        <v>122</v>
      </c>
      <c r="D373" s="1" t="s">
        <v>735</v>
      </c>
      <c r="E373" s="4">
        <v>45292</v>
      </c>
      <c r="F373" s="4">
        <v>45657</v>
      </c>
      <c r="H373" s="5">
        <v>395202.39</v>
      </c>
      <c r="I373" s="5">
        <v>25945.88</v>
      </c>
      <c r="J373" s="5">
        <v>18000</v>
      </c>
      <c r="K373" s="5">
        <v>25372.5</v>
      </c>
      <c r="L373" s="5">
        <v>0</v>
      </c>
      <c r="M373" s="5">
        <v>69318.38</v>
      </c>
      <c r="N373" s="5">
        <v>285978.07</v>
      </c>
      <c r="O373" s="5">
        <v>0</v>
      </c>
      <c r="P373" s="5">
        <v>39905.94</v>
      </c>
      <c r="Q373" s="5">
        <v>325884.01</v>
      </c>
      <c r="R373" s="1" t="s">
        <v>1013</v>
      </c>
      <c r="S373" s="1" t="s">
        <v>735</v>
      </c>
      <c r="T373" s="4">
        <v>45292</v>
      </c>
      <c r="U373" s="4">
        <v>45657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325884.01</v>
      </c>
      <c r="AH373" s="5">
        <v>11382.6</v>
      </c>
      <c r="AI373" s="5">
        <v>0</v>
      </c>
      <c r="AJ373" s="5">
        <v>11460.83</v>
      </c>
      <c r="AK373" s="5">
        <v>0</v>
      </c>
      <c r="AL373" s="5">
        <v>0</v>
      </c>
      <c r="AM373" s="5">
        <v>78.23</v>
      </c>
      <c r="AN373" s="5">
        <v>11382.6</v>
      </c>
      <c r="AO373" s="1" t="s">
        <v>1177</v>
      </c>
    </row>
    <row r="374" spans="1:41" x14ac:dyDescent="0.25">
      <c r="A374" s="1">
        <f t="shared" si="7"/>
        <v>358</v>
      </c>
      <c r="B374" s="1" t="s">
        <v>567</v>
      </c>
      <c r="C374" s="1" t="s">
        <v>122</v>
      </c>
      <c r="D374" s="1" t="s">
        <v>735</v>
      </c>
      <c r="E374" s="4">
        <v>45292</v>
      </c>
      <c r="F374" s="4">
        <v>45657</v>
      </c>
      <c r="H374" s="5">
        <v>1314000</v>
      </c>
      <c r="I374" s="5">
        <v>90000</v>
      </c>
      <c r="J374" s="5">
        <v>24000</v>
      </c>
      <c r="K374" s="5">
        <v>45500</v>
      </c>
      <c r="L374" s="5">
        <v>0</v>
      </c>
      <c r="M374" s="5">
        <v>159500</v>
      </c>
      <c r="N374" s="5">
        <v>1034500</v>
      </c>
      <c r="O374" s="5">
        <v>0</v>
      </c>
      <c r="P374" s="5">
        <v>120000</v>
      </c>
      <c r="Q374" s="5">
        <v>1154500</v>
      </c>
      <c r="R374" s="1" t="s">
        <v>1014</v>
      </c>
      <c r="S374" s="1" t="s">
        <v>735</v>
      </c>
      <c r="T374" s="4">
        <v>45292</v>
      </c>
      <c r="U374" s="4">
        <v>45657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1154500</v>
      </c>
      <c r="AH374" s="5">
        <v>191125</v>
      </c>
      <c r="AI374" s="5">
        <v>0</v>
      </c>
      <c r="AJ374" s="5">
        <v>191123.8</v>
      </c>
      <c r="AK374" s="5">
        <v>0</v>
      </c>
      <c r="AL374" s="5">
        <v>1.2</v>
      </c>
      <c r="AM374" s="5">
        <v>0</v>
      </c>
      <c r="AN374" s="5">
        <v>191125</v>
      </c>
      <c r="AO374" s="1" t="s">
        <v>1177</v>
      </c>
    </row>
    <row r="375" spans="1:41" x14ac:dyDescent="0.25">
      <c r="A375" s="1">
        <f t="shared" si="7"/>
        <v>359</v>
      </c>
      <c r="B375" s="1" t="s">
        <v>568</v>
      </c>
      <c r="C375" s="1" t="s">
        <v>122</v>
      </c>
      <c r="D375" s="1" t="s">
        <v>735</v>
      </c>
      <c r="E375" s="4">
        <v>45292</v>
      </c>
      <c r="F375" s="4">
        <v>45657</v>
      </c>
      <c r="H375" s="5">
        <v>2029000</v>
      </c>
      <c r="I375" s="5">
        <v>90000</v>
      </c>
      <c r="J375" s="5">
        <v>24000</v>
      </c>
      <c r="K375" s="5">
        <v>48500</v>
      </c>
      <c r="L375" s="5">
        <v>0</v>
      </c>
      <c r="M375" s="5">
        <v>162500</v>
      </c>
      <c r="N375" s="5">
        <v>1691500</v>
      </c>
      <c r="O375" s="5">
        <v>55000</v>
      </c>
      <c r="P375" s="5">
        <v>120000</v>
      </c>
      <c r="Q375" s="5">
        <v>1866500</v>
      </c>
      <c r="R375" s="1" t="s">
        <v>1015</v>
      </c>
      <c r="S375" s="1" t="s">
        <v>735</v>
      </c>
      <c r="T375" s="4">
        <v>45292</v>
      </c>
      <c r="U375" s="4">
        <v>45657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1866500</v>
      </c>
      <c r="AH375" s="5">
        <v>369125</v>
      </c>
      <c r="AI375" s="5">
        <v>0</v>
      </c>
      <c r="AJ375" s="5">
        <v>369123.8</v>
      </c>
      <c r="AK375" s="5">
        <v>0</v>
      </c>
      <c r="AL375" s="5">
        <v>1.2</v>
      </c>
      <c r="AM375" s="5">
        <v>0</v>
      </c>
      <c r="AN375" s="5">
        <v>369125</v>
      </c>
      <c r="AO375" s="1" t="s">
        <v>1177</v>
      </c>
    </row>
    <row r="376" spans="1:41" x14ac:dyDescent="0.25">
      <c r="A376" s="1">
        <f t="shared" si="7"/>
        <v>360</v>
      </c>
      <c r="B376" s="1" t="s">
        <v>569</v>
      </c>
      <c r="C376" s="1" t="s">
        <v>122</v>
      </c>
      <c r="D376" s="1" t="s">
        <v>735</v>
      </c>
      <c r="E376" s="4">
        <v>45292</v>
      </c>
      <c r="F376" s="4">
        <v>45657</v>
      </c>
      <c r="H376" s="5">
        <v>985103.44</v>
      </c>
      <c r="I376" s="5">
        <v>70000</v>
      </c>
      <c r="J376" s="5">
        <v>0</v>
      </c>
      <c r="K376" s="5">
        <v>39500</v>
      </c>
      <c r="L376" s="5">
        <v>0</v>
      </c>
      <c r="M376" s="5">
        <v>109500</v>
      </c>
      <c r="N376" s="5">
        <v>800500</v>
      </c>
      <c r="O376" s="5">
        <v>0</v>
      </c>
      <c r="P376" s="5">
        <v>75103.44</v>
      </c>
      <c r="Q376" s="5">
        <v>875603.44</v>
      </c>
      <c r="R376" s="1" t="s">
        <v>1016</v>
      </c>
      <c r="S376" s="1" t="s">
        <v>735</v>
      </c>
      <c r="T376" s="4">
        <v>45292</v>
      </c>
      <c r="U376" s="4">
        <v>45657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875603.44</v>
      </c>
      <c r="AH376" s="5">
        <v>121400.86</v>
      </c>
      <c r="AI376" s="5">
        <v>0</v>
      </c>
      <c r="AJ376" s="5">
        <v>121470.47</v>
      </c>
      <c r="AK376" s="5">
        <v>0</v>
      </c>
      <c r="AL376" s="5">
        <v>0</v>
      </c>
      <c r="AM376" s="5">
        <v>69.61</v>
      </c>
      <c r="AN376" s="5">
        <v>121400.86</v>
      </c>
      <c r="AO376" s="1" t="s">
        <v>1177</v>
      </c>
    </row>
    <row r="377" spans="1:41" x14ac:dyDescent="0.25">
      <c r="A377" s="1">
        <f t="shared" si="7"/>
        <v>361</v>
      </c>
      <c r="B377" s="1" t="s">
        <v>570</v>
      </c>
      <c r="C377" s="1" t="s">
        <v>122</v>
      </c>
      <c r="D377" s="1" t="s">
        <v>735</v>
      </c>
      <c r="E377" s="4">
        <v>45292</v>
      </c>
      <c r="F377" s="4">
        <v>45657</v>
      </c>
      <c r="H377" s="5">
        <v>869000</v>
      </c>
      <c r="I377" s="5">
        <v>65000</v>
      </c>
      <c r="J377" s="5">
        <v>24000</v>
      </c>
      <c r="K377" s="5">
        <v>38000</v>
      </c>
      <c r="L377" s="5">
        <v>0</v>
      </c>
      <c r="M377" s="5">
        <v>127000</v>
      </c>
      <c r="N377" s="5">
        <v>742000</v>
      </c>
      <c r="O377" s="5">
        <v>0</v>
      </c>
      <c r="P377" s="5">
        <v>0</v>
      </c>
      <c r="Q377" s="5">
        <v>742000</v>
      </c>
      <c r="R377" s="1" t="s">
        <v>1017</v>
      </c>
      <c r="S377" s="1" t="s">
        <v>735</v>
      </c>
      <c r="T377" s="4">
        <v>45292</v>
      </c>
      <c r="U377" s="4">
        <v>45657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742000</v>
      </c>
      <c r="AH377" s="5">
        <v>90900</v>
      </c>
      <c r="AI377" s="5">
        <v>0</v>
      </c>
      <c r="AJ377" s="5">
        <v>90898.4</v>
      </c>
      <c r="AK377" s="5">
        <v>0</v>
      </c>
      <c r="AL377" s="5">
        <v>1.6</v>
      </c>
      <c r="AM377" s="5">
        <v>0</v>
      </c>
      <c r="AN377" s="5">
        <v>90900</v>
      </c>
      <c r="AO377" s="1" t="s">
        <v>1177</v>
      </c>
    </row>
    <row r="378" spans="1:41" x14ac:dyDescent="0.25">
      <c r="A378" s="1">
        <f t="shared" si="7"/>
        <v>362</v>
      </c>
      <c r="B378" s="1" t="s">
        <v>571</v>
      </c>
      <c r="C378" s="1" t="s">
        <v>122</v>
      </c>
      <c r="D378" s="1" t="s">
        <v>735</v>
      </c>
      <c r="E378" s="4">
        <v>45299</v>
      </c>
      <c r="F378" s="4">
        <v>45657</v>
      </c>
      <c r="H378" s="5">
        <v>3407583.33</v>
      </c>
      <c r="I378" s="5">
        <v>90000</v>
      </c>
      <c r="J378" s="5">
        <v>40250</v>
      </c>
      <c r="K378" s="5">
        <v>47150</v>
      </c>
      <c r="L378" s="5">
        <v>0</v>
      </c>
      <c r="M378" s="5">
        <v>177400</v>
      </c>
      <c r="N378" s="5">
        <v>2482850</v>
      </c>
      <c r="O378" s="5">
        <v>120833.33</v>
      </c>
      <c r="P378" s="5">
        <v>626500</v>
      </c>
      <c r="Q378" s="5">
        <v>3230183.33</v>
      </c>
      <c r="R378" s="1" t="s">
        <v>1018</v>
      </c>
      <c r="S378" s="1" t="s">
        <v>735</v>
      </c>
      <c r="T378" s="4">
        <v>45299</v>
      </c>
      <c r="U378" s="4">
        <v>45657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3230183.33</v>
      </c>
      <c r="AH378" s="5">
        <v>771555</v>
      </c>
      <c r="AI378" s="5">
        <v>0</v>
      </c>
      <c r="AJ378" s="5">
        <v>629783.4</v>
      </c>
      <c r="AK378" s="5">
        <v>0</v>
      </c>
      <c r="AL378" s="5">
        <v>141771.6</v>
      </c>
      <c r="AM378" s="5">
        <v>0</v>
      </c>
      <c r="AN378" s="5">
        <v>771555</v>
      </c>
      <c r="AO378" s="1" t="s">
        <v>126</v>
      </c>
    </row>
    <row r="379" spans="1:41" x14ac:dyDescent="0.25">
      <c r="A379" s="1">
        <f t="shared" si="7"/>
        <v>363</v>
      </c>
      <c r="B379" s="1" t="s">
        <v>572</v>
      </c>
      <c r="C379" s="1" t="s">
        <v>122</v>
      </c>
      <c r="D379" s="1" t="s">
        <v>735</v>
      </c>
      <c r="E379" s="4">
        <v>45306</v>
      </c>
      <c r="F379" s="4">
        <v>45657</v>
      </c>
      <c r="H379" s="5">
        <v>776761.56</v>
      </c>
      <c r="I379" s="5">
        <v>56379.31</v>
      </c>
      <c r="J379" s="5">
        <v>0</v>
      </c>
      <c r="K379" s="5">
        <v>34706.29</v>
      </c>
      <c r="L379" s="5">
        <v>0</v>
      </c>
      <c r="M379" s="5">
        <v>91085.6</v>
      </c>
      <c r="N379" s="5">
        <v>641845.43000000005</v>
      </c>
      <c r="O379" s="5">
        <v>0</v>
      </c>
      <c r="P379" s="5">
        <v>43830.53</v>
      </c>
      <c r="Q379" s="5">
        <v>685675.96</v>
      </c>
      <c r="R379" s="1" t="s">
        <v>1019</v>
      </c>
      <c r="S379" s="1" t="s">
        <v>735</v>
      </c>
      <c r="T379" s="4">
        <v>45306</v>
      </c>
      <c r="U379" s="4">
        <v>45657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685675.96</v>
      </c>
      <c r="AH379" s="5">
        <v>79635.19</v>
      </c>
      <c r="AI379" s="5">
        <v>0</v>
      </c>
      <c r="AJ379" s="5">
        <v>82218</v>
      </c>
      <c r="AK379" s="5">
        <v>0</v>
      </c>
      <c r="AL379" s="5">
        <v>0</v>
      </c>
      <c r="AM379" s="5">
        <v>2582.81</v>
      </c>
      <c r="AN379" s="5">
        <v>79635.19</v>
      </c>
      <c r="AO379" s="1" t="s">
        <v>126</v>
      </c>
    </row>
    <row r="380" spans="1:41" x14ac:dyDescent="0.25">
      <c r="A380" s="1">
        <f t="shared" si="7"/>
        <v>364</v>
      </c>
      <c r="B380" s="1" t="s">
        <v>573</v>
      </c>
      <c r="C380" s="1" t="s">
        <v>122</v>
      </c>
      <c r="D380" s="1" t="s">
        <v>735</v>
      </c>
      <c r="E380" s="4">
        <v>45306</v>
      </c>
      <c r="F380" s="4">
        <v>45657</v>
      </c>
      <c r="H380" s="5">
        <v>1410378.77</v>
      </c>
      <c r="I380" s="5">
        <v>90000</v>
      </c>
      <c r="J380" s="5">
        <v>23000</v>
      </c>
      <c r="K380" s="5">
        <v>47150</v>
      </c>
      <c r="L380" s="5">
        <v>0</v>
      </c>
      <c r="M380" s="5">
        <v>160150</v>
      </c>
      <c r="N380" s="5">
        <v>1190666.0900000001</v>
      </c>
      <c r="O380" s="5">
        <v>13151.34</v>
      </c>
      <c r="P380" s="5">
        <v>46411.34</v>
      </c>
      <c r="Q380" s="5">
        <v>1250228.77</v>
      </c>
      <c r="R380" s="1" t="s">
        <v>1020</v>
      </c>
      <c r="S380" s="1" t="s">
        <v>735</v>
      </c>
      <c r="T380" s="4">
        <v>45306</v>
      </c>
      <c r="U380" s="4">
        <v>45657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1250228.77</v>
      </c>
      <c r="AH380" s="5">
        <v>215057.19</v>
      </c>
      <c r="AI380" s="5">
        <v>0</v>
      </c>
      <c r="AJ380" s="5">
        <v>221718.53</v>
      </c>
      <c r="AK380" s="5">
        <v>0</v>
      </c>
      <c r="AL380" s="5">
        <v>0</v>
      </c>
      <c r="AM380" s="5">
        <v>6661.34</v>
      </c>
      <c r="AN380" s="5">
        <v>215057.19</v>
      </c>
      <c r="AO380" s="1" t="s">
        <v>126</v>
      </c>
    </row>
    <row r="381" spans="1:41" x14ac:dyDescent="0.25">
      <c r="A381" s="1">
        <f t="shared" si="7"/>
        <v>365</v>
      </c>
      <c r="B381" s="1" t="s">
        <v>574</v>
      </c>
      <c r="C381" s="1" t="s">
        <v>122</v>
      </c>
      <c r="D381" s="1" t="s">
        <v>735</v>
      </c>
      <c r="E381" s="4">
        <v>45313</v>
      </c>
      <c r="F381" s="4">
        <v>45657</v>
      </c>
      <c r="H381" s="5">
        <v>281659.01</v>
      </c>
      <c r="I381" s="5">
        <v>20250.96</v>
      </c>
      <c r="J381" s="5">
        <v>16500</v>
      </c>
      <c r="K381" s="5">
        <v>19477.5</v>
      </c>
      <c r="L381" s="5">
        <v>0</v>
      </c>
      <c r="M381" s="5">
        <v>56228.46</v>
      </c>
      <c r="N381" s="5">
        <v>223533.99</v>
      </c>
      <c r="O381" s="5">
        <v>0</v>
      </c>
      <c r="P381" s="5">
        <v>1896.56</v>
      </c>
      <c r="Q381" s="5">
        <v>225430.55</v>
      </c>
      <c r="R381" s="1" t="s">
        <v>1021</v>
      </c>
      <c r="S381" s="1" t="s">
        <v>735</v>
      </c>
      <c r="T381" s="4">
        <v>45313</v>
      </c>
      <c r="U381" s="4">
        <v>45657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225430.55</v>
      </c>
      <c r="AH381" s="5">
        <v>0</v>
      </c>
      <c r="AI381" s="5">
        <v>0</v>
      </c>
      <c r="AJ381" s="5">
        <v>264</v>
      </c>
      <c r="AK381" s="5">
        <v>0</v>
      </c>
      <c r="AL381" s="5">
        <v>0</v>
      </c>
      <c r="AM381" s="5">
        <v>264</v>
      </c>
      <c r="AN381" s="5">
        <v>0</v>
      </c>
      <c r="AO381" s="1" t="s">
        <v>126</v>
      </c>
    </row>
    <row r="382" spans="1:41" x14ac:dyDescent="0.25">
      <c r="A382" s="1">
        <f t="shared" si="7"/>
        <v>366</v>
      </c>
      <c r="B382" s="1" t="s">
        <v>575</v>
      </c>
      <c r="C382" s="1" t="s">
        <v>122</v>
      </c>
      <c r="D382" s="1" t="s">
        <v>735</v>
      </c>
      <c r="E382" s="4">
        <v>45341</v>
      </c>
      <c r="F382" s="4">
        <v>45657</v>
      </c>
      <c r="H382" s="5">
        <v>803807.01</v>
      </c>
      <c r="I382" s="5">
        <v>54664.75</v>
      </c>
      <c r="J382" s="5">
        <v>0</v>
      </c>
      <c r="K382" s="5">
        <v>31750</v>
      </c>
      <c r="L382" s="5">
        <v>0</v>
      </c>
      <c r="M382" s="5">
        <v>86414.75</v>
      </c>
      <c r="N382" s="5">
        <v>624227</v>
      </c>
      <c r="O382" s="5">
        <v>0</v>
      </c>
      <c r="P382" s="5">
        <v>93165.26</v>
      </c>
      <c r="Q382" s="5">
        <v>717392.26</v>
      </c>
      <c r="R382" s="1" t="s">
        <v>1022</v>
      </c>
      <c r="S382" s="1" t="s">
        <v>735</v>
      </c>
      <c r="T382" s="4">
        <v>45341</v>
      </c>
      <c r="U382" s="4">
        <v>45657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717392.26</v>
      </c>
      <c r="AH382" s="5">
        <v>85978.45</v>
      </c>
      <c r="AI382" s="5">
        <v>0</v>
      </c>
      <c r="AJ382" s="5">
        <v>98565.69</v>
      </c>
      <c r="AK382" s="5">
        <v>0</v>
      </c>
      <c r="AL382" s="5">
        <v>0</v>
      </c>
      <c r="AM382" s="5">
        <v>12587.24</v>
      </c>
      <c r="AN382" s="5">
        <v>85978.45</v>
      </c>
      <c r="AO382" s="1" t="s">
        <v>126</v>
      </c>
    </row>
    <row r="383" spans="1:41" x14ac:dyDescent="0.25">
      <c r="A383" s="1">
        <f t="shared" si="7"/>
        <v>367</v>
      </c>
      <c r="B383" s="1" t="s">
        <v>576</v>
      </c>
      <c r="C383" s="1" t="s">
        <v>122</v>
      </c>
      <c r="D383" s="1" t="s">
        <v>735</v>
      </c>
      <c r="E383" s="4">
        <v>45341</v>
      </c>
      <c r="F383" s="4">
        <v>45657</v>
      </c>
      <c r="H383" s="5">
        <v>3016666.67</v>
      </c>
      <c r="I383" s="5">
        <v>90000</v>
      </c>
      <c r="J383" s="5">
        <v>35000</v>
      </c>
      <c r="K383" s="5">
        <v>39050</v>
      </c>
      <c r="L383" s="5">
        <v>0</v>
      </c>
      <c r="M383" s="5">
        <v>164050</v>
      </c>
      <c r="N383" s="5">
        <v>2560950</v>
      </c>
      <c r="O383" s="5">
        <v>126666.67</v>
      </c>
      <c r="P383" s="5">
        <v>165000</v>
      </c>
      <c r="Q383" s="5">
        <v>2852616.67</v>
      </c>
      <c r="R383" s="1" t="s">
        <v>1023</v>
      </c>
      <c r="S383" s="1" t="s">
        <v>735</v>
      </c>
      <c r="T383" s="4">
        <v>45341</v>
      </c>
      <c r="U383" s="4">
        <v>45657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2852616.67</v>
      </c>
      <c r="AH383" s="5">
        <v>658285</v>
      </c>
      <c r="AI383" s="5">
        <v>0</v>
      </c>
      <c r="AJ383" s="5">
        <v>699430.2</v>
      </c>
      <c r="AK383" s="5">
        <v>0</v>
      </c>
      <c r="AL383" s="5">
        <v>0</v>
      </c>
      <c r="AM383" s="5">
        <v>41145.199999999997</v>
      </c>
      <c r="AN383" s="5">
        <v>658285</v>
      </c>
      <c r="AO383" s="1" t="s">
        <v>126</v>
      </c>
    </row>
    <row r="384" spans="1:41" x14ac:dyDescent="0.25">
      <c r="A384" s="1">
        <f t="shared" si="7"/>
        <v>368</v>
      </c>
      <c r="B384" s="1" t="s">
        <v>577</v>
      </c>
      <c r="C384" s="1" t="s">
        <v>122</v>
      </c>
      <c r="D384" s="1" t="s">
        <v>735</v>
      </c>
      <c r="E384" s="4">
        <v>45362</v>
      </c>
      <c r="F384" s="4">
        <v>45657</v>
      </c>
      <c r="H384" s="5">
        <v>251853.01</v>
      </c>
      <c r="I384" s="5">
        <v>16232.76</v>
      </c>
      <c r="J384" s="5">
        <v>14250</v>
      </c>
      <c r="K384" s="5">
        <v>16945</v>
      </c>
      <c r="L384" s="5">
        <v>0</v>
      </c>
      <c r="M384" s="5">
        <v>47427.76</v>
      </c>
      <c r="N384" s="5">
        <v>177848.11</v>
      </c>
      <c r="O384" s="5">
        <v>0</v>
      </c>
      <c r="P384" s="5">
        <v>26577.14</v>
      </c>
      <c r="Q384" s="5">
        <v>204425.25</v>
      </c>
      <c r="R384" s="1" t="s">
        <v>1024</v>
      </c>
      <c r="S384" s="1" t="s">
        <v>735</v>
      </c>
      <c r="T384" s="4">
        <v>45362</v>
      </c>
      <c r="U384" s="4">
        <v>45657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204425.25</v>
      </c>
      <c r="AH384" s="5">
        <v>0</v>
      </c>
      <c r="AI384" s="5">
        <v>0</v>
      </c>
      <c r="AJ384" s="5">
        <v>1462.43</v>
      </c>
      <c r="AK384" s="5">
        <v>0</v>
      </c>
      <c r="AL384" s="5">
        <v>0</v>
      </c>
      <c r="AM384" s="5">
        <v>1462.43</v>
      </c>
      <c r="AN384" s="5">
        <v>0</v>
      </c>
      <c r="AO384" s="1" t="s">
        <v>126</v>
      </c>
    </row>
    <row r="385" spans="1:41" x14ac:dyDescent="0.25">
      <c r="A385" s="1">
        <f t="shared" si="7"/>
        <v>369</v>
      </c>
      <c r="B385" s="1" t="s">
        <v>578</v>
      </c>
      <c r="C385" s="1" t="s">
        <v>122</v>
      </c>
      <c r="D385" s="1" t="s">
        <v>735</v>
      </c>
      <c r="E385" s="4">
        <v>45369</v>
      </c>
      <c r="F385" s="4">
        <v>45657</v>
      </c>
      <c r="H385" s="5">
        <v>266048.43</v>
      </c>
      <c r="I385" s="5">
        <v>18941.57</v>
      </c>
      <c r="J385" s="5">
        <v>14250</v>
      </c>
      <c r="K385" s="5">
        <v>18340</v>
      </c>
      <c r="L385" s="5">
        <v>0</v>
      </c>
      <c r="M385" s="5">
        <v>51531.57</v>
      </c>
      <c r="N385" s="5">
        <v>208958.85</v>
      </c>
      <c r="O385" s="5">
        <v>0</v>
      </c>
      <c r="P385" s="5">
        <v>5558.01</v>
      </c>
      <c r="Q385" s="5">
        <v>214516.86</v>
      </c>
      <c r="R385" s="1" t="s">
        <v>1025</v>
      </c>
      <c r="S385" s="1" t="s">
        <v>735</v>
      </c>
      <c r="T385" s="4">
        <v>45369</v>
      </c>
      <c r="U385" s="4">
        <v>45657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214516.86</v>
      </c>
      <c r="AH385" s="5">
        <v>0</v>
      </c>
      <c r="AI385" s="5">
        <v>0</v>
      </c>
      <c r="AJ385" s="5">
        <v>3606.61</v>
      </c>
      <c r="AK385" s="5">
        <v>0</v>
      </c>
      <c r="AL385" s="5">
        <v>0</v>
      </c>
      <c r="AM385" s="5">
        <v>3606.61</v>
      </c>
      <c r="AN385" s="5">
        <v>0</v>
      </c>
      <c r="AO385" s="1" t="s">
        <v>126</v>
      </c>
    </row>
    <row r="386" spans="1:41" x14ac:dyDescent="0.25">
      <c r="A386" s="1">
        <f t="shared" si="7"/>
        <v>370</v>
      </c>
      <c r="B386" s="1" t="s">
        <v>579</v>
      </c>
      <c r="C386" s="1" t="s">
        <v>122</v>
      </c>
      <c r="D386" s="1" t="s">
        <v>735</v>
      </c>
      <c r="E386" s="4">
        <v>45369</v>
      </c>
      <c r="F386" s="4">
        <v>45657</v>
      </c>
      <c r="H386" s="5">
        <v>1432642.51</v>
      </c>
      <c r="I386" s="5">
        <v>90000</v>
      </c>
      <c r="J386" s="5">
        <v>19000</v>
      </c>
      <c r="K386" s="5">
        <v>39050</v>
      </c>
      <c r="L386" s="5">
        <v>0</v>
      </c>
      <c r="M386" s="5">
        <v>148050</v>
      </c>
      <c r="N386" s="5">
        <v>1160835.06</v>
      </c>
      <c r="O386" s="5">
        <v>28757.45</v>
      </c>
      <c r="P386" s="5">
        <v>95000</v>
      </c>
      <c r="Q386" s="5">
        <v>1284592.51</v>
      </c>
      <c r="R386" s="1" t="s">
        <v>1026</v>
      </c>
      <c r="S386" s="1" t="s">
        <v>735</v>
      </c>
      <c r="T386" s="4">
        <v>45369</v>
      </c>
      <c r="U386" s="4">
        <v>45657</v>
      </c>
      <c r="W386" s="5">
        <v>421015.67</v>
      </c>
      <c r="X386" s="5">
        <v>32087.67</v>
      </c>
      <c r="Y386" s="5">
        <v>9500</v>
      </c>
      <c r="Z386" s="5">
        <v>7831.25</v>
      </c>
      <c r="AA386" s="5">
        <v>0</v>
      </c>
      <c r="AB386" s="5">
        <v>49418.92</v>
      </c>
      <c r="AC386" s="5">
        <v>336652.75</v>
      </c>
      <c r="AD386" s="5">
        <v>0</v>
      </c>
      <c r="AE386" s="5">
        <v>34944</v>
      </c>
      <c r="AF386" s="5">
        <v>371596.75</v>
      </c>
      <c r="AG386" s="5">
        <v>1656189.26</v>
      </c>
      <c r="AH386" s="5">
        <v>316547.31</v>
      </c>
      <c r="AI386" s="5">
        <v>18239.509999999998</v>
      </c>
      <c r="AJ386" s="5">
        <v>244012.07</v>
      </c>
      <c r="AK386" s="5">
        <v>0</v>
      </c>
      <c r="AL386" s="5">
        <v>54295.73</v>
      </c>
      <c r="AM386" s="5">
        <v>0</v>
      </c>
      <c r="AN386" s="5">
        <v>316547.31</v>
      </c>
      <c r="AO386" s="1" t="s">
        <v>126</v>
      </c>
    </row>
    <row r="387" spans="1:41" x14ac:dyDescent="0.25">
      <c r="A387" s="1">
        <f t="shared" si="7"/>
        <v>371</v>
      </c>
      <c r="B387" s="1" t="s">
        <v>580</v>
      </c>
      <c r="C387" s="1" t="s">
        <v>122</v>
      </c>
      <c r="D387" s="1" t="s">
        <v>735</v>
      </c>
      <c r="E387" s="4">
        <v>45369</v>
      </c>
      <c r="F387" s="4">
        <v>45657</v>
      </c>
      <c r="H387" s="5">
        <v>352531.14</v>
      </c>
      <c r="I387" s="5">
        <v>26920.5</v>
      </c>
      <c r="J387" s="5">
        <v>0</v>
      </c>
      <c r="K387" s="5">
        <v>22435</v>
      </c>
      <c r="L387" s="5">
        <v>0</v>
      </c>
      <c r="M387" s="5">
        <v>49355.5</v>
      </c>
      <c r="N387" s="5">
        <v>300610.98</v>
      </c>
      <c r="O387" s="5">
        <v>0</v>
      </c>
      <c r="P387" s="5">
        <v>2564.66</v>
      </c>
      <c r="Q387" s="5">
        <v>303175.64</v>
      </c>
      <c r="R387" s="1" t="s">
        <v>1027</v>
      </c>
      <c r="S387" s="1" t="s">
        <v>735</v>
      </c>
      <c r="T387" s="4">
        <v>45369</v>
      </c>
      <c r="U387" s="4">
        <v>45657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303175.64</v>
      </c>
      <c r="AH387" s="5">
        <v>7976.35</v>
      </c>
      <c r="AI387" s="5">
        <v>0</v>
      </c>
      <c r="AJ387" s="5">
        <v>16328.06</v>
      </c>
      <c r="AK387" s="5">
        <v>0</v>
      </c>
      <c r="AL387" s="5">
        <v>0</v>
      </c>
      <c r="AM387" s="5">
        <v>8351.7099999999991</v>
      </c>
      <c r="AN387" s="5">
        <v>7976.35</v>
      </c>
      <c r="AO387" s="1" t="s">
        <v>126</v>
      </c>
    </row>
    <row r="388" spans="1:41" x14ac:dyDescent="0.25">
      <c r="A388" s="1">
        <f t="shared" si="7"/>
        <v>372</v>
      </c>
      <c r="B388" s="1" t="s">
        <v>581</v>
      </c>
      <c r="C388" s="1" t="s">
        <v>122</v>
      </c>
      <c r="D388" s="1" t="s">
        <v>735</v>
      </c>
      <c r="E388" s="4">
        <v>45369</v>
      </c>
      <c r="F388" s="4">
        <v>45657</v>
      </c>
      <c r="H388" s="5">
        <v>249529.13</v>
      </c>
      <c r="I388" s="5">
        <v>17602.490000000002</v>
      </c>
      <c r="J388" s="5">
        <v>15000</v>
      </c>
      <c r="K388" s="5">
        <v>17192.5</v>
      </c>
      <c r="L388" s="5">
        <v>0</v>
      </c>
      <c r="M388" s="5">
        <v>49794.99</v>
      </c>
      <c r="N388" s="5">
        <v>194037.39</v>
      </c>
      <c r="O388" s="5">
        <v>0</v>
      </c>
      <c r="P388" s="5">
        <v>5696.75</v>
      </c>
      <c r="Q388" s="5">
        <v>199734.14</v>
      </c>
      <c r="R388" s="1" t="s">
        <v>1028</v>
      </c>
      <c r="S388" s="1" t="s">
        <v>735</v>
      </c>
      <c r="T388" s="4">
        <v>45369</v>
      </c>
      <c r="U388" s="4">
        <v>45657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199734.14</v>
      </c>
      <c r="AH388" s="5">
        <v>0</v>
      </c>
      <c r="AI388" s="5">
        <v>0</v>
      </c>
      <c r="AJ388" s="5">
        <v>1255.92</v>
      </c>
      <c r="AK388" s="5">
        <v>0</v>
      </c>
      <c r="AL388" s="5">
        <v>0</v>
      </c>
      <c r="AM388" s="5">
        <v>1255.92</v>
      </c>
      <c r="AN388" s="5">
        <v>0</v>
      </c>
      <c r="AO388" s="1" t="s">
        <v>126</v>
      </c>
    </row>
    <row r="389" spans="1:41" x14ac:dyDescent="0.25">
      <c r="A389" s="1">
        <f t="shared" si="7"/>
        <v>373</v>
      </c>
      <c r="B389" s="1" t="s">
        <v>582</v>
      </c>
      <c r="C389" s="1" t="s">
        <v>122</v>
      </c>
      <c r="D389" s="1" t="s">
        <v>735</v>
      </c>
      <c r="E389" s="4">
        <v>45390</v>
      </c>
      <c r="F389" s="4">
        <v>45657</v>
      </c>
      <c r="H389" s="5">
        <v>196916.67</v>
      </c>
      <c r="I389" s="5">
        <v>14166.67</v>
      </c>
      <c r="J389" s="5">
        <v>12750</v>
      </c>
      <c r="K389" s="5">
        <v>13702.5</v>
      </c>
      <c r="L389" s="5">
        <v>0</v>
      </c>
      <c r="M389" s="5">
        <v>40619.17</v>
      </c>
      <c r="N389" s="5">
        <v>156297.5</v>
      </c>
      <c r="O389" s="5">
        <v>0</v>
      </c>
      <c r="P389" s="5">
        <v>0</v>
      </c>
      <c r="Q389" s="5">
        <v>156297.5</v>
      </c>
      <c r="R389" s="1" t="s">
        <v>1029</v>
      </c>
      <c r="S389" s="1" t="s">
        <v>735</v>
      </c>
      <c r="T389" s="4">
        <v>45390</v>
      </c>
      <c r="U389" s="4">
        <v>45657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156297.5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1" t="s">
        <v>126</v>
      </c>
    </row>
    <row r="390" spans="1:41" x14ac:dyDescent="0.25">
      <c r="A390" s="1">
        <f t="shared" si="7"/>
        <v>374</v>
      </c>
      <c r="B390" s="1" t="s">
        <v>583</v>
      </c>
      <c r="C390" s="1" t="s">
        <v>122</v>
      </c>
      <c r="D390" s="1" t="s">
        <v>735</v>
      </c>
      <c r="E390" s="4">
        <v>45390</v>
      </c>
      <c r="F390" s="4">
        <v>45657</v>
      </c>
      <c r="H390" s="5">
        <v>213634.86</v>
      </c>
      <c r="I390" s="5">
        <v>15414.75</v>
      </c>
      <c r="J390" s="5">
        <v>12750</v>
      </c>
      <c r="K390" s="5">
        <v>14825</v>
      </c>
      <c r="L390" s="5">
        <v>0</v>
      </c>
      <c r="M390" s="5">
        <v>42989.75</v>
      </c>
      <c r="N390" s="5">
        <v>170152.01</v>
      </c>
      <c r="O390" s="5">
        <v>0</v>
      </c>
      <c r="P390" s="5">
        <v>493.1</v>
      </c>
      <c r="Q390" s="5">
        <v>170645.11</v>
      </c>
      <c r="R390" s="1" t="s">
        <v>1030</v>
      </c>
      <c r="S390" s="1" t="s">
        <v>735</v>
      </c>
      <c r="T390" s="4">
        <v>45390</v>
      </c>
      <c r="U390" s="4">
        <v>45657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170645.11</v>
      </c>
      <c r="AH390" s="5">
        <v>0</v>
      </c>
      <c r="AI390" s="5">
        <v>0</v>
      </c>
      <c r="AJ390" s="5">
        <v>42.54</v>
      </c>
      <c r="AK390" s="5">
        <v>0</v>
      </c>
      <c r="AL390" s="5">
        <v>0</v>
      </c>
      <c r="AM390" s="5">
        <v>42.54</v>
      </c>
      <c r="AN390" s="5">
        <v>0</v>
      </c>
      <c r="AO390" s="1" t="s">
        <v>126</v>
      </c>
    </row>
    <row r="391" spans="1:41" x14ac:dyDescent="0.25">
      <c r="A391" s="1">
        <f t="shared" si="7"/>
        <v>375</v>
      </c>
      <c r="B391" s="1" t="s">
        <v>584</v>
      </c>
      <c r="C391" s="1" t="s">
        <v>122</v>
      </c>
      <c r="D391" s="1" t="s">
        <v>735</v>
      </c>
      <c r="E391" s="4">
        <v>45390</v>
      </c>
      <c r="F391" s="4">
        <v>45657</v>
      </c>
      <c r="H391" s="5">
        <v>192303.65</v>
      </c>
      <c r="I391" s="5">
        <v>13783.53</v>
      </c>
      <c r="J391" s="5">
        <v>12750</v>
      </c>
      <c r="K391" s="5">
        <v>13477.5</v>
      </c>
      <c r="L391" s="5">
        <v>0</v>
      </c>
      <c r="M391" s="5">
        <v>40011.03</v>
      </c>
      <c r="N391" s="5">
        <v>151924.79999999999</v>
      </c>
      <c r="O391" s="5">
        <v>0</v>
      </c>
      <c r="P391" s="5">
        <v>367.82</v>
      </c>
      <c r="Q391" s="5">
        <v>152292.62</v>
      </c>
      <c r="R391" s="1" t="s">
        <v>1031</v>
      </c>
      <c r="S391" s="1" t="s">
        <v>735</v>
      </c>
      <c r="T391" s="4">
        <v>45390</v>
      </c>
      <c r="U391" s="4">
        <v>45657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152292.62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1" t="s">
        <v>126</v>
      </c>
    </row>
    <row r="392" spans="1:41" x14ac:dyDescent="0.25">
      <c r="A392" s="1">
        <f t="shared" si="7"/>
        <v>376</v>
      </c>
      <c r="B392" s="1" t="s">
        <v>585</v>
      </c>
      <c r="C392" s="1" t="s">
        <v>122</v>
      </c>
      <c r="D392" s="1" t="s">
        <v>735</v>
      </c>
      <c r="E392" s="4">
        <v>45390</v>
      </c>
      <c r="F392" s="4">
        <v>45657</v>
      </c>
      <c r="H392" s="5">
        <v>204260.92</v>
      </c>
      <c r="I392" s="5">
        <v>14166.67</v>
      </c>
      <c r="J392" s="5">
        <v>12750</v>
      </c>
      <c r="K392" s="5">
        <v>14062.5</v>
      </c>
      <c r="L392" s="5">
        <v>0</v>
      </c>
      <c r="M392" s="5">
        <v>40979.17</v>
      </c>
      <c r="N392" s="5">
        <v>155937.5</v>
      </c>
      <c r="O392" s="5">
        <v>0</v>
      </c>
      <c r="P392" s="5">
        <v>7344.25</v>
      </c>
      <c r="Q392" s="5">
        <v>163281.75</v>
      </c>
      <c r="R392" s="1" t="s">
        <v>1032</v>
      </c>
      <c r="S392" s="1" t="s">
        <v>735</v>
      </c>
      <c r="T392" s="4">
        <v>45390</v>
      </c>
      <c r="U392" s="4">
        <v>45657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163281.75</v>
      </c>
      <c r="AH392" s="5">
        <v>0</v>
      </c>
      <c r="AI392" s="5">
        <v>0</v>
      </c>
      <c r="AJ392" s="5">
        <v>297.58</v>
      </c>
      <c r="AK392" s="5">
        <v>0</v>
      </c>
      <c r="AL392" s="5">
        <v>0</v>
      </c>
      <c r="AM392" s="5">
        <v>297.58</v>
      </c>
      <c r="AN392" s="5">
        <v>0</v>
      </c>
      <c r="AO392" s="1" t="s">
        <v>126</v>
      </c>
    </row>
    <row r="393" spans="1:41" x14ac:dyDescent="0.25">
      <c r="A393" s="1">
        <f t="shared" si="7"/>
        <v>377</v>
      </c>
      <c r="B393" s="1" t="s">
        <v>586</v>
      </c>
      <c r="C393" s="1" t="s">
        <v>122</v>
      </c>
      <c r="D393" s="1" t="s">
        <v>735</v>
      </c>
      <c r="E393" s="4">
        <v>45418</v>
      </c>
      <c r="F393" s="4">
        <v>45657</v>
      </c>
      <c r="H393" s="5">
        <v>205615.42</v>
      </c>
      <c r="I393" s="5">
        <v>15816.57</v>
      </c>
      <c r="J393" s="5">
        <v>0</v>
      </c>
      <c r="K393" s="5">
        <v>14637.5</v>
      </c>
      <c r="L393" s="5">
        <v>0</v>
      </c>
      <c r="M393" s="5">
        <v>30454.07</v>
      </c>
      <c r="N393" s="5">
        <v>175161.35</v>
      </c>
      <c r="O393" s="5">
        <v>0</v>
      </c>
      <c r="P393" s="5">
        <v>0</v>
      </c>
      <c r="Q393" s="5">
        <v>175161.35</v>
      </c>
      <c r="R393" s="1" t="s">
        <v>1033</v>
      </c>
      <c r="S393" s="1" t="s">
        <v>735</v>
      </c>
      <c r="T393" s="4">
        <v>45418</v>
      </c>
      <c r="U393" s="4">
        <v>45657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175161.35</v>
      </c>
      <c r="AH393" s="5">
        <v>0</v>
      </c>
      <c r="AI393" s="5">
        <v>0</v>
      </c>
      <c r="AJ393" s="5">
        <v>2835.95</v>
      </c>
      <c r="AK393" s="5">
        <v>0</v>
      </c>
      <c r="AL393" s="5">
        <v>0</v>
      </c>
      <c r="AM393" s="5">
        <v>2835.95</v>
      </c>
      <c r="AN393" s="5">
        <v>0</v>
      </c>
      <c r="AO393" s="1" t="s">
        <v>126</v>
      </c>
    </row>
    <row r="394" spans="1:41" x14ac:dyDescent="0.25">
      <c r="A394" s="1">
        <f t="shared" si="7"/>
        <v>378</v>
      </c>
      <c r="B394" s="1" t="s">
        <v>587</v>
      </c>
      <c r="C394" s="1" t="s">
        <v>122</v>
      </c>
      <c r="D394" s="1" t="s">
        <v>735</v>
      </c>
      <c r="E394" s="4">
        <v>45418</v>
      </c>
      <c r="F394" s="4">
        <v>45657</v>
      </c>
      <c r="H394" s="5">
        <v>545850.09</v>
      </c>
      <c r="I394" s="5">
        <v>41123.08</v>
      </c>
      <c r="J394" s="5">
        <v>11250</v>
      </c>
      <c r="K394" s="5">
        <v>24387.5</v>
      </c>
      <c r="L394" s="5">
        <v>0</v>
      </c>
      <c r="M394" s="5">
        <v>76760.58</v>
      </c>
      <c r="N394" s="5">
        <v>469089.51</v>
      </c>
      <c r="O394" s="5">
        <v>0</v>
      </c>
      <c r="P394" s="5">
        <v>0</v>
      </c>
      <c r="Q394" s="5">
        <v>469089.51</v>
      </c>
      <c r="R394" s="1" t="s">
        <v>1034</v>
      </c>
      <c r="S394" s="1" t="s">
        <v>735</v>
      </c>
      <c r="T394" s="4">
        <v>45418</v>
      </c>
      <c r="U394" s="4">
        <v>45657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469089.51</v>
      </c>
      <c r="AH394" s="5">
        <v>36317.9</v>
      </c>
      <c r="AI394" s="5">
        <v>0</v>
      </c>
      <c r="AJ394" s="5">
        <v>58028.480000000003</v>
      </c>
      <c r="AK394" s="5">
        <v>0</v>
      </c>
      <c r="AL394" s="5">
        <v>0</v>
      </c>
      <c r="AM394" s="5">
        <v>21710.58</v>
      </c>
      <c r="AN394" s="5">
        <v>36317.9</v>
      </c>
      <c r="AO394" s="1" t="s">
        <v>126</v>
      </c>
    </row>
    <row r="395" spans="1:41" x14ac:dyDescent="0.25">
      <c r="A395" s="1">
        <f t="shared" si="7"/>
        <v>379</v>
      </c>
      <c r="B395" s="1" t="s">
        <v>588</v>
      </c>
      <c r="C395" s="1" t="s">
        <v>122</v>
      </c>
      <c r="D395" s="1" t="s">
        <v>735</v>
      </c>
      <c r="E395" s="4">
        <v>45425</v>
      </c>
      <c r="F395" s="4">
        <v>45657</v>
      </c>
      <c r="H395" s="5">
        <v>173041.19</v>
      </c>
      <c r="I395" s="5">
        <v>12279.69</v>
      </c>
      <c r="J395" s="5">
        <v>11250</v>
      </c>
      <c r="K395" s="5">
        <v>12080</v>
      </c>
      <c r="L395" s="5">
        <v>0</v>
      </c>
      <c r="M395" s="5">
        <v>35609.69</v>
      </c>
      <c r="N395" s="5">
        <v>135276.32</v>
      </c>
      <c r="O395" s="5">
        <v>0</v>
      </c>
      <c r="P395" s="5">
        <v>2155.1799999999998</v>
      </c>
      <c r="Q395" s="5">
        <v>137431.5</v>
      </c>
      <c r="R395" s="1" t="s">
        <v>1035</v>
      </c>
      <c r="S395" s="1" t="s">
        <v>735</v>
      </c>
      <c r="T395" s="4">
        <v>45425</v>
      </c>
      <c r="U395" s="4">
        <v>45657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137431.5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1" t="s">
        <v>126</v>
      </c>
    </row>
    <row r="396" spans="1:41" x14ac:dyDescent="0.25">
      <c r="A396" s="1">
        <f t="shared" si="7"/>
        <v>380</v>
      </c>
      <c r="B396" s="1" t="s">
        <v>589</v>
      </c>
      <c r="C396" s="1" t="s">
        <v>122</v>
      </c>
      <c r="D396" s="1" t="s">
        <v>735</v>
      </c>
      <c r="E396" s="4">
        <v>45425</v>
      </c>
      <c r="F396" s="4">
        <v>45657</v>
      </c>
      <c r="H396" s="5">
        <v>184658.05</v>
      </c>
      <c r="I396" s="5">
        <v>13339.08</v>
      </c>
      <c r="J396" s="5">
        <v>11250</v>
      </c>
      <c r="K396" s="5">
        <v>12902.5</v>
      </c>
      <c r="L396" s="5">
        <v>0</v>
      </c>
      <c r="M396" s="5">
        <v>37491.58</v>
      </c>
      <c r="N396" s="5">
        <v>147166.47</v>
      </c>
      <c r="O396" s="5">
        <v>0</v>
      </c>
      <c r="P396" s="5">
        <v>0</v>
      </c>
      <c r="Q396" s="5">
        <v>147166.47</v>
      </c>
      <c r="R396" s="1" t="s">
        <v>1036</v>
      </c>
      <c r="S396" s="1" t="s">
        <v>735</v>
      </c>
      <c r="T396" s="4">
        <v>45425</v>
      </c>
      <c r="U396" s="4">
        <v>45657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147166.47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1" t="s">
        <v>126</v>
      </c>
    </row>
    <row r="397" spans="1:41" x14ac:dyDescent="0.25">
      <c r="A397" s="1">
        <f t="shared" si="7"/>
        <v>381</v>
      </c>
      <c r="B397" s="1" t="s">
        <v>590</v>
      </c>
      <c r="C397" s="1" t="s">
        <v>122</v>
      </c>
      <c r="D397" s="1" t="s">
        <v>735</v>
      </c>
      <c r="E397" s="4">
        <v>45425</v>
      </c>
      <c r="F397" s="4">
        <v>45657</v>
      </c>
      <c r="H397" s="5">
        <v>174588.68</v>
      </c>
      <c r="I397" s="5">
        <v>12279.69</v>
      </c>
      <c r="J397" s="5">
        <v>11250</v>
      </c>
      <c r="K397" s="5">
        <v>12147.5</v>
      </c>
      <c r="L397" s="5">
        <v>0</v>
      </c>
      <c r="M397" s="5">
        <v>35677.19</v>
      </c>
      <c r="N397" s="5">
        <v>135208.82</v>
      </c>
      <c r="O397" s="5">
        <v>0</v>
      </c>
      <c r="P397" s="5">
        <v>3702.67</v>
      </c>
      <c r="Q397" s="5">
        <v>138911.49</v>
      </c>
      <c r="R397" s="1" t="s">
        <v>1037</v>
      </c>
      <c r="S397" s="1" t="s">
        <v>735</v>
      </c>
      <c r="T397" s="4">
        <v>45425</v>
      </c>
      <c r="U397" s="4">
        <v>45657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138911.49</v>
      </c>
      <c r="AH397" s="5">
        <v>0</v>
      </c>
      <c r="AI397" s="5">
        <v>0</v>
      </c>
      <c r="AJ397" s="5">
        <v>21.56</v>
      </c>
      <c r="AK397" s="5">
        <v>0</v>
      </c>
      <c r="AL397" s="5">
        <v>0</v>
      </c>
      <c r="AM397" s="5">
        <v>21.56</v>
      </c>
      <c r="AN397" s="5">
        <v>0</v>
      </c>
      <c r="AO397" s="1" t="s">
        <v>126</v>
      </c>
    </row>
    <row r="398" spans="1:41" x14ac:dyDescent="0.25">
      <c r="A398" s="1">
        <f t="shared" si="7"/>
        <v>382</v>
      </c>
      <c r="B398" s="1" t="s">
        <v>591</v>
      </c>
      <c r="C398" s="1" t="s">
        <v>122</v>
      </c>
      <c r="D398" s="1" t="s">
        <v>735</v>
      </c>
      <c r="E398" s="4">
        <v>45425</v>
      </c>
      <c r="F398" s="4">
        <v>45657</v>
      </c>
      <c r="H398" s="5">
        <v>225521.76</v>
      </c>
      <c r="I398" s="5">
        <v>12586.69</v>
      </c>
      <c r="J398" s="5">
        <v>11250</v>
      </c>
      <c r="K398" s="5">
        <v>14292.5</v>
      </c>
      <c r="L398" s="5">
        <v>0</v>
      </c>
      <c r="M398" s="5">
        <v>38129.19</v>
      </c>
      <c r="N398" s="5">
        <v>136747.74</v>
      </c>
      <c r="O398" s="5">
        <v>0</v>
      </c>
      <c r="P398" s="5">
        <v>50644.83</v>
      </c>
      <c r="Q398" s="5">
        <v>187392.57</v>
      </c>
      <c r="R398" s="1" t="s">
        <v>1038</v>
      </c>
      <c r="S398" s="1" t="s">
        <v>735</v>
      </c>
      <c r="T398" s="4">
        <v>45425</v>
      </c>
      <c r="U398" s="4">
        <v>45657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187392.57</v>
      </c>
      <c r="AH398" s="5">
        <v>0</v>
      </c>
      <c r="AI398" s="5">
        <v>0</v>
      </c>
      <c r="AJ398" s="5">
        <v>5452.8</v>
      </c>
      <c r="AK398" s="5">
        <v>0</v>
      </c>
      <c r="AL398" s="5">
        <v>0</v>
      </c>
      <c r="AM398" s="5">
        <v>5452.8</v>
      </c>
      <c r="AN398" s="5">
        <v>0</v>
      </c>
      <c r="AO398" s="1" t="s">
        <v>126</v>
      </c>
    </row>
    <row r="399" spans="1:41" x14ac:dyDescent="0.25">
      <c r="A399" s="1">
        <f t="shared" si="7"/>
        <v>383</v>
      </c>
      <c r="B399" s="1" t="s">
        <v>592</v>
      </c>
      <c r="C399" s="1" t="s">
        <v>122</v>
      </c>
      <c r="D399" s="1" t="s">
        <v>735</v>
      </c>
      <c r="E399" s="4">
        <v>45425</v>
      </c>
      <c r="F399" s="4">
        <v>45657</v>
      </c>
      <c r="H399" s="5">
        <v>888180.08</v>
      </c>
      <c r="I399" s="5">
        <v>61398.47</v>
      </c>
      <c r="J399" s="5">
        <v>15000</v>
      </c>
      <c r="K399" s="5">
        <v>30950</v>
      </c>
      <c r="L399" s="5">
        <v>0</v>
      </c>
      <c r="M399" s="5">
        <v>107348.47</v>
      </c>
      <c r="N399" s="5">
        <v>705831.61</v>
      </c>
      <c r="O399" s="5">
        <v>0</v>
      </c>
      <c r="P399" s="5">
        <v>75000</v>
      </c>
      <c r="Q399" s="5">
        <v>780831.61</v>
      </c>
      <c r="R399" s="1" t="s">
        <v>1039</v>
      </c>
      <c r="S399" s="1" t="s">
        <v>735</v>
      </c>
      <c r="T399" s="4">
        <v>45425</v>
      </c>
      <c r="U399" s="4">
        <v>45657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780831.61</v>
      </c>
      <c r="AH399" s="5">
        <v>98666.32</v>
      </c>
      <c r="AI399" s="5">
        <v>0</v>
      </c>
      <c r="AJ399" s="5">
        <v>134269.65</v>
      </c>
      <c r="AK399" s="5">
        <v>0</v>
      </c>
      <c r="AL399" s="5">
        <v>0</v>
      </c>
      <c r="AM399" s="5">
        <v>35603.33</v>
      </c>
      <c r="AN399" s="5">
        <v>98666.32</v>
      </c>
      <c r="AO399" s="1" t="s">
        <v>126</v>
      </c>
    </row>
    <row r="400" spans="1:41" x14ac:dyDescent="0.25">
      <c r="A400" s="1">
        <f t="shared" si="7"/>
        <v>384</v>
      </c>
      <c r="B400" s="1" t="s">
        <v>593</v>
      </c>
      <c r="C400" s="1" t="s">
        <v>122</v>
      </c>
      <c r="D400" s="1" t="s">
        <v>735</v>
      </c>
      <c r="E400" s="4">
        <v>45432</v>
      </c>
      <c r="F400" s="4">
        <v>45657</v>
      </c>
      <c r="H400" s="5">
        <v>155309.07</v>
      </c>
      <c r="I400" s="5">
        <v>10637.93</v>
      </c>
      <c r="J400" s="5">
        <v>10500</v>
      </c>
      <c r="K400" s="5">
        <v>10760</v>
      </c>
      <c r="L400" s="5">
        <v>0</v>
      </c>
      <c r="M400" s="5">
        <v>31897.93</v>
      </c>
      <c r="N400" s="5">
        <v>116895.17</v>
      </c>
      <c r="O400" s="5">
        <v>0</v>
      </c>
      <c r="P400" s="5">
        <v>6515.97</v>
      </c>
      <c r="Q400" s="5">
        <v>123411.14</v>
      </c>
      <c r="R400" s="1" t="s">
        <v>1040</v>
      </c>
      <c r="S400" s="1" t="s">
        <v>735</v>
      </c>
      <c r="T400" s="4">
        <v>45432</v>
      </c>
      <c r="U400" s="4">
        <v>45657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123411.14</v>
      </c>
      <c r="AH400" s="5">
        <v>0</v>
      </c>
      <c r="AI400" s="5">
        <v>0</v>
      </c>
      <c r="AJ400" s="5">
        <v>150.88</v>
      </c>
      <c r="AK400" s="5">
        <v>0</v>
      </c>
      <c r="AL400" s="5">
        <v>0</v>
      </c>
      <c r="AM400" s="5">
        <v>150.88</v>
      </c>
      <c r="AN400" s="5">
        <v>0</v>
      </c>
      <c r="AO400" s="1" t="s">
        <v>126</v>
      </c>
    </row>
    <row r="401" spans="1:41" x14ac:dyDescent="0.25">
      <c r="A401" s="1">
        <f t="shared" si="7"/>
        <v>385</v>
      </c>
      <c r="B401" s="1" t="s">
        <v>594</v>
      </c>
      <c r="C401" s="1" t="s">
        <v>122</v>
      </c>
      <c r="D401" s="1" t="s">
        <v>735</v>
      </c>
      <c r="E401" s="4">
        <v>45432</v>
      </c>
      <c r="F401" s="4">
        <v>45657</v>
      </c>
      <c r="H401" s="5">
        <v>190102.87</v>
      </c>
      <c r="I401" s="5">
        <v>12115.42</v>
      </c>
      <c r="J401" s="5">
        <v>10500</v>
      </c>
      <c r="K401" s="5">
        <v>12705</v>
      </c>
      <c r="L401" s="5">
        <v>0</v>
      </c>
      <c r="M401" s="5">
        <v>35320.42</v>
      </c>
      <c r="N401" s="5">
        <v>132680.06</v>
      </c>
      <c r="O401" s="5">
        <v>0</v>
      </c>
      <c r="P401" s="5">
        <v>22102.39</v>
      </c>
      <c r="Q401" s="5">
        <v>154782.45000000001</v>
      </c>
      <c r="R401" s="1" t="s">
        <v>1041</v>
      </c>
      <c r="S401" s="1" t="s">
        <v>735</v>
      </c>
      <c r="T401" s="4">
        <v>45432</v>
      </c>
      <c r="U401" s="4">
        <v>45657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154782.45000000001</v>
      </c>
      <c r="AH401" s="5">
        <v>0</v>
      </c>
      <c r="AI401" s="5">
        <v>0</v>
      </c>
      <c r="AJ401" s="5">
        <v>1988.61</v>
      </c>
      <c r="AK401" s="5">
        <v>0</v>
      </c>
      <c r="AL401" s="5">
        <v>0</v>
      </c>
      <c r="AM401" s="5">
        <v>1988.61</v>
      </c>
      <c r="AN401" s="5">
        <v>0</v>
      </c>
      <c r="AO401" s="1" t="s">
        <v>126</v>
      </c>
    </row>
    <row r="402" spans="1:41" x14ac:dyDescent="0.25">
      <c r="A402" s="1">
        <f t="shared" si="7"/>
        <v>386</v>
      </c>
      <c r="B402" s="1" t="s">
        <v>595</v>
      </c>
      <c r="C402" s="1" t="s">
        <v>122</v>
      </c>
      <c r="D402" s="1" t="s">
        <v>735</v>
      </c>
      <c r="E402" s="4">
        <v>45432</v>
      </c>
      <c r="F402" s="4">
        <v>45657</v>
      </c>
      <c r="H402" s="5">
        <v>1785206.9</v>
      </c>
      <c r="I402" s="5">
        <v>90000</v>
      </c>
      <c r="J402" s="5">
        <v>14000</v>
      </c>
      <c r="K402" s="5">
        <v>28350</v>
      </c>
      <c r="L402" s="5">
        <v>0</v>
      </c>
      <c r="M402" s="5">
        <v>132350</v>
      </c>
      <c r="N402" s="5">
        <v>1541994.83</v>
      </c>
      <c r="O402" s="5">
        <v>40862.07</v>
      </c>
      <c r="P402" s="5">
        <v>70000</v>
      </c>
      <c r="Q402" s="5">
        <v>1652856.9</v>
      </c>
      <c r="R402" s="1" t="s">
        <v>1042</v>
      </c>
      <c r="S402" s="1" t="s">
        <v>735</v>
      </c>
      <c r="T402" s="4">
        <v>45432</v>
      </c>
      <c r="U402" s="4">
        <v>45657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1652856.9</v>
      </c>
      <c r="AH402" s="5">
        <v>315714.21999999997</v>
      </c>
      <c r="AI402" s="5">
        <v>0</v>
      </c>
      <c r="AJ402" s="5">
        <v>378605.17</v>
      </c>
      <c r="AK402" s="5">
        <v>0</v>
      </c>
      <c r="AL402" s="5">
        <v>0</v>
      </c>
      <c r="AM402" s="5">
        <v>62890.95</v>
      </c>
      <c r="AN402" s="5">
        <v>315714.21999999997</v>
      </c>
      <c r="AO402" s="1" t="s">
        <v>126</v>
      </c>
    </row>
    <row r="403" spans="1:41" x14ac:dyDescent="0.25">
      <c r="A403" s="1">
        <f t="shared" si="7"/>
        <v>387</v>
      </c>
      <c r="B403" s="1" t="s">
        <v>596</v>
      </c>
      <c r="C403" s="1" t="s">
        <v>122</v>
      </c>
      <c r="D403" s="1" t="s">
        <v>735</v>
      </c>
      <c r="E403" s="4">
        <v>45439</v>
      </c>
      <c r="F403" s="4">
        <v>45657</v>
      </c>
      <c r="H403" s="5">
        <v>2722912.84</v>
      </c>
      <c r="I403" s="5">
        <v>90000</v>
      </c>
      <c r="J403" s="5">
        <v>14000</v>
      </c>
      <c r="K403" s="5">
        <v>28350</v>
      </c>
      <c r="L403" s="5">
        <v>0</v>
      </c>
      <c r="M403" s="5">
        <v>132350</v>
      </c>
      <c r="N403" s="5">
        <v>2407569.54</v>
      </c>
      <c r="O403" s="5">
        <v>112993.3</v>
      </c>
      <c r="P403" s="5">
        <v>70000</v>
      </c>
      <c r="Q403" s="5">
        <v>2590562.84</v>
      </c>
      <c r="R403" s="1" t="s">
        <v>1043</v>
      </c>
      <c r="S403" s="1" t="s">
        <v>735</v>
      </c>
      <c r="T403" s="4">
        <v>45439</v>
      </c>
      <c r="U403" s="4">
        <v>45657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2590562.84</v>
      </c>
      <c r="AH403" s="5">
        <v>579668.85</v>
      </c>
      <c r="AI403" s="5">
        <v>0</v>
      </c>
      <c r="AJ403" s="5">
        <v>661960.05000000005</v>
      </c>
      <c r="AK403" s="5">
        <v>0</v>
      </c>
      <c r="AL403" s="5">
        <v>0</v>
      </c>
      <c r="AM403" s="5">
        <v>82291.199999999997</v>
      </c>
      <c r="AN403" s="5">
        <v>579668.85</v>
      </c>
      <c r="AO403" s="1" t="s">
        <v>126</v>
      </c>
    </row>
    <row r="404" spans="1:41" x14ac:dyDescent="0.25">
      <c r="A404" s="1">
        <f t="shared" si="7"/>
        <v>388</v>
      </c>
      <c r="B404" s="1" t="s">
        <v>597</v>
      </c>
      <c r="C404" s="1" t="s">
        <v>122</v>
      </c>
      <c r="D404" s="1" t="s">
        <v>735</v>
      </c>
      <c r="E404" s="4">
        <v>45453</v>
      </c>
      <c r="F404" s="4">
        <v>45657</v>
      </c>
      <c r="H404" s="5">
        <v>479866.85</v>
      </c>
      <c r="I404" s="5">
        <v>34990.42</v>
      </c>
      <c r="J404" s="5">
        <v>9750</v>
      </c>
      <c r="K404" s="5">
        <v>20997.7</v>
      </c>
      <c r="L404" s="5">
        <v>0</v>
      </c>
      <c r="M404" s="5">
        <v>65738.12</v>
      </c>
      <c r="N404" s="5">
        <v>398887.36</v>
      </c>
      <c r="O404" s="5">
        <v>0</v>
      </c>
      <c r="P404" s="5">
        <v>15241.37</v>
      </c>
      <c r="Q404" s="5">
        <v>414128.73</v>
      </c>
      <c r="R404" s="1" t="s">
        <v>1044</v>
      </c>
      <c r="S404" s="1" t="s">
        <v>735</v>
      </c>
      <c r="T404" s="4">
        <v>45453</v>
      </c>
      <c r="U404" s="4">
        <v>45657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414128.73</v>
      </c>
      <c r="AH404" s="5">
        <v>25325.75</v>
      </c>
      <c r="AI404" s="5">
        <v>0</v>
      </c>
      <c r="AJ404" s="5">
        <v>51746.02</v>
      </c>
      <c r="AK404" s="5">
        <v>0</v>
      </c>
      <c r="AL404" s="5">
        <v>0</v>
      </c>
      <c r="AM404" s="5">
        <v>26420.27</v>
      </c>
      <c r="AN404" s="5">
        <v>25325.75</v>
      </c>
      <c r="AO404" s="1" t="s">
        <v>126</v>
      </c>
    </row>
    <row r="405" spans="1:41" x14ac:dyDescent="0.25">
      <c r="A405" s="1">
        <f t="shared" si="7"/>
        <v>389</v>
      </c>
      <c r="B405" s="1" t="s">
        <v>598</v>
      </c>
      <c r="C405" s="1" t="s">
        <v>122</v>
      </c>
      <c r="D405" s="1" t="s">
        <v>735</v>
      </c>
      <c r="E405" s="4">
        <v>45453</v>
      </c>
      <c r="F405" s="4">
        <v>45657</v>
      </c>
      <c r="H405" s="5">
        <v>133991.37</v>
      </c>
      <c r="I405" s="5">
        <v>9620.69</v>
      </c>
      <c r="J405" s="5">
        <v>9750</v>
      </c>
      <c r="K405" s="5">
        <v>9505</v>
      </c>
      <c r="L405" s="5">
        <v>0</v>
      </c>
      <c r="M405" s="5">
        <v>28875.69</v>
      </c>
      <c r="N405" s="5">
        <v>105115.68</v>
      </c>
      <c r="O405" s="5">
        <v>0</v>
      </c>
      <c r="P405" s="5">
        <v>0</v>
      </c>
      <c r="Q405" s="5">
        <v>105115.68</v>
      </c>
      <c r="R405" s="1" t="s">
        <v>1045</v>
      </c>
      <c r="S405" s="1" t="s">
        <v>735</v>
      </c>
      <c r="T405" s="4">
        <v>45453</v>
      </c>
      <c r="U405" s="4">
        <v>45657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105115.68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1" t="s">
        <v>126</v>
      </c>
    </row>
    <row r="406" spans="1:41" x14ac:dyDescent="0.25">
      <c r="A406" s="1">
        <f t="shared" si="7"/>
        <v>390</v>
      </c>
      <c r="B406" s="1" t="s">
        <v>599</v>
      </c>
      <c r="C406" s="1" t="s">
        <v>122</v>
      </c>
      <c r="D406" s="1" t="s">
        <v>735</v>
      </c>
      <c r="E406" s="4">
        <v>45453</v>
      </c>
      <c r="F406" s="4">
        <v>45657</v>
      </c>
      <c r="H406" s="5">
        <v>133991.37</v>
      </c>
      <c r="I406" s="5">
        <v>9620.69</v>
      </c>
      <c r="J406" s="5">
        <v>9750</v>
      </c>
      <c r="K406" s="5">
        <v>9505</v>
      </c>
      <c r="L406" s="5">
        <v>0</v>
      </c>
      <c r="M406" s="5">
        <v>28875.69</v>
      </c>
      <c r="N406" s="5">
        <v>105115.68</v>
      </c>
      <c r="O406" s="5">
        <v>0</v>
      </c>
      <c r="P406" s="5">
        <v>0</v>
      </c>
      <c r="Q406" s="5">
        <v>105115.68</v>
      </c>
      <c r="R406" s="1" t="s">
        <v>1046</v>
      </c>
      <c r="S406" s="1" t="s">
        <v>735</v>
      </c>
      <c r="T406" s="4">
        <v>45453</v>
      </c>
      <c r="U406" s="4">
        <v>45657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105115.68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1" t="s">
        <v>126</v>
      </c>
    </row>
    <row r="407" spans="1:41" x14ac:dyDescent="0.25">
      <c r="A407" s="1">
        <f t="shared" si="7"/>
        <v>391</v>
      </c>
      <c r="B407" s="1" t="s">
        <v>600</v>
      </c>
      <c r="C407" s="1" t="s">
        <v>122</v>
      </c>
      <c r="D407" s="1" t="s">
        <v>735</v>
      </c>
      <c r="E407" s="4">
        <v>45453</v>
      </c>
      <c r="F407" s="4">
        <v>45657</v>
      </c>
      <c r="H407" s="5">
        <v>134887.93</v>
      </c>
      <c r="I407" s="5">
        <v>9689.66</v>
      </c>
      <c r="J407" s="5">
        <v>9750</v>
      </c>
      <c r="K407" s="5">
        <v>9550</v>
      </c>
      <c r="L407" s="5">
        <v>0</v>
      </c>
      <c r="M407" s="5">
        <v>28989.66</v>
      </c>
      <c r="N407" s="5">
        <v>105898.27</v>
      </c>
      <c r="O407" s="5">
        <v>0</v>
      </c>
      <c r="P407" s="5">
        <v>0</v>
      </c>
      <c r="Q407" s="5">
        <v>105898.27</v>
      </c>
      <c r="R407" s="1" t="s">
        <v>1047</v>
      </c>
      <c r="S407" s="1" t="s">
        <v>735</v>
      </c>
      <c r="T407" s="4">
        <v>45453</v>
      </c>
      <c r="U407" s="4">
        <v>45657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105898.27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1" t="s">
        <v>126</v>
      </c>
    </row>
    <row r="408" spans="1:41" x14ac:dyDescent="0.25">
      <c r="A408" s="1">
        <f t="shared" si="7"/>
        <v>392</v>
      </c>
      <c r="B408" s="1" t="s">
        <v>601</v>
      </c>
      <c r="C408" s="1" t="s">
        <v>122</v>
      </c>
      <c r="D408" s="1" t="s">
        <v>735</v>
      </c>
      <c r="E408" s="4">
        <v>45292</v>
      </c>
      <c r="F408" s="4">
        <v>45657</v>
      </c>
      <c r="H408" s="5">
        <v>340018.43</v>
      </c>
      <c r="I408" s="5">
        <v>24808.43</v>
      </c>
      <c r="J408" s="5">
        <v>0</v>
      </c>
      <c r="K408" s="5">
        <v>23997.5</v>
      </c>
      <c r="L408" s="5">
        <v>0</v>
      </c>
      <c r="M408" s="5">
        <v>48805.93</v>
      </c>
      <c r="N408" s="5">
        <v>273703.64</v>
      </c>
      <c r="O408" s="5">
        <v>0</v>
      </c>
      <c r="P408" s="5">
        <v>17508.86</v>
      </c>
      <c r="Q408" s="5">
        <v>291212.5</v>
      </c>
      <c r="R408" s="1" t="s">
        <v>1048</v>
      </c>
      <c r="S408" s="1" t="s">
        <v>735</v>
      </c>
      <c r="T408" s="4">
        <v>45292</v>
      </c>
      <c r="U408" s="4">
        <v>45657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291212.5</v>
      </c>
      <c r="AH408" s="5">
        <v>6181.88</v>
      </c>
      <c r="AI408" s="5">
        <v>0</v>
      </c>
      <c r="AJ408" s="5">
        <v>6180.68</v>
      </c>
      <c r="AK408" s="5">
        <v>0</v>
      </c>
      <c r="AL408" s="5">
        <v>1.2</v>
      </c>
      <c r="AM408" s="5">
        <v>0</v>
      </c>
      <c r="AN408" s="5">
        <v>6181.88</v>
      </c>
      <c r="AO408" s="1" t="s">
        <v>1177</v>
      </c>
    </row>
    <row r="409" spans="1:41" x14ac:dyDescent="0.25">
      <c r="A409" s="1">
        <f t="shared" si="7"/>
        <v>393</v>
      </c>
      <c r="B409" s="1" t="s">
        <v>602</v>
      </c>
      <c r="C409" s="1" t="s">
        <v>122</v>
      </c>
      <c r="D409" s="1" t="s">
        <v>735</v>
      </c>
      <c r="E409" s="4">
        <v>45464</v>
      </c>
      <c r="F409" s="4">
        <v>45657</v>
      </c>
      <c r="H409" s="5">
        <v>147767.73000000001</v>
      </c>
      <c r="I409" s="5">
        <v>10750.48</v>
      </c>
      <c r="J409" s="5">
        <v>9000</v>
      </c>
      <c r="K409" s="5">
        <v>10375</v>
      </c>
      <c r="L409" s="5">
        <v>0</v>
      </c>
      <c r="M409" s="5">
        <v>30125.48</v>
      </c>
      <c r="N409" s="5">
        <v>117642.25</v>
      </c>
      <c r="O409" s="5">
        <v>0</v>
      </c>
      <c r="P409" s="5">
        <v>0</v>
      </c>
      <c r="Q409" s="5">
        <v>117642.25</v>
      </c>
      <c r="R409" s="1" t="s">
        <v>1049</v>
      </c>
      <c r="S409" s="1" t="s">
        <v>735</v>
      </c>
      <c r="T409" s="4">
        <v>45464</v>
      </c>
      <c r="U409" s="4">
        <v>45657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117642.25</v>
      </c>
      <c r="AH409" s="5">
        <v>0</v>
      </c>
      <c r="AI409" s="5">
        <v>0</v>
      </c>
      <c r="AJ409" s="5">
        <v>193.54</v>
      </c>
      <c r="AK409" s="5">
        <v>0</v>
      </c>
      <c r="AL409" s="5">
        <v>0</v>
      </c>
      <c r="AM409" s="5">
        <v>193.54</v>
      </c>
      <c r="AN409" s="5">
        <v>0</v>
      </c>
      <c r="AO409" s="1" t="s">
        <v>126</v>
      </c>
    </row>
    <row r="410" spans="1:41" x14ac:dyDescent="0.25">
      <c r="A410" s="1">
        <f t="shared" si="7"/>
        <v>394</v>
      </c>
      <c r="B410" s="1" t="s">
        <v>603</v>
      </c>
      <c r="C410" s="1" t="s">
        <v>122</v>
      </c>
      <c r="D410" s="1" t="s">
        <v>735</v>
      </c>
      <c r="E410" s="4">
        <v>45474</v>
      </c>
      <c r="F410" s="4">
        <v>45657</v>
      </c>
      <c r="H410" s="5">
        <v>150738.53</v>
      </c>
      <c r="I410" s="5">
        <v>10806.04</v>
      </c>
      <c r="J410" s="5">
        <v>6000</v>
      </c>
      <c r="K410" s="5">
        <v>10659.68</v>
      </c>
      <c r="L410" s="5">
        <v>0</v>
      </c>
      <c r="M410" s="5">
        <v>27465.72</v>
      </c>
      <c r="N410" s="5">
        <v>119012.74</v>
      </c>
      <c r="O410" s="5">
        <v>0</v>
      </c>
      <c r="P410" s="5">
        <v>4260.07</v>
      </c>
      <c r="Q410" s="5">
        <v>123272.81</v>
      </c>
      <c r="R410" s="1" t="s">
        <v>1050</v>
      </c>
      <c r="S410" s="1" t="s">
        <v>735</v>
      </c>
      <c r="T410" s="4">
        <v>45474</v>
      </c>
      <c r="U410" s="4">
        <v>45657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123272.81</v>
      </c>
      <c r="AH410" s="5">
        <v>0</v>
      </c>
      <c r="AI410" s="5">
        <v>0</v>
      </c>
      <c r="AJ410" s="5">
        <v>754.54</v>
      </c>
      <c r="AK410" s="5">
        <v>0</v>
      </c>
      <c r="AL410" s="5">
        <v>0</v>
      </c>
      <c r="AM410" s="5">
        <v>754.54</v>
      </c>
      <c r="AN410" s="5">
        <v>0</v>
      </c>
      <c r="AO410" s="1" t="s">
        <v>126</v>
      </c>
    </row>
    <row r="411" spans="1:41" x14ac:dyDescent="0.25">
      <c r="A411" s="1">
        <f t="shared" si="7"/>
        <v>395</v>
      </c>
      <c r="B411" s="1" t="s">
        <v>604</v>
      </c>
      <c r="C411" s="1" t="s">
        <v>122</v>
      </c>
      <c r="D411" s="1" t="s">
        <v>735</v>
      </c>
      <c r="E411" s="4">
        <v>45474</v>
      </c>
      <c r="F411" s="4">
        <v>45657</v>
      </c>
      <c r="H411" s="5">
        <v>630663.80000000005</v>
      </c>
      <c r="I411" s="5">
        <v>42974.14</v>
      </c>
      <c r="J411" s="5">
        <v>12000</v>
      </c>
      <c r="K411" s="5">
        <v>22192.240000000002</v>
      </c>
      <c r="L411" s="5">
        <v>0</v>
      </c>
      <c r="M411" s="5">
        <v>77166.38</v>
      </c>
      <c r="N411" s="5">
        <v>493497.42</v>
      </c>
      <c r="O411" s="5">
        <v>0</v>
      </c>
      <c r="P411" s="5">
        <v>60000</v>
      </c>
      <c r="Q411" s="5">
        <v>553497.42000000004</v>
      </c>
      <c r="R411" s="1" t="s">
        <v>1051</v>
      </c>
      <c r="S411" s="1" t="s">
        <v>735</v>
      </c>
      <c r="T411" s="4">
        <v>45474</v>
      </c>
      <c r="U411" s="4">
        <v>45657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553497.42000000004</v>
      </c>
      <c r="AH411" s="5">
        <v>53199.48</v>
      </c>
      <c r="AI411" s="5">
        <v>0</v>
      </c>
      <c r="AJ411" s="5">
        <v>90099.16</v>
      </c>
      <c r="AK411" s="5">
        <v>0</v>
      </c>
      <c r="AL411" s="5">
        <v>0</v>
      </c>
      <c r="AM411" s="5">
        <v>36899.68</v>
      </c>
      <c r="AN411" s="5">
        <v>53199.48</v>
      </c>
      <c r="AO411" s="1" t="s">
        <v>126</v>
      </c>
    </row>
    <row r="412" spans="1:41" x14ac:dyDescent="0.25">
      <c r="A412" s="1">
        <f t="shared" si="7"/>
        <v>396</v>
      </c>
      <c r="B412" s="1" t="s">
        <v>605</v>
      </c>
      <c r="C412" s="1" t="s">
        <v>122</v>
      </c>
      <c r="D412" s="1" t="s">
        <v>736</v>
      </c>
      <c r="E412" s="4">
        <v>45495</v>
      </c>
      <c r="F412" s="4">
        <v>45657</v>
      </c>
      <c r="H412" s="5">
        <v>879971.26</v>
      </c>
      <c r="I412" s="5">
        <v>17900</v>
      </c>
      <c r="J412" s="5">
        <v>10000</v>
      </c>
      <c r="K412" s="5">
        <v>20250</v>
      </c>
      <c r="L412" s="5">
        <v>0</v>
      </c>
      <c r="M412" s="5">
        <v>48150</v>
      </c>
      <c r="N412" s="5">
        <v>736646.55</v>
      </c>
      <c r="O412" s="5">
        <v>45174.71</v>
      </c>
      <c r="P412" s="5">
        <v>50000</v>
      </c>
      <c r="Q412" s="5">
        <v>831821.26</v>
      </c>
      <c r="R412" s="1" t="s">
        <v>1052</v>
      </c>
      <c r="S412" s="1" t="s">
        <v>736</v>
      </c>
      <c r="T412" s="4">
        <v>45495</v>
      </c>
      <c r="U412" s="4">
        <v>45657</v>
      </c>
      <c r="W412" s="5">
        <v>1067531.6100000001</v>
      </c>
      <c r="X412" s="5">
        <v>72100</v>
      </c>
      <c r="Y412" s="5">
        <v>0</v>
      </c>
      <c r="Z412" s="5">
        <v>27710</v>
      </c>
      <c r="AA412" s="5">
        <v>183937.93</v>
      </c>
      <c r="AB412" s="5">
        <v>283747.93</v>
      </c>
      <c r="AC412" s="5">
        <v>783783.68</v>
      </c>
      <c r="AD412" s="5">
        <v>0</v>
      </c>
      <c r="AE412" s="5">
        <v>0</v>
      </c>
      <c r="AF412" s="5">
        <v>783783.68</v>
      </c>
      <c r="AG412" s="5">
        <v>1615604.94</v>
      </c>
      <c r="AH412" s="5">
        <v>306401.24</v>
      </c>
      <c r="AI412" s="5">
        <v>99256.73</v>
      </c>
      <c r="AJ412" s="5">
        <v>165224.94</v>
      </c>
      <c r="AK412" s="5">
        <v>0</v>
      </c>
      <c r="AL412" s="5">
        <v>41919.57</v>
      </c>
      <c r="AM412" s="5">
        <v>0</v>
      </c>
      <c r="AN412" s="5">
        <v>306401.24</v>
      </c>
      <c r="AO412" s="1" t="s">
        <v>126</v>
      </c>
    </row>
    <row r="413" spans="1:41" x14ac:dyDescent="0.25">
      <c r="A413" s="1">
        <f t="shared" si="7"/>
        <v>397</v>
      </c>
      <c r="B413" s="1" t="s">
        <v>606</v>
      </c>
      <c r="C413" s="1" t="s">
        <v>122</v>
      </c>
      <c r="D413" s="1" t="s">
        <v>736</v>
      </c>
      <c r="E413" s="4">
        <v>45495</v>
      </c>
      <c r="F413" s="4">
        <v>45657</v>
      </c>
      <c r="H413" s="5">
        <v>993620.69</v>
      </c>
      <c r="I413" s="5">
        <v>0</v>
      </c>
      <c r="J413" s="5">
        <v>10000</v>
      </c>
      <c r="K413" s="5">
        <v>20250</v>
      </c>
      <c r="L413" s="5">
        <v>0</v>
      </c>
      <c r="M413" s="5">
        <v>30250</v>
      </c>
      <c r="N413" s="5">
        <v>838370.69</v>
      </c>
      <c r="O413" s="5">
        <v>75000</v>
      </c>
      <c r="P413" s="5">
        <v>50000</v>
      </c>
      <c r="Q413" s="5">
        <v>963370.69</v>
      </c>
      <c r="R413" s="1" t="s">
        <v>1053</v>
      </c>
      <c r="S413" s="1" t="s">
        <v>736</v>
      </c>
      <c r="T413" s="4">
        <v>45495</v>
      </c>
      <c r="U413" s="4">
        <v>45657</v>
      </c>
      <c r="W413" s="5">
        <v>1147269.9099999999</v>
      </c>
      <c r="X413" s="5">
        <v>90000</v>
      </c>
      <c r="Y413" s="5">
        <v>20166.669999999998</v>
      </c>
      <c r="Z413" s="5">
        <v>26900</v>
      </c>
      <c r="AA413" s="5">
        <v>0</v>
      </c>
      <c r="AB413" s="5">
        <v>137066.67000000001</v>
      </c>
      <c r="AC413" s="5">
        <v>818774.05</v>
      </c>
      <c r="AD413" s="5">
        <v>163613.09</v>
      </c>
      <c r="AE413" s="5">
        <v>27816.1</v>
      </c>
      <c r="AF413" s="5">
        <v>1010203.24</v>
      </c>
      <c r="AG413" s="5">
        <v>1973573.93</v>
      </c>
      <c r="AH413" s="5">
        <v>395893.48</v>
      </c>
      <c r="AI413" s="5">
        <v>155050.81</v>
      </c>
      <c r="AJ413" s="5">
        <v>204522.32</v>
      </c>
      <c r="AK413" s="5">
        <v>0</v>
      </c>
      <c r="AL413" s="5">
        <v>36320.35</v>
      </c>
      <c r="AM413" s="5">
        <v>0</v>
      </c>
      <c r="AN413" s="5">
        <v>395893.48</v>
      </c>
      <c r="AO413" s="1" t="s">
        <v>126</v>
      </c>
    </row>
    <row r="414" spans="1:41" x14ac:dyDescent="0.25">
      <c r="A414" s="1">
        <f t="shared" si="7"/>
        <v>398</v>
      </c>
      <c r="B414" s="1" t="s">
        <v>607</v>
      </c>
      <c r="C414" s="1" t="s">
        <v>122</v>
      </c>
      <c r="D414" s="1" t="s">
        <v>736</v>
      </c>
      <c r="E414" s="4">
        <v>45495</v>
      </c>
      <c r="F414" s="4">
        <v>45657</v>
      </c>
      <c r="H414" s="5">
        <v>706718.79</v>
      </c>
      <c r="I414" s="5">
        <v>42049.81</v>
      </c>
      <c r="J414" s="5">
        <v>10000</v>
      </c>
      <c r="K414" s="5">
        <v>20250</v>
      </c>
      <c r="L414" s="5">
        <v>0</v>
      </c>
      <c r="M414" s="5">
        <v>72299.81</v>
      </c>
      <c r="N414" s="5">
        <v>484347.7</v>
      </c>
      <c r="O414" s="5">
        <v>0</v>
      </c>
      <c r="P414" s="5">
        <v>150071.28</v>
      </c>
      <c r="Q414" s="5">
        <v>634418.98</v>
      </c>
      <c r="R414" s="1" t="s">
        <v>1054</v>
      </c>
      <c r="S414" s="1" t="s">
        <v>736</v>
      </c>
      <c r="T414" s="4">
        <v>45495</v>
      </c>
      <c r="U414" s="4">
        <v>45657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634418.98</v>
      </c>
      <c r="AH414" s="5">
        <v>69383.8</v>
      </c>
      <c r="AI414" s="5">
        <v>0</v>
      </c>
      <c r="AJ414" s="5">
        <v>124984.24</v>
      </c>
      <c r="AK414" s="5">
        <v>0</v>
      </c>
      <c r="AL414" s="5">
        <v>0</v>
      </c>
      <c r="AM414" s="5">
        <v>55600.44</v>
      </c>
      <c r="AN414" s="5">
        <v>69383.8</v>
      </c>
      <c r="AO414" s="1" t="s">
        <v>126</v>
      </c>
    </row>
    <row r="415" spans="1:41" x14ac:dyDescent="0.25">
      <c r="A415" s="1">
        <f t="shared" ref="A415:A478" si="8">A414+1</f>
        <v>399</v>
      </c>
      <c r="B415" s="1" t="s">
        <v>608</v>
      </c>
      <c r="C415" s="1" t="s">
        <v>122</v>
      </c>
      <c r="D415" s="1" t="s">
        <v>736</v>
      </c>
      <c r="E415" s="4">
        <v>45502</v>
      </c>
      <c r="F415" s="4">
        <v>45657</v>
      </c>
      <c r="H415" s="5">
        <v>1061958.82</v>
      </c>
      <c r="I415" s="5">
        <v>77073.759999999995</v>
      </c>
      <c r="J415" s="5">
        <v>10000</v>
      </c>
      <c r="K415" s="5">
        <v>20250</v>
      </c>
      <c r="L415" s="5">
        <v>0</v>
      </c>
      <c r="M415" s="5">
        <v>107323.76</v>
      </c>
      <c r="N415" s="5">
        <v>904635.06</v>
      </c>
      <c r="O415" s="5">
        <v>0</v>
      </c>
      <c r="P415" s="5">
        <v>50000</v>
      </c>
      <c r="Q415" s="5">
        <v>954635.06</v>
      </c>
      <c r="R415" s="1" t="s">
        <v>1055</v>
      </c>
      <c r="S415" s="1" t="s">
        <v>736</v>
      </c>
      <c r="T415" s="4">
        <v>45502</v>
      </c>
      <c r="U415" s="4">
        <v>45657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954635.06</v>
      </c>
      <c r="AH415" s="5">
        <v>141158.76999999999</v>
      </c>
      <c r="AI415" s="5">
        <v>0</v>
      </c>
      <c r="AJ415" s="5">
        <v>204660.92</v>
      </c>
      <c r="AK415" s="5">
        <v>0</v>
      </c>
      <c r="AL415" s="5">
        <v>0</v>
      </c>
      <c r="AM415" s="5">
        <v>63502.15</v>
      </c>
      <c r="AN415" s="5">
        <v>141158.76999999999</v>
      </c>
      <c r="AO415" s="1" t="s">
        <v>126</v>
      </c>
    </row>
    <row r="416" spans="1:41" x14ac:dyDescent="0.25">
      <c r="A416" s="1">
        <f t="shared" si="8"/>
        <v>400</v>
      </c>
      <c r="B416" s="1" t="s">
        <v>609</v>
      </c>
      <c r="C416" s="1" t="s">
        <v>122</v>
      </c>
      <c r="D416" s="1" t="s">
        <v>736</v>
      </c>
      <c r="E416" s="4">
        <v>45502</v>
      </c>
      <c r="F416" s="4">
        <v>45657</v>
      </c>
      <c r="H416" s="5">
        <v>86808.92</v>
      </c>
      <c r="I416" s="5">
        <v>6084.77</v>
      </c>
      <c r="J416" s="5">
        <v>7500</v>
      </c>
      <c r="K416" s="5">
        <v>6295.69</v>
      </c>
      <c r="L416" s="5">
        <v>0</v>
      </c>
      <c r="M416" s="5">
        <v>19880.46</v>
      </c>
      <c r="N416" s="5">
        <v>66721.56</v>
      </c>
      <c r="O416" s="5">
        <v>0</v>
      </c>
      <c r="P416" s="5">
        <v>206.9</v>
      </c>
      <c r="Q416" s="5">
        <v>66928.460000000006</v>
      </c>
      <c r="R416" s="1" t="s">
        <v>1056</v>
      </c>
      <c r="S416" s="1" t="s">
        <v>736</v>
      </c>
      <c r="T416" s="4">
        <v>45502</v>
      </c>
      <c r="U416" s="4">
        <v>45657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66928.460000000006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1" t="s">
        <v>126</v>
      </c>
    </row>
    <row r="417" spans="1:41" x14ac:dyDescent="0.25">
      <c r="A417" s="1">
        <f t="shared" si="8"/>
        <v>401</v>
      </c>
      <c r="B417" s="1" t="s">
        <v>610</v>
      </c>
      <c r="C417" s="1" t="s">
        <v>122</v>
      </c>
      <c r="D417" s="1" t="s">
        <v>736</v>
      </c>
      <c r="E417" s="4">
        <v>45509</v>
      </c>
      <c r="F417" s="4">
        <v>45657</v>
      </c>
      <c r="H417" s="5">
        <v>104027.34</v>
      </c>
      <c r="I417" s="5">
        <v>7343.39</v>
      </c>
      <c r="J417" s="5">
        <v>6750</v>
      </c>
      <c r="K417" s="5">
        <v>7202.5</v>
      </c>
      <c r="L417" s="5">
        <v>0</v>
      </c>
      <c r="M417" s="5">
        <v>21295.89</v>
      </c>
      <c r="N417" s="5">
        <v>80918.19</v>
      </c>
      <c r="O417" s="5">
        <v>0</v>
      </c>
      <c r="P417" s="5">
        <v>1813.26</v>
      </c>
      <c r="Q417" s="5">
        <v>82731.45</v>
      </c>
      <c r="R417" s="1" t="s">
        <v>1057</v>
      </c>
      <c r="S417" s="1" t="s">
        <v>736</v>
      </c>
      <c r="T417" s="4">
        <v>45509</v>
      </c>
      <c r="U417" s="4">
        <v>45657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82731.45</v>
      </c>
      <c r="AH417" s="5">
        <v>0</v>
      </c>
      <c r="AI417" s="5">
        <v>0</v>
      </c>
      <c r="AJ417" s="5">
        <v>137.05000000000001</v>
      </c>
      <c r="AK417" s="5">
        <v>0</v>
      </c>
      <c r="AL417" s="5">
        <v>0</v>
      </c>
      <c r="AM417" s="5">
        <v>137.05000000000001</v>
      </c>
      <c r="AN417" s="5">
        <v>0</v>
      </c>
      <c r="AO417" s="1" t="s">
        <v>126</v>
      </c>
    </row>
    <row r="418" spans="1:41" x14ac:dyDescent="0.25">
      <c r="A418" s="1">
        <f t="shared" si="8"/>
        <v>402</v>
      </c>
      <c r="B418" s="1" t="s">
        <v>611</v>
      </c>
      <c r="C418" s="1" t="s">
        <v>122</v>
      </c>
      <c r="D418" s="1" t="s">
        <v>736</v>
      </c>
      <c r="E418" s="4">
        <v>45516</v>
      </c>
      <c r="F418" s="4">
        <v>45657</v>
      </c>
      <c r="H418" s="5">
        <v>771241.38</v>
      </c>
      <c r="I418" s="5">
        <v>55172.41</v>
      </c>
      <c r="J418" s="5">
        <v>9000</v>
      </c>
      <c r="K418" s="5">
        <v>18800</v>
      </c>
      <c r="L418" s="5">
        <v>0</v>
      </c>
      <c r="M418" s="5">
        <v>82972.41</v>
      </c>
      <c r="N418" s="5">
        <v>643268.97</v>
      </c>
      <c r="O418" s="5">
        <v>0</v>
      </c>
      <c r="P418" s="5">
        <v>45000</v>
      </c>
      <c r="Q418" s="5">
        <v>688268.97</v>
      </c>
      <c r="R418" s="1" t="s">
        <v>1058</v>
      </c>
      <c r="S418" s="1" t="s">
        <v>736</v>
      </c>
      <c r="T418" s="4">
        <v>45516</v>
      </c>
      <c r="U418" s="4">
        <v>45657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688268.97</v>
      </c>
      <c r="AH418" s="5">
        <v>80153.789999999994</v>
      </c>
      <c r="AI418" s="5">
        <v>0</v>
      </c>
      <c r="AJ418" s="5">
        <v>135504.29</v>
      </c>
      <c r="AK418" s="5">
        <v>0</v>
      </c>
      <c r="AL418" s="5">
        <v>0</v>
      </c>
      <c r="AM418" s="5">
        <v>55350.5</v>
      </c>
      <c r="AN418" s="5">
        <v>80153.789999999994</v>
      </c>
      <c r="AO418" s="1" t="s">
        <v>126</v>
      </c>
    </row>
    <row r="419" spans="1:41" x14ac:dyDescent="0.25">
      <c r="A419" s="1">
        <f t="shared" si="8"/>
        <v>403</v>
      </c>
      <c r="B419" s="1" t="s">
        <v>612</v>
      </c>
      <c r="C419" s="1" t="s">
        <v>122</v>
      </c>
      <c r="D419" s="1" t="s">
        <v>736</v>
      </c>
      <c r="E419" s="4">
        <v>45531</v>
      </c>
      <c r="F419" s="4">
        <v>45657</v>
      </c>
      <c r="H419" s="5">
        <v>118139.09</v>
      </c>
      <c r="I419" s="5">
        <v>7827.59</v>
      </c>
      <c r="J419" s="5">
        <v>6000</v>
      </c>
      <c r="K419" s="5">
        <v>8053.27</v>
      </c>
      <c r="L419" s="5">
        <v>0</v>
      </c>
      <c r="M419" s="5">
        <v>21880.86</v>
      </c>
      <c r="N419" s="5">
        <v>85877.759999999995</v>
      </c>
      <c r="O419" s="5">
        <v>0</v>
      </c>
      <c r="P419" s="5">
        <v>10380.469999999999</v>
      </c>
      <c r="Q419" s="5">
        <v>96258.23</v>
      </c>
      <c r="R419" s="1" t="s">
        <v>1059</v>
      </c>
      <c r="S419" s="1" t="s">
        <v>736</v>
      </c>
      <c r="T419" s="4">
        <v>45531</v>
      </c>
      <c r="U419" s="4">
        <v>45657</v>
      </c>
      <c r="W419" s="5">
        <v>77228.960000000006</v>
      </c>
      <c r="X419" s="5">
        <v>3796.57</v>
      </c>
      <c r="Y419" s="5">
        <v>9506.17</v>
      </c>
      <c r="Z419" s="5">
        <v>3124.93</v>
      </c>
      <c r="AA419" s="5">
        <v>512.84</v>
      </c>
      <c r="AB419" s="5">
        <v>16940.509999999998</v>
      </c>
      <c r="AC419" s="5">
        <v>42164.28</v>
      </c>
      <c r="AD419" s="5">
        <v>0</v>
      </c>
      <c r="AE419" s="5">
        <v>18124.169999999998</v>
      </c>
      <c r="AF419" s="5">
        <v>60288.45</v>
      </c>
      <c r="AG419" s="5">
        <v>156546.68</v>
      </c>
      <c r="AH419" s="5">
        <v>0</v>
      </c>
      <c r="AI419" s="5">
        <v>0</v>
      </c>
      <c r="AJ419" s="5">
        <v>2050.9499999999998</v>
      </c>
      <c r="AK419" s="5">
        <v>0</v>
      </c>
      <c r="AL419" s="5">
        <v>0</v>
      </c>
      <c r="AM419" s="5">
        <v>2050.9499999999998</v>
      </c>
      <c r="AN419" s="5">
        <v>0</v>
      </c>
      <c r="AO419" s="1" t="s">
        <v>126</v>
      </c>
    </row>
    <row r="420" spans="1:41" x14ac:dyDescent="0.25">
      <c r="A420" s="1">
        <f t="shared" si="8"/>
        <v>404</v>
      </c>
      <c r="B420" s="1" t="s">
        <v>613</v>
      </c>
      <c r="C420" s="1" t="s">
        <v>122</v>
      </c>
      <c r="D420" s="1" t="s">
        <v>736</v>
      </c>
      <c r="E420" s="4">
        <v>45533</v>
      </c>
      <c r="F420" s="4">
        <v>45657</v>
      </c>
      <c r="H420" s="5">
        <v>108342.46</v>
      </c>
      <c r="I420" s="5">
        <v>7459.77</v>
      </c>
      <c r="J420" s="5">
        <v>6000</v>
      </c>
      <c r="K420" s="5">
        <v>7515.43</v>
      </c>
      <c r="L420" s="5">
        <v>0</v>
      </c>
      <c r="M420" s="5">
        <v>20975.200000000001</v>
      </c>
      <c r="N420" s="5">
        <v>79794.91</v>
      </c>
      <c r="O420" s="5">
        <v>0</v>
      </c>
      <c r="P420" s="5">
        <v>7572.35</v>
      </c>
      <c r="Q420" s="5">
        <v>87367.26</v>
      </c>
      <c r="R420" s="1" t="s">
        <v>1060</v>
      </c>
      <c r="S420" s="1" t="s">
        <v>736</v>
      </c>
      <c r="T420" s="4">
        <v>45533</v>
      </c>
      <c r="U420" s="4">
        <v>45657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87367.26</v>
      </c>
      <c r="AH420" s="5">
        <v>0</v>
      </c>
      <c r="AI420" s="5">
        <v>0</v>
      </c>
      <c r="AJ420" s="5">
        <v>1421.67</v>
      </c>
      <c r="AK420" s="5">
        <v>0</v>
      </c>
      <c r="AL420" s="5">
        <v>0</v>
      </c>
      <c r="AM420" s="5">
        <v>1421.67</v>
      </c>
      <c r="AN420" s="5">
        <v>0</v>
      </c>
      <c r="AO420" s="1" t="s">
        <v>126</v>
      </c>
    </row>
    <row r="421" spans="1:41" x14ac:dyDescent="0.25">
      <c r="A421" s="1">
        <f t="shared" si="8"/>
        <v>405</v>
      </c>
      <c r="B421" s="1" t="s">
        <v>614</v>
      </c>
      <c r="C421" s="1" t="s">
        <v>122</v>
      </c>
      <c r="D421" s="1" t="s">
        <v>736</v>
      </c>
      <c r="E421" s="4">
        <v>45537</v>
      </c>
      <c r="F421" s="4">
        <v>45657</v>
      </c>
      <c r="H421" s="5">
        <v>84898.46</v>
      </c>
      <c r="I421" s="5">
        <v>6024.9</v>
      </c>
      <c r="J421" s="5">
        <v>6000</v>
      </c>
      <c r="K421" s="5">
        <v>6152.44</v>
      </c>
      <c r="L421" s="5">
        <v>0</v>
      </c>
      <c r="M421" s="5">
        <v>18177.34</v>
      </c>
      <c r="N421" s="5">
        <v>66146.41</v>
      </c>
      <c r="O421" s="5">
        <v>0</v>
      </c>
      <c r="P421" s="5">
        <v>574.71</v>
      </c>
      <c r="Q421" s="5">
        <v>66721.119999999995</v>
      </c>
      <c r="R421" s="1" t="s">
        <v>1061</v>
      </c>
      <c r="S421" s="1" t="s">
        <v>736</v>
      </c>
      <c r="T421" s="4">
        <v>45537</v>
      </c>
      <c r="U421" s="4">
        <v>45657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66721.119999999995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1" t="s">
        <v>126</v>
      </c>
    </row>
    <row r="422" spans="1:41" x14ac:dyDescent="0.25">
      <c r="A422" s="1">
        <f t="shared" si="8"/>
        <v>406</v>
      </c>
      <c r="B422" s="1" t="s">
        <v>615</v>
      </c>
      <c r="C422" s="1" t="s">
        <v>122</v>
      </c>
      <c r="D422" s="1" t="s">
        <v>736</v>
      </c>
      <c r="E422" s="4">
        <v>45537</v>
      </c>
      <c r="F422" s="4">
        <v>45657</v>
      </c>
      <c r="H422" s="5">
        <v>87556.52</v>
      </c>
      <c r="I422" s="5">
        <v>6216.48</v>
      </c>
      <c r="J422" s="5">
        <v>6000</v>
      </c>
      <c r="K422" s="5">
        <v>6264.94</v>
      </c>
      <c r="L422" s="5">
        <v>0</v>
      </c>
      <c r="M422" s="5">
        <v>18481.419999999998</v>
      </c>
      <c r="N422" s="5">
        <v>68332.759999999995</v>
      </c>
      <c r="O422" s="5">
        <v>0</v>
      </c>
      <c r="P422" s="5">
        <v>742.34</v>
      </c>
      <c r="Q422" s="5">
        <v>69075.100000000006</v>
      </c>
      <c r="R422" s="1" t="s">
        <v>1062</v>
      </c>
      <c r="S422" s="1" t="s">
        <v>736</v>
      </c>
      <c r="T422" s="4">
        <v>45537</v>
      </c>
      <c r="U422" s="4">
        <v>45657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69075.100000000006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1" t="s">
        <v>126</v>
      </c>
    </row>
    <row r="423" spans="1:41" x14ac:dyDescent="0.25">
      <c r="A423" s="1">
        <f t="shared" si="8"/>
        <v>407</v>
      </c>
      <c r="B423" s="1" t="s">
        <v>616</v>
      </c>
      <c r="C423" s="1" t="s">
        <v>122</v>
      </c>
      <c r="D423" s="1" t="s">
        <v>736</v>
      </c>
      <c r="E423" s="4">
        <v>45537</v>
      </c>
      <c r="F423" s="4">
        <v>45657</v>
      </c>
      <c r="H423" s="5">
        <v>81499.53</v>
      </c>
      <c r="I423" s="5">
        <v>5832.86</v>
      </c>
      <c r="J423" s="5">
        <v>6000</v>
      </c>
      <c r="K423" s="5">
        <v>5924.19</v>
      </c>
      <c r="L423" s="5">
        <v>0</v>
      </c>
      <c r="M423" s="5">
        <v>17757.05</v>
      </c>
      <c r="N423" s="5">
        <v>63196.51</v>
      </c>
      <c r="O423" s="5">
        <v>0</v>
      </c>
      <c r="P423" s="5">
        <v>545.97</v>
      </c>
      <c r="Q423" s="5">
        <v>63742.48</v>
      </c>
      <c r="R423" s="1" t="s">
        <v>1063</v>
      </c>
      <c r="S423" s="1" t="s">
        <v>736</v>
      </c>
      <c r="T423" s="4">
        <v>45537</v>
      </c>
      <c r="U423" s="4">
        <v>45657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63742.48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1" t="s">
        <v>126</v>
      </c>
    </row>
    <row r="424" spans="1:41" x14ac:dyDescent="0.25">
      <c r="A424" s="1">
        <f t="shared" si="8"/>
        <v>408</v>
      </c>
      <c r="B424" s="1" t="s">
        <v>617</v>
      </c>
      <c r="C424" s="1" t="s">
        <v>122</v>
      </c>
      <c r="D424" s="1" t="s">
        <v>736</v>
      </c>
      <c r="E424" s="4">
        <v>45537</v>
      </c>
      <c r="F424" s="4">
        <v>45657</v>
      </c>
      <c r="H424" s="5">
        <v>95843.87</v>
      </c>
      <c r="I424" s="5">
        <v>6838.12</v>
      </c>
      <c r="J424" s="5">
        <v>6000</v>
      </c>
      <c r="K424" s="5">
        <v>6788.93</v>
      </c>
      <c r="L424" s="5">
        <v>0</v>
      </c>
      <c r="M424" s="5">
        <v>19627.05</v>
      </c>
      <c r="N424" s="5">
        <v>75268.539999999994</v>
      </c>
      <c r="O424" s="5">
        <v>0</v>
      </c>
      <c r="P424" s="5">
        <v>948.28</v>
      </c>
      <c r="Q424" s="5">
        <v>76216.820000000007</v>
      </c>
      <c r="R424" s="1" t="s">
        <v>1064</v>
      </c>
      <c r="S424" s="1" t="s">
        <v>736</v>
      </c>
      <c r="T424" s="4">
        <v>45537</v>
      </c>
      <c r="U424" s="4">
        <v>45657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76216.820000000007</v>
      </c>
      <c r="AH424" s="5">
        <v>0</v>
      </c>
      <c r="AI424" s="5">
        <v>0</v>
      </c>
      <c r="AJ424" s="5">
        <v>21.32</v>
      </c>
      <c r="AK424" s="5">
        <v>0</v>
      </c>
      <c r="AL424" s="5">
        <v>0</v>
      </c>
      <c r="AM424" s="5">
        <v>21.32</v>
      </c>
      <c r="AN424" s="5">
        <v>0</v>
      </c>
      <c r="AO424" s="1" t="s">
        <v>126</v>
      </c>
    </row>
    <row r="425" spans="1:41" x14ac:dyDescent="0.25">
      <c r="A425" s="1">
        <f t="shared" si="8"/>
        <v>409</v>
      </c>
      <c r="B425" s="1" t="s">
        <v>618</v>
      </c>
      <c r="C425" s="1" t="s">
        <v>122</v>
      </c>
      <c r="D425" s="1" t="s">
        <v>736</v>
      </c>
      <c r="E425" s="4">
        <v>45537</v>
      </c>
      <c r="F425" s="4">
        <v>45657</v>
      </c>
      <c r="H425" s="5">
        <v>146687.26</v>
      </c>
      <c r="I425" s="5">
        <v>10744.73</v>
      </c>
      <c r="J425" s="5">
        <v>6000</v>
      </c>
      <c r="K425" s="5">
        <v>9261.15</v>
      </c>
      <c r="L425" s="5">
        <v>0</v>
      </c>
      <c r="M425" s="5">
        <v>26005.88</v>
      </c>
      <c r="N425" s="5">
        <v>119675.63</v>
      </c>
      <c r="O425" s="5">
        <v>0</v>
      </c>
      <c r="P425" s="5">
        <v>1005.75</v>
      </c>
      <c r="Q425" s="5">
        <v>120681.38</v>
      </c>
      <c r="R425" s="1" t="s">
        <v>1065</v>
      </c>
      <c r="S425" s="1" t="s">
        <v>736</v>
      </c>
      <c r="T425" s="4">
        <v>45537</v>
      </c>
      <c r="U425" s="4">
        <v>45657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120681.38</v>
      </c>
      <c r="AH425" s="5">
        <v>0</v>
      </c>
      <c r="AI425" s="5">
        <v>0</v>
      </c>
      <c r="AJ425" s="5">
        <v>6080.44</v>
      </c>
      <c r="AK425" s="5">
        <v>0</v>
      </c>
      <c r="AL425" s="5">
        <v>0</v>
      </c>
      <c r="AM425" s="5">
        <v>6080.44</v>
      </c>
      <c r="AN425" s="5">
        <v>0</v>
      </c>
      <c r="AO425" s="1" t="s">
        <v>126</v>
      </c>
    </row>
    <row r="426" spans="1:41" x14ac:dyDescent="0.25">
      <c r="A426" s="1">
        <f t="shared" si="8"/>
        <v>410</v>
      </c>
      <c r="B426" s="1" t="s">
        <v>619</v>
      </c>
      <c r="C426" s="1" t="s">
        <v>122</v>
      </c>
      <c r="D426" s="1" t="s">
        <v>736</v>
      </c>
      <c r="E426" s="4">
        <v>45537</v>
      </c>
      <c r="F426" s="4">
        <v>45657</v>
      </c>
      <c r="H426" s="5">
        <v>110785.37</v>
      </c>
      <c r="I426" s="5">
        <v>7981.8</v>
      </c>
      <c r="J426" s="5">
        <v>6000</v>
      </c>
      <c r="K426" s="5">
        <v>7791.92</v>
      </c>
      <c r="L426" s="5">
        <v>0</v>
      </c>
      <c r="M426" s="5">
        <v>21773.72</v>
      </c>
      <c r="N426" s="5">
        <v>87989.69</v>
      </c>
      <c r="O426" s="5">
        <v>0</v>
      </c>
      <c r="P426" s="5">
        <v>1021.96</v>
      </c>
      <c r="Q426" s="5">
        <v>89011.65</v>
      </c>
      <c r="R426" s="1" t="s">
        <v>1066</v>
      </c>
      <c r="S426" s="1" t="s">
        <v>736</v>
      </c>
      <c r="T426" s="4">
        <v>45537</v>
      </c>
      <c r="U426" s="4">
        <v>45657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89011.65</v>
      </c>
      <c r="AH426" s="5">
        <v>0</v>
      </c>
      <c r="AI426" s="5">
        <v>0</v>
      </c>
      <c r="AJ426" s="5">
        <v>1625.35</v>
      </c>
      <c r="AK426" s="5">
        <v>0</v>
      </c>
      <c r="AL426" s="5">
        <v>0</v>
      </c>
      <c r="AM426" s="5">
        <v>1625.35</v>
      </c>
      <c r="AN426" s="5">
        <v>0</v>
      </c>
      <c r="AO426" s="1" t="s">
        <v>126</v>
      </c>
    </row>
    <row r="427" spans="1:41" x14ac:dyDescent="0.25">
      <c r="A427" s="1">
        <f t="shared" si="8"/>
        <v>411</v>
      </c>
      <c r="B427" s="1" t="s">
        <v>620</v>
      </c>
      <c r="C427" s="1" t="s">
        <v>122</v>
      </c>
      <c r="D427" s="1" t="s">
        <v>735</v>
      </c>
      <c r="E427" s="4">
        <v>45292</v>
      </c>
      <c r="F427" s="4">
        <v>45657</v>
      </c>
      <c r="H427" s="5">
        <v>501691.36</v>
      </c>
      <c r="I427" s="5">
        <v>43548.46</v>
      </c>
      <c r="J427" s="5">
        <v>26900</v>
      </c>
      <c r="K427" s="5">
        <v>24956.11</v>
      </c>
      <c r="L427" s="5">
        <v>15000</v>
      </c>
      <c r="M427" s="5">
        <v>110404.57</v>
      </c>
      <c r="N427" s="5">
        <v>391280.84</v>
      </c>
      <c r="O427" s="5">
        <v>0</v>
      </c>
      <c r="P427" s="5">
        <v>5.95</v>
      </c>
      <c r="Q427" s="5">
        <v>391286.79</v>
      </c>
      <c r="R427" s="1" t="s">
        <v>1067</v>
      </c>
      <c r="S427" s="1" t="s">
        <v>735</v>
      </c>
      <c r="T427" s="4">
        <v>45292</v>
      </c>
      <c r="U427" s="4">
        <v>45657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391286.79</v>
      </c>
      <c r="AH427" s="5">
        <v>21193.02</v>
      </c>
      <c r="AI427" s="5">
        <v>0</v>
      </c>
      <c r="AJ427" s="5">
        <v>36443.32</v>
      </c>
      <c r="AK427" s="5">
        <v>0</v>
      </c>
      <c r="AL427" s="5">
        <v>0</v>
      </c>
      <c r="AM427" s="5">
        <v>15250.3</v>
      </c>
      <c r="AN427" s="5">
        <v>21193.02</v>
      </c>
      <c r="AO427" s="1" t="s">
        <v>1177</v>
      </c>
    </row>
    <row r="428" spans="1:41" x14ac:dyDescent="0.25">
      <c r="A428" s="1">
        <f t="shared" si="8"/>
        <v>412</v>
      </c>
      <c r="B428" s="1" t="s">
        <v>621</v>
      </c>
      <c r="C428" s="1" t="s">
        <v>122</v>
      </c>
      <c r="D428" s="1" t="s">
        <v>736</v>
      </c>
      <c r="E428" s="4">
        <v>45544</v>
      </c>
      <c r="F428" s="4">
        <v>45657</v>
      </c>
      <c r="H428" s="5">
        <v>125234.24000000001</v>
      </c>
      <c r="I428" s="5">
        <v>9081.9</v>
      </c>
      <c r="J428" s="5">
        <v>5250</v>
      </c>
      <c r="K428" s="5">
        <v>8027.07</v>
      </c>
      <c r="L428" s="5">
        <v>0</v>
      </c>
      <c r="M428" s="5">
        <v>22358.97</v>
      </c>
      <c r="N428" s="5">
        <v>100955.69</v>
      </c>
      <c r="O428" s="5">
        <v>0</v>
      </c>
      <c r="P428" s="5">
        <v>1919.58</v>
      </c>
      <c r="Q428" s="5">
        <v>102875.27</v>
      </c>
      <c r="R428" s="1" t="s">
        <v>1068</v>
      </c>
      <c r="S428" s="1" t="s">
        <v>736</v>
      </c>
      <c r="T428" s="4">
        <v>45544</v>
      </c>
      <c r="U428" s="4">
        <v>45657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102875.27</v>
      </c>
      <c r="AH428" s="5">
        <v>0</v>
      </c>
      <c r="AI428" s="5">
        <v>0</v>
      </c>
      <c r="AJ428" s="5">
        <v>4493.45</v>
      </c>
      <c r="AK428" s="5">
        <v>0</v>
      </c>
      <c r="AL428" s="5">
        <v>0</v>
      </c>
      <c r="AM428" s="5">
        <v>4493.45</v>
      </c>
      <c r="AN428" s="5">
        <v>0</v>
      </c>
      <c r="AO428" s="1" t="s">
        <v>126</v>
      </c>
    </row>
    <row r="429" spans="1:41" x14ac:dyDescent="0.25">
      <c r="A429" s="1">
        <f t="shared" si="8"/>
        <v>413</v>
      </c>
      <c r="B429" s="1" t="s">
        <v>622</v>
      </c>
      <c r="C429" s="1" t="s">
        <v>122</v>
      </c>
      <c r="D429" s="1" t="s">
        <v>736</v>
      </c>
      <c r="E429" s="4">
        <v>45544</v>
      </c>
      <c r="F429" s="4">
        <v>45657</v>
      </c>
      <c r="H429" s="5">
        <v>791616.86</v>
      </c>
      <c r="I429" s="5">
        <v>57662.84</v>
      </c>
      <c r="J429" s="5">
        <v>7000</v>
      </c>
      <c r="K429" s="5">
        <v>14750</v>
      </c>
      <c r="L429" s="5">
        <v>0</v>
      </c>
      <c r="M429" s="5">
        <v>79412.84</v>
      </c>
      <c r="N429" s="5">
        <v>677204.02</v>
      </c>
      <c r="O429" s="5">
        <v>0</v>
      </c>
      <c r="P429" s="5">
        <v>35000</v>
      </c>
      <c r="Q429" s="5">
        <v>712204.02</v>
      </c>
      <c r="R429" s="1" t="s">
        <v>1069</v>
      </c>
      <c r="S429" s="1" t="s">
        <v>736</v>
      </c>
      <c r="T429" s="4">
        <v>45544</v>
      </c>
      <c r="U429" s="4">
        <v>45657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712204.02</v>
      </c>
      <c r="AH429" s="5">
        <v>84940.800000000003</v>
      </c>
      <c r="AI429" s="5">
        <v>0</v>
      </c>
      <c r="AJ429" s="5">
        <v>150056.81</v>
      </c>
      <c r="AK429" s="5">
        <v>0</v>
      </c>
      <c r="AL429" s="5">
        <v>0</v>
      </c>
      <c r="AM429" s="5">
        <v>65116.01</v>
      </c>
      <c r="AN429" s="5">
        <v>84940.800000000003</v>
      </c>
      <c r="AO429" s="1" t="s">
        <v>126</v>
      </c>
    </row>
    <row r="430" spans="1:41" x14ac:dyDescent="0.25">
      <c r="A430" s="1">
        <f t="shared" si="8"/>
        <v>414</v>
      </c>
      <c r="B430" s="1" t="s">
        <v>623</v>
      </c>
      <c r="C430" s="1" t="s">
        <v>122</v>
      </c>
      <c r="D430" s="1" t="s">
        <v>736</v>
      </c>
      <c r="E430" s="4">
        <v>45544</v>
      </c>
      <c r="F430" s="4">
        <v>45657</v>
      </c>
      <c r="H430" s="5">
        <v>104403.36</v>
      </c>
      <c r="I430" s="5">
        <v>7784.48</v>
      </c>
      <c r="J430" s="5">
        <v>0</v>
      </c>
      <c r="K430" s="5">
        <v>7277.84</v>
      </c>
      <c r="L430" s="5">
        <v>0</v>
      </c>
      <c r="M430" s="5">
        <v>15062.32</v>
      </c>
      <c r="N430" s="5">
        <v>86135.95</v>
      </c>
      <c r="O430" s="5">
        <v>0</v>
      </c>
      <c r="P430" s="5">
        <v>3205.09</v>
      </c>
      <c r="Q430" s="5">
        <v>89341.04</v>
      </c>
      <c r="R430" s="1" t="s">
        <v>1070</v>
      </c>
      <c r="S430" s="1" t="s">
        <v>736</v>
      </c>
      <c r="T430" s="4">
        <v>45544</v>
      </c>
      <c r="U430" s="4">
        <v>45657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89341.04</v>
      </c>
      <c r="AH430" s="5">
        <v>0</v>
      </c>
      <c r="AI430" s="5">
        <v>0</v>
      </c>
      <c r="AJ430" s="5">
        <v>2463.31</v>
      </c>
      <c r="AK430" s="5">
        <v>0</v>
      </c>
      <c r="AL430" s="5">
        <v>0</v>
      </c>
      <c r="AM430" s="5">
        <v>2463.31</v>
      </c>
      <c r="AN430" s="5">
        <v>0</v>
      </c>
      <c r="AO430" s="1" t="s">
        <v>126</v>
      </c>
    </row>
    <row r="431" spans="1:41" x14ac:dyDescent="0.25">
      <c r="A431" s="1">
        <f t="shared" si="8"/>
        <v>415</v>
      </c>
      <c r="B431" s="1" t="s">
        <v>624</v>
      </c>
      <c r="C431" s="1" t="s">
        <v>122</v>
      </c>
      <c r="D431" s="1" t="s">
        <v>736</v>
      </c>
      <c r="E431" s="4">
        <v>45552</v>
      </c>
      <c r="F431" s="4">
        <v>45657</v>
      </c>
      <c r="H431" s="5">
        <v>80557</v>
      </c>
      <c r="I431" s="5">
        <v>5752.87</v>
      </c>
      <c r="J431" s="5">
        <v>4500</v>
      </c>
      <c r="K431" s="5">
        <v>5625</v>
      </c>
      <c r="L431" s="5">
        <v>0</v>
      </c>
      <c r="M431" s="5">
        <v>15877.87</v>
      </c>
      <c r="N431" s="5">
        <v>63409.49</v>
      </c>
      <c r="O431" s="5">
        <v>0</v>
      </c>
      <c r="P431" s="5">
        <v>1269.6400000000001</v>
      </c>
      <c r="Q431" s="5">
        <v>64679.13</v>
      </c>
      <c r="R431" s="1" t="s">
        <v>1071</v>
      </c>
      <c r="S431" s="1" t="s">
        <v>736</v>
      </c>
      <c r="T431" s="4">
        <v>45552</v>
      </c>
      <c r="U431" s="4">
        <v>45657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64679.13</v>
      </c>
      <c r="AH431" s="5">
        <v>0</v>
      </c>
      <c r="AI431" s="5">
        <v>0</v>
      </c>
      <c r="AJ431" s="5">
        <v>611.71</v>
      </c>
      <c r="AK431" s="5">
        <v>0</v>
      </c>
      <c r="AL431" s="5">
        <v>0</v>
      </c>
      <c r="AM431" s="5">
        <v>611.71</v>
      </c>
      <c r="AN431" s="5">
        <v>0</v>
      </c>
      <c r="AO431" s="1" t="s">
        <v>126</v>
      </c>
    </row>
    <row r="432" spans="1:41" x14ac:dyDescent="0.25">
      <c r="A432" s="1">
        <f t="shared" si="8"/>
        <v>416</v>
      </c>
      <c r="B432" s="1" t="s">
        <v>625</v>
      </c>
      <c r="C432" s="1" t="s">
        <v>122</v>
      </c>
      <c r="D432" s="1" t="s">
        <v>736</v>
      </c>
      <c r="E432" s="4">
        <v>45558</v>
      </c>
      <c r="F432" s="4">
        <v>45657</v>
      </c>
      <c r="H432" s="5">
        <v>60623.7</v>
      </c>
      <c r="I432" s="5">
        <v>4500</v>
      </c>
      <c r="J432" s="5">
        <v>4500</v>
      </c>
      <c r="K432" s="5">
        <v>4697.5</v>
      </c>
      <c r="L432" s="5">
        <v>0</v>
      </c>
      <c r="M432" s="5">
        <v>13697.5</v>
      </c>
      <c r="N432" s="5">
        <v>46819.73</v>
      </c>
      <c r="O432" s="5">
        <v>0</v>
      </c>
      <c r="P432" s="5">
        <v>106.47</v>
      </c>
      <c r="Q432" s="5">
        <v>46926.2</v>
      </c>
      <c r="R432" s="1" t="s">
        <v>1072</v>
      </c>
      <c r="S432" s="1" t="s">
        <v>736</v>
      </c>
      <c r="T432" s="4">
        <v>45558</v>
      </c>
      <c r="U432" s="4">
        <v>45657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46926.2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1" t="s">
        <v>126</v>
      </c>
    </row>
    <row r="433" spans="1:41" x14ac:dyDescent="0.25">
      <c r="A433" s="1">
        <f t="shared" si="8"/>
        <v>417</v>
      </c>
      <c r="B433" s="1" t="s">
        <v>626</v>
      </c>
      <c r="C433" s="1" t="s">
        <v>122</v>
      </c>
      <c r="D433" s="1" t="s">
        <v>736</v>
      </c>
      <c r="E433" s="4">
        <v>45558</v>
      </c>
      <c r="F433" s="4">
        <v>45657</v>
      </c>
      <c r="H433" s="5">
        <v>71655.17</v>
      </c>
      <c r="I433" s="5">
        <v>5000</v>
      </c>
      <c r="J433" s="5">
        <v>4500</v>
      </c>
      <c r="K433" s="5">
        <v>5115</v>
      </c>
      <c r="L433" s="5">
        <v>0</v>
      </c>
      <c r="M433" s="5">
        <v>14615</v>
      </c>
      <c r="N433" s="5">
        <v>54885</v>
      </c>
      <c r="O433" s="5">
        <v>0</v>
      </c>
      <c r="P433" s="5">
        <v>2155.17</v>
      </c>
      <c r="Q433" s="5">
        <v>57040.17</v>
      </c>
      <c r="R433" s="1" t="s">
        <v>1073</v>
      </c>
      <c r="S433" s="1" t="s">
        <v>736</v>
      </c>
      <c r="T433" s="4">
        <v>45558</v>
      </c>
      <c r="U433" s="4">
        <v>45657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57040.17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1" t="s">
        <v>126</v>
      </c>
    </row>
    <row r="434" spans="1:41" x14ac:dyDescent="0.25">
      <c r="A434" s="1">
        <f t="shared" si="8"/>
        <v>418</v>
      </c>
      <c r="B434" s="1" t="s">
        <v>627</v>
      </c>
      <c r="C434" s="1" t="s">
        <v>122</v>
      </c>
      <c r="D434" s="1" t="s">
        <v>736</v>
      </c>
      <c r="E434" s="4">
        <v>45558</v>
      </c>
      <c r="F434" s="4">
        <v>45657</v>
      </c>
      <c r="H434" s="5">
        <v>68101.14</v>
      </c>
      <c r="I434" s="5">
        <v>4375</v>
      </c>
      <c r="J434" s="5">
        <v>4500</v>
      </c>
      <c r="K434" s="5">
        <v>4770</v>
      </c>
      <c r="L434" s="5">
        <v>0</v>
      </c>
      <c r="M434" s="5">
        <v>13645</v>
      </c>
      <c r="N434" s="5">
        <v>47730</v>
      </c>
      <c r="O434" s="5">
        <v>0</v>
      </c>
      <c r="P434" s="5">
        <v>6726.14</v>
      </c>
      <c r="Q434" s="5">
        <v>54456.14</v>
      </c>
      <c r="R434" s="1" t="s">
        <v>1074</v>
      </c>
      <c r="S434" s="1" t="s">
        <v>736</v>
      </c>
      <c r="T434" s="4">
        <v>45558</v>
      </c>
      <c r="U434" s="4">
        <v>45657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54456.14</v>
      </c>
      <c r="AH434" s="5">
        <v>0</v>
      </c>
      <c r="AI434" s="5">
        <v>0</v>
      </c>
      <c r="AJ434" s="5">
        <v>213.36</v>
      </c>
      <c r="AK434" s="5">
        <v>0</v>
      </c>
      <c r="AL434" s="5">
        <v>0</v>
      </c>
      <c r="AM434" s="5">
        <v>213.36</v>
      </c>
      <c r="AN434" s="5">
        <v>0</v>
      </c>
      <c r="AO434" s="1" t="s">
        <v>126</v>
      </c>
    </row>
    <row r="435" spans="1:41" x14ac:dyDescent="0.25">
      <c r="A435" s="1">
        <f t="shared" si="8"/>
        <v>419</v>
      </c>
      <c r="B435" s="1" t="s">
        <v>628</v>
      </c>
      <c r="C435" s="1" t="s">
        <v>122</v>
      </c>
      <c r="D435" s="1" t="s">
        <v>736</v>
      </c>
      <c r="E435" s="4">
        <v>45565</v>
      </c>
      <c r="F435" s="4">
        <v>45657</v>
      </c>
      <c r="H435" s="5">
        <v>85381.29</v>
      </c>
      <c r="I435" s="5">
        <v>6245.69</v>
      </c>
      <c r="J435" s="5">
        <v>0</v>
      </c>
      <c r="K435" s="5">
        <v>6135</v>
      </c>
      <c r="L435" s="5">
        <v>0</v>
      </c>
      <c r="M435" s="5">
        <v>12380.69</v>
      </c>
      <c r="N435" s="5">
        <v>68813.279999999999</v>
      </c>
      <c r="O435" s="5">
        <v>0</v>
      </c>
      <c r="P435" s="5">
        <v>4187.32</v>
      </c>
      <c r="Q435" s="5">
        <v>73000.600000000006</v>
      </c>
      <c r="R435" s="1" t="s">
        <v>1075</v>
      </c>
      <c r="S435" s="1" t="s">
        <v>736</v>
      </c>
      <c r="T435" s="4">
        <v>45565</v>
      </c>
      <c r="U435" s="4">
        <v>45657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73000.600000000006</v>
      </c>
      <c r="AH435" s="5">
        <v>0</v>
      </c>
      <c r="AI435" s="5">
        <v>0</v>
      </c>
      <c r="AJ435" s="5">
        <v>2138.2199999999998</v>
      </c>
      <c r="AK435" s="5">
        <v>0</v>
      </c>
      <c r="AL435" s="5">
        <v>0</v>
      </c>
      <c r="AM435" s="5">
        <v>2138.2199999999998</v>
      </c>
      <c r="AN435" s="5">
        <v>0</v>
      </c>
      <c r="AO435" s="1" t="s">
        <v>126</v>
      </c>
    </row>
    <row r="436" spans="1:41" x14ac:dyDescent="0.25">
      <c r="A436" s="1">
        <f t="shared" si="8"/>
        <v>420</v>
      </c>
      <c r="B436" s="1" t="s">
        <v>629</v>
      </c>
      <c r="C436" s="1" t="s">
        <v>122</v>
      </c>
      <c r="D436" s="1" t="s">
        <v>736</v>
      </c>
      <c r="E436" s="4">
        <v>45565</v>
      </c>
      <c r="F436" s="4">
        <v>45657</v>
      </c>
      <c r="H436" s="5">
        <v>245074.72</v>
      </c>
      <c r="I436" s="5">
        <v>18505.75</v>
      </c>
      <c r="J436" s="5">
        <v>4500</v>
      </c>
      <c r="K436" s="5">
        <v>10650</v>
      </c>
      <c r="L436" s="5">
        <v>0</v>
      </c>
      <c r="M436" s="5">
        <v>33655.75</v>
      </c>
      <c r="N436" s="5">
        <v>211418.97</v>
      </c>
      <c r="O436" s="5">
        <v>0</v>
      </c>
      <c r="P436" s="5">
        <v>0</v>
      </c>
      <c r="Q436" s="5">
        <v>211418.97</v>
      </c>
      <c r="R436" s="1" t="s">
        <v>1076</v>
      </c>
      <c r="S436" s="1" t="s">
        <v>736</v>
      </c>
      <c r="T436" s="4">
        <v>45565</v>
      </c>
      <c r="U436" s="4">
        <v>45657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211418.97</v>
      </c>
      <c r="AH436" s="5">
        <v>0</v>
      </c>
      <c r="AI436" s="5">
        <v>0</v>
      </c>
      <c r="AJ436" s="5">
        <v>29129.73</v>
      </c>
      <c r="AK436" s="5">
        <v>0</v>
      </c>
      <c r="AL436" s="5">
        <v>0</v>
      </c>
      <c r="AM436" s="5">
        <v>29129.73</v>
      </c>
      <c r="AN436" s="5">
        <v>0</v>
      </c>
      <c r="AO436" s="1" t="s">
        <v>126</v>
      </c>
    </row>
    <row r="437" spans="1:41" x14ac:dyDescent="0.25">
      <c r="A437" s="1">
        <f t="shared" si="8"/>
        <v>421</v>
      </c>
      <c r="B437" s="1" t="s">
        <v>630</v>
      </c>
      <c r="C437" s="1" t="s">
        <v>122</v>
      </c>
      <c r="D437" s="1" t="s">
        <v>736</v>
      </c>
      <c r="E437" s="4">
        <v>45567</v>
      </c>
      <c r="F437" s="4">
        <v>45657</v>
      </c>
      <c r="H437" s="5">
        <v>114147.61</v>
      </c>
      <c r="I437" s="5">
        <v>8065.13</v>
      </c>
      <c r="J437" s="5">
        <v>3750</v>
      </c>
      <c r="K437" s="5">
        <v>6092.5</v>
      </c>
      <c r="L437" s="5">
        <v>0</v>
      </c>
      <c r="M437" s="5">
        <v>17907.63</v>
      </c>
      <c r="N437" s="5">
        <v>90689.11</v>
      </c>
      <c r="O437" s="5">
        <v>0</v>
      </c>
      <c r="P437" s="5">
        <v>5550.87</v>
      </c>
      <c r="Q437" s="5">
        <v>96239.98</v>
      </c>
      <c r="R437" s="1" t="s">
        <v>1077</v>
      </c>
      <c r="S437" s="1" t="s">
        <v>736</v>
      </c>
      <c r="T437" s="4">
        <v>45567</v>
      </c>
      <c r="U437" s="4">
        <v>45657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96239.98</v>
      </c>
      <c r="AH437" s="5">
        <v>0</v>
      </c>
      <c r="AI437" s="5">
        <v>0</v>
      </c>
      <c r="AJ437" s="5">
        <v>8820.02</v>
      </c>
      <c r="AK437" s="5">
        <v>0</v>
      </c>
      <c r="AL437" s="5">
        <v>0</v>
      </c>
      <c r="AM437" s="5">
        <v>8820.02</v>
      </c>
      <c r="AN437" s="5">
        <v>0</v>
      </c>
      <c r="AO437" s="1" t="s">
        <v>126</v>
      </c>
    </row>
    <row r="438" spans="1:41" x14ac:dyDescent="0.25">
      <c r="A438" s="1">
        <f t="shared" si="8"/>
        <v>422</v>
      </c>
      <c r="B438" s="1" t="s">
        <v>631</v>
      </c>
      <c r="C438" s="1" t="s">
        <v>122</v>
      </c>
      <c r="D438" s="1" t="s">
        <v>736</v>
      </c>
      <c r="E438" s="4">
        <v>45572</v>
      </c>
      <c r="F438" s="4">
        <v>45657</v>
      </c>
      <c r="H438" s="5">
        <v>78737.070000000007</v>
      </c>
      <c r="I438" s="5">
        <v>5728.45</v>
      </c>
      <c r="J438" s="5">
        <v>0</v>
      </c>
      <c r="K438" s="5">
        <v>5710</v>
      </c>
      <c r="L438" s="5">
        <v>0</v>
      </c>
      <c r="M438" s="5">
        <v>11438.45</v>
      </c>
      <c r="N438" s="5">
        <v>63031.38</v>
      </c>
      <c r="O438" s="5">
        <v>0</v>
      </c>
      <c r="P438" s="5">
        <v>4267.24</v>
      </c>
      <c r="Q438" s="5">
        <v>67298.62</v>
      </c>
      <c r="R438" s="1" t="s">
        <v>1078</v>
      </c>
      <c r="S438" s="1" t="s">
        <v>736</v>
      </c>
      <c r="T438" s="4">
        <v>45572</v>
      </c>
      <c r="U438" s="4">
        <v>45657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67298.62</v>
      </c>
      <c r="AH438" s="5">
        <v>0</v>
      </c>
      <c r="AI438" s="5">
        <v>0</v>
      </c>
      <c r="AJ438" s="5">
        <v>2267.0500000000002</v>
      </c>
      <c r="AK438" s="5">
        <v>0</v>
      </c>
      <c r="AL438" s="5">
        <v>0</v>
      </c>
      <c r="AM438" s="5">
        <v>2267.0500000000002</v>
      </c>
      <c r="AN438" s="5">
        <v>0</v>
      </c>
      <c r="AO438" s="1" t="s">
        <v>126</v>
      </c>
    </row>
    <row r="439" spans="1:41" x14ac:dyDescent="0.25">
      <c r="A439" s="1">
        <f t="shared" si="8"/>
        <v>423</v>
      </c>
      <c r="B439" s="1" t="s">
        <v>632</v>
      </c>
      <c r="C439" s="1" t="s">
        <v>122</v>
      </c>
      <c r="D439" s="1" t="s">
        <v>736</v>
      </c>
      <c r="E439" s="4">
        <v>45579</v>
      </c>
      <c r="F439" s="4">
        <v>45657</v>
      </c>
      <c r="H439" s="5">
        <v>506819.92</v>
      </c>
      <c r="I439" s="5">
        <v>38601.53</v>
      </c>
      <c r="J439" s="5">
        <v>5000</v>
      </c>
      <c r="K439" s="5">
        <v>11950</v>
      </c>
      <c r="L439" s="5">
        <v>0</v>
      </c>
      <c r="M439" s="5">
        <v>55551.53</v>
      </c>
      <c r="N439" s="5">
        <v>451268.39</v>
      </c>
      <c r="O439" s="5">
        <v>0</v>
      </c>
      <c r="P439" s="5">
        <v>0</v>
      </c>
      <c r="Q439" s="5">
        <v>451268.39</v>
      </c>
      <c r="R439" s="1" t="s">
        <v>1079</v>
      </c>
      <c r="S439" s="1" t="s">
        <v>736</v>
      </c>
      <c r="T439" s="4">
        <v>45579</v>
      </c>
      <c r="U439" s="4">
        <v>45657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451268.39</v>
      </c>
      <c r="AH439" s="5">
        <v>32753.68</v>
      </c>
      <c r="AI439" s="5">
        <v>0</v>
      </c>
      <c r="AJ439" s="5">
        <v>95407.75</v>
      </c>
      <c r="AK439" s="5">
        <v>0</v>
      </c>
      <c r="AL439" s="5">
        <v>0</v>
      </c>
      <c r="AM439" s="5">
        <v>62654.07</v>
      </c>
      <c r="AN439" s="5">
        <v>32753.68</v>
      </c>
      <c r="AO439" s="1" t="s">
        <v>126</v>
      </c>
    </row>
    <row r="440" spans="1:41" x14ac:dyDescent="0.25">
      <c r="A440" s="1">
        <f t="shared" si="8"/>
        <v>424</v>
      </c>
      <c r="B440" s="1" t="s">
        <v>633</v>
      </c>
      <c r="C440" s="1" t="s">
        <v>122</v>
      </c>
      <c r="D440" s="1" t="s">
        <v>736</v>
      </c>
      <c r="E440" s="4">
        <v>45579</v>
      </c>
      <c r="F440" s="4">
        <v>45657</v>
      </c>
      <c r="H440" s="5">
        <v>69546.929999999993</v>
      </c>
      <c r="I440" s="5">
        <v>5018.2</v>
      </c>
      <c r="J440" s="5">
        <v>3750</v>
      </c>
      <c r="K440" s="5">
        <v>5252.5</v>
      </c>
      <c r="L440" s="5">
        <v>0</v>
      </c>
      <c r="M440" s="5">
        <v>14020.7</v>
      </c>
      <c r="N440" s="5">
        <v>54965.89</v>
      </c>
      <c r="O440" s="5">
        <v>0</v>
      </c>
      <c r="P440" s="5">
        <v>560.34</v>
      </c>
      <c r="Q440" s="5">
        <v>55526.23</v>
      </c>
      <c r="R440" s="1" t="s">
        <v>1080</v>
      </c>
      <c r="S440" s="1" t="s">
        <v>736</v>
      </c>
      <c r="T440" s="4">
        <v>45579</v>
      </c>
      <c r="U440" s="4">
        <v>45657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55526.23</v>
      </c>
      <c r="AH440" s="5">
        <v>0</v>
      </c>
      <c r="AI440" s="5">
        <v>0</v>
      </c>
      <c r="AJ440" s="5">
        <v>1004.23</v>
      </c>
      <c r="AK440" s="5">
        <v>0</v>
      </c>
      <c r="AL440" s="5">
        <v>0</v>
      </c>
      <c r="AM440" s="5">
        <v>1004.23</v>
      </c>
      <c r="AN440" s="5">
        <v>0</v>
      </c>
      <c r="AO440" s="1" t="s">
        <v>126</v>
      </c>
    </row>
    <row r="441" spans="1:41" x14ac:dyDescent="0.25">
      <c r="A441" s="1">
        <f t="shared" si="8"/>
        <v>425</v>
      </c>
      <c r="B441" s="1" t="s">
        <v>634</v>
      </c>
      <c r="C441" s="1" t="s">
        <v>122</v>
      </c>
      <c r="D441" s="1" t="s">
        <v>736</v>
      </c>
      <c r="E441" s="4">
        <v>45579</v>
      </c>
      <c r="F441" s="4">
        <v>45657</v>
      </c>
      <c r="H441" s="5">
        <v>280909.96999999997</v>
      </c>
      <c r="I441" s="5">
        <v>19300.77</v>
      </c>
      <c r="J441" s="5">
        <v>5000</v>
      </c>
      <c r="K441" s="5">
        <v>11950</v>
      </c>
      <c r="L441" s="5">
        <v>0</v>
      </c>
      <c r="M441" s="5">
        <v>36250.769999999997</v>
      </c>
      <c r="N441" s="5">
        <v>219659.2</v>
      </c>
      <c r="O441" s="5">
        <v>0</v>
      </c>
      <c r="P441" s="5">
        <v>25000</v>
      </c>
      <c r="Q441" s="5">
        <v>244659.20000000001</v>
      </c>
      <c r="R441" s="1" t="s">
        <v>1081</v>
      </c>
      <c r="S441" s="1" t="s">
        <v>736</v>
      </c>
      <c r="T441" s="4">
        <v>45579</v>
      </c>
      <c r="U441" s="4">
        <v>45657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244659.20000000001</v>
      </c>
      <c r="AH441" s="5">
        <v>0</v>
      </c>
      <c r="AI441" s="5">
        <v>0</v>
      </c>
      <c r="AJ441" s="5">
        <v>40860.74</v>
      </c>
      <c r="AK441" s="5">
        <v>0</v>
      </c>
      <c r="AL441" s="5">
        <v>0</v>
      </c>
      <c r="AM441" s="5">
        <v>40860.74</v>
      </c>
      <c r="AN441" s="5">
        <v>0</v>
      </c>
      <c r="AO441" s="1" t="s">
        <v>126</v>
      </c>
    </row>
    <row r="442" spans="1:41" x14ac:dyDescent="0.25">
      <c r="A442" s="1">
        <f t="shared" si="8"/>
        <v>426</v>
      </c>
      <c r="B442" s="1" t="s">
        <v>635</v>
      </c>
      <c r="C442" s="1" t="s">
        <v>122</v>
      </c>
      <c r="D442" s="1" t="s">
        <v>736</v>
      </c>
      <c r="E442" s="4">
        <v>45579</v>
      </c>
      <c r="F442" s="4">
        <v>45657</v>
      </c>
      <c r="H442" s="5">
        <v>280909.96999999997</v>
      </c>
      <c r="I442" s="5">
        <v>19300.77</v>
      </c>
      <c r="J442" s="5">
        <v>5000</v>
      </c>
      <c r="K442" s="5">
        <v>11950</v>
      </c>
      <c r="L442" s="5">
        <v>0</v>
      </c>
      <c r="M442" s="5">
        <v>36250.769999999997</v>
      </c>
      <c r="N442" s="5">
        <v>219659.2</v>
      </c>
      <c r="O442" s="5">
        <v>0</v>
      </c>
      <c r="P442" s="5">
        <v>25000</v>
      </c>
      <c r="Q442" s="5">
        <v>244659.20000000001</v>
      </c>
      <c r="R442" s="1" t="s">
        <v>1082</v>
      </c>
      <c r="S442" s="1" t="s">
        <v>736</v>
      </c>
      <c r="T442" s="4">
        <v>45579</v>
      </c>
      <c r="U442" s="4">
        <v>45657</v>
      </c>
      <c r="W442" s="5">
        <v>78839.88</v>
      </c>
      <c r="X442" s="5">
        <v>6064.61</v>
      </c>
      <c r="Y442" s="5">
        <v>0</v>
      </c>
      <c r="Z442" s="5">
        <v>5179.1400000000003</v>
      </c>
      <c r="AA442" s="5">
        <v>0</v>
      </c>
      <c r="AB442" s="5">
        <v>11243.75</v>
      </c>
      <c r="AC442" s="5">
        <v>67596.13</v>
      </c>
      <c r="AD442" s="5">
        <v>0</v>
      </c>
      <c r="AE442" s="5">
        <v>0</v>
      </c>
      <c r="AF442" s="5">
        <v>67596.13</v>
      </c>
      <c r="AG442" s="5">
        <v>312255.33</v>
      </c>
      <c r="AH442" s="5">
        <v>9338.2999999999993</v>
      </c>
      <c r="AI442" s="5">
        <v>0</v>
      </c>
      <c r="AJ442" s="5">
        <v>40860.74</v>
      </c>
      <c r="AK442" s="5">
        <v>0</v>
      </c>
      <c r="AL442" s="5">
        <v>0</v>
      </c>
      <c r="AM442" s="5">
        <v>31522.44</v>
      </c>
      <c r="AN442" s="5">
        <v>9338.2999999999993</v>
      </c>
      <c r="AO442" s="1" t="s">
        <v>126</v>
      </c>
    </row>
    <row r="443" spans="1:41" x14ac:dyDescent="0.25">
      <c r="A443" s="1">
        <f t="shared" si="8"/>
        <v>427</v>
      </c>
      <c r="B443" s="1" t="s">
        <v>636</v>
      </c>
      <c r="C443" s="1" t="s">
        <v>122</v>
      </c>
      <c r="D443" s="1" t="s">
        <v>736</v>
      </c>
      <c r="E443" s="4">
        <v>45586</v>
      </c>
      <c r="F443" s="4">
        <v>45657</v>
      </c>
      <c r="H443" s="5">
        <v>172971.26</v>
      </c>
      <c r="I443" s="5">
        <v>13074.71</v>
      </c>
      <c r="J443" s="5">
        <v>3000</v>
      </c>
      <c r="K443" s="5">
        <v>6850</v>
      </c>
      <c r="L443" s="5">
        <v>0</v>
      </c>
      <c r="M443" s="5">
        <v>22924.71</v>
      </c>
      <c r="N443" s="5">
        <v>150046.54999999999</v>
      </c>
      <c r="O443" s="5">
        <v>0</v>
      </c>
      <c r="P443" s="5">
        <v>0</v>
      </c>
      <c r="Q443" s="5">
        <v>150046.54999999999</v>
      </c>
      <c r="R443" s="1" t="s">
        <v>1083</v>
      </c>
      <c r="S443" s="1" t="s">
        <v>736</v>
      </c>
      <c r="T443" s="4">
        <v>45586</v>
      </c>
      <c r="U443" s="4">
        <v>45657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150046.54999999999</v>
      </c>
      <c r="AH443" s="5">
        <v>0</v>
      </c>
      <c r="AI443" s="5">
        <v>0</v>
      </c>
      <c r="AJ443" s="5">
        <v>21261.42</v>
      </c>
      <c r="AK443" s="5">
        <v>0</v>
      </c>
      <c r="AL443" s="5">
        <v>0</v>
      </c>
      <c r="AM443" s="5">
        <v>21261.42</v>
      </c>
      <c r="AN443" s="5">
        <v>0</v>
      </c>
      <c r="AO443" s="1" t="s">
        <v>126</v>
      </c>
    </row>
    <row r="444" spans="1:41" x14ac:dyDescent="0.25">
      <c r="A444" s="1">
        <f t="shared" si="8"/>
        <v>428</v>
      </c>
      <c r="B444" s="1" t="s">
        <v>637</v>
      </c>
      <c r="C444" s="1" t="s">
        <v>122</v>
      </c>
      <c r="D444" s="1" t="s">
        <v>736</v>
      </c>
      <c r="E444" s="4">
        <v>45586</v>
      </c>
      <c r="F444" s="4">
        <v>45657</v>
      </c>
      <c r="H444" s="5">
        <v>158639.85</v>
      </c>
      <c r="I444" s="5">
        <v>12203.07</v>
      </c>
      <c r="J444" s="5">
        <v>0</v>
      </c>
      <c r="K444" s="5">
        <v>6600</v>
      </c>
      <c r="L444" s="5">
        <v>0</v>
      </c>
      <c r="M444" s="5">
        <v>18803.07</v>
      </c>
      <c r="N444" s="5">
        <v>139836.78</v>
      </c>
      <c r="O444" s="5">
        <v>0</v>
      </c>
      <c r="P444" s="5">
        <v>0</v>
      </c>
      <c r="Q444" s="5">
        <v>139836.78</v>
      </c>
      <c r="R444" s="1" t="s">
        <v>1084</v>
      </c>
      <c r="S444" s="1" t="s">
        <v>736</v>
      </c>
      <c r="T444" s="4">
        <v>45586</v>
      </c>
      <c r="U444" s="4">
        <v>45657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139836.78</v>
      </c>
      <c r="AH444" s="5">
        <v>0</v>
      </c>
      <c r="AI444" s="5">
        <v>0</v>
      </c>
      <c r="AJ444" s="5">
        <v>18741.89</v>
      </c>
      <c r="AK444" s="5">
        <v>0</v>
      </c>
      <c r="AL444" s="5">
        <v>0</v>
      </c>
      <c r="AM444" s="5">
        <v>18741.89</v>
      </c>
      <c r="AN444" s="5">
        <v>0</v>
      </c>
      <c r="AO444" s="1" t="s">
        <v>126</v>
      </c>
    </row>
    <row r="445" spans="1:41" x14ac:dyDescent="0.25">
      <c r="A445" s="1">
        <f t="shared" si="8"/>
        <v>429</v>
      </c>
      <c r="B445" s="1" t="s">
        <v>638</v>
      </c>
      <c r="C445" s="1" t="s">
        <v>122</v>
      </c>
      <c r="D445" s="1" t="s">
        <v>736</v>
      </c>
      <c r="E445" s="4">
        <v>45586</v>
      </c>
      <c r="F445" s="4">
        <v>45657</v>
      </c>
      <c r="H445" s="5">
        <v>46333.33</v>
      </c>
      <c r="I445" s="5">
        <v>3333.33</v>
      </c>
      <c r="J445" s="5">
        <v>3000</v>
      </c>
      <c r="K445" s="5">
        <v>3335</v>
      </c>
      <c r="L445" s="5">
        <v>0</v>
      </c>
      <c r="M445" s="5">
        <v>9668.33</v>
      </c>
      <c r="N445" s="5">
        <v>36665</v>
      </c>
      <c r="O445" s="5">
        <v>0</v>
      </c>
      <c r="P445" s="5">
        <v>0</v>
      </c>
      <c r="Q445" s="5">
        <v>36665</v>
      </c>
      <c r="R445" s="1" t="s">
        <v>1085</v>
      </c>
      <c r="S445" s="1" t="s">
        <v>736</v>
      </c>
      <c r="T445" s="4">
        <v>45586</v>
      </c>
      <c r="U445" s="4">
        <v>45657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36665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1" t="s">
        <v>126</v>
      </c>
    </row>
    <row r="446" spans="1:41" x14ac:dyDescent="0.25">
      <c r="A446" s="1">
        <f t="shared" si="8"/>
        <v>430</v>
      </c>
      <c r="B446" s="1" t="s">
        <v>639</v>
      </c>
      <c r="C446" s="1" t="s">
        <v>122</v>
      </c>
      <c r="D446" s="1" t="s">
        <v>736</v>
      </c>
      <c r="E446" s="4">
        <v>45593</v>
      </c>
      <c r="F446" s="4">
        <v>45657</v>
      </c>
      <c r="H446" s="5">
        <v>384517.24</v>
      </c>
      <c r="I446" s="5">
        <v>28333.33</v>
      </c>
      <c r="J446" s="5">
        <v>4000</v>
      </c>
      <c r="K446" s="5">
        <v>8100</v>
      </c>
      <c r="L446" s="5">
        <v>0</v>
      </c>
      <c r="M446" s="5">
        <v>40433.33</v>
      </c>
      <c r="N446" s="5">
        <v>324083.90999999997</v>
      </c>
      <c r="O446" s="5">
        <v>0</v>
      </c>
      <c r="P446" s="5">
        <v>20000</v>
      </c>
      <c r="Q446" s="5">
        <v>344083.91</v>
      </c>
      <c r="R446" s="1" t="s">
        <v>1086</v>
      </c>
      <c r="S446" s="1" t="s">
        <v>736</v>
      </c>
      <c r="T446" s="4">
        <v>45593</v>
      </c>
      <c r="U446" s="4">
        <v>45657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344083.91</v>
      </c>
      <c r="AH446" s="5">
        <v>14112.59</v>
      </c>
      <c r="AI446" s="5">
        <v>0</v>
      </c>
      <c r="AJ446" s="5">
        <v>64802.48</v>
      </c>
      <c r="AK446" s="5">
        <v>0</v>
      </c>
      <c r="AL446" s="5">
        <v>0</v>
      </c>
      <c r="AM446" s="5">
        <v>50689.89</v>
      </c>
      <c r="AN446" s="5">
        <v>14112.59</v>
      </c>
      <c r="AO446" s="1" t="s">
        <v>126</v>
      </c>
    </row>
    <row r="447" spans="1:41" x14ac:dyDescent="0.25">
      <c r="A447" s="1">
        <f t="shared" si="8"/>
        <v>431</v>
      </c>
      <c r="B447" s="1" t="s">
        <v>640</v>
      </c>
      <c r="C447" s="1" t="s">
        <v>122</v>
      </c>
      <c r="D447" s="1" t="s">
        <v>736</v>
      </c>
      <c r="E447" s="4">
        <v>45593</v>
      </c>
      <c r="F447" s="4">
        <v>45657</v>
      </c>
      <c r="H447" s="5">
        <v>44166.67</v>
      </c>
      <c r="I447" s="5">
        <v>3166.67</v>
      </c>
      <c r="J447" s="5">
        <v>3000</v>
      </c>
      <c r="K447" s="5">
        <v>3195</v>
      </c>
      <c r="L447" s="5">
        <v>0</v>
      </c>
      <c r="M447" s="5">
        <v>9361.67</v>
      </c>
      <c r="N447" s="5">
        <v>34805</v>
      </c>
      <c r="O447" s="5">
        <v>0</v>
      </c>
      <c r="P447" s="5">
        <v>0</v>
      </c>
      <c r="Q447" s="5">
        <v>34805</v>
      </c>
      <c r="R447" s="1" t="s">
        <v>1087</v>
      </c>
      <c r="S447" s="1" t="s">
        <v>736</v>
      </c>
      <c r="T447" s="4">
        <v>45593</v>
      </c>
      <c r="U447" s="4">
        <v>45657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34805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1" t="s">
        <v>126</v>
      </c>
    </row>
    <row r="448" spans="1:41" x14ac:dyDescent="0.25">
      <c r="A448" s="1">
        <f t="shared" si="8"/>
        <v>432</v>
      </c>
      <c r="B448" s="1" t="s">
        <v>641</v>
      </c>
      <c r="C448" s="1" t="s">
        <v>122</v>
      </c>
      <c r="D448" s="1" t="s">
        <v>736</v>
      </c>
      <c r="E448" s="4">
        <v>45593</v>
      </c>
      <c r="F448" s="4">
        <v>45657</v>
      </c>
      <c r="H448" s="5">
        <v>46781.61</v>
      </c>
      <c r="I448" s="5">
        <v>3333.33</v>
      </c>
      <c r="J448" s="5">
        <v>3000</v>
      </c>
      <c r="K448" s="5">
        <v>3357.5</v>
      </c>
      <c r="L448" s="5">
        <v>0</v>
      </c>
      <c r="M448" s="5">
        <v>9690.83</v>
      </c>
      <c r="N448" s="5">
        <v>36642.5</v>
      </c>
      <c r="O448" s="5">
        <v>0</v>
      </c>
      <c r="P448" s="5">
        <v>448.28</v>
      </c>
      <c r="Q448" s="5">
        <v>37090.78</v>
      </c>
      <c r="R448" s="1" t="s">
        <v>1088</v>
      </c>
      <c r="S448" s="1" t="s">
        <v>736</v>
      </c>
      <c r="T448" s="4">
        <v>45593</v>
      </c>
      <c r="U448" s="4">
        <v>45657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37090.78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1" t="s">
        <v>126</v>
      </c>
    </row>
    <row r="449" spans="1:41" x14ac:dyDescent="0.25">
      <c r="A449" s="1">
        <f t="shared" si="8"/>
        <v>433</v>
      </c>
      <c r="B449" s="1" t="s">
        <v>642</v>
      </c>
      <c r="C449" s="1" t="s">
        <v>122</v>
      </c>
      <c r="D449" s="1" t="s">
        <v>736</v>
      </c>
      <c r="E449" s="4">
        <v>45593</v>
      </c>
      <c r="F449" s="4">
        <v>45657</v>
      </c>
      <c r="H449" s="5">
        <v>46379.31</v>
      </c>
      <c r="I449" s="5">
        <v>3333.33</v>
      </c>
      <c r="J449" s="5">
        <v>3000</v>
      </c>
      <c r="K449" s="5">
        <v>3335</v>
      </c>
      <c r="L449" s="5">
        <v>0</v>
      </c>
      <c r="M449" s="5">
        <v>9668.33</v>
      </c>
      <c r="N449" s="5">
        <v>36665</v>
      </c>
      <c r="O449" s="5">
        <v>0</v>
      </c>
      <c r="P449" s="5">
        <v>45.98</v>
      </c>
      <c r="Q449" s="5">
        <v>36710.980000000003</v>
      </c>
      <c r="R449" s="1" t="s">
        <v>1078</v>
      </c>
      <c r="S449" s="1" t="s">
        <v>736</v>
      </c>
      <c r="T449" s="4">
        <v>45593</v>
      </c>
      <c r="U449" s="4">
        <v>45657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36710.980000000003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1" t="s">
        <v>126</v>
      </c>
    </row>
    <row r="450" spans="1:41" x14ac:dyDescent="0.25">
      <c r="A450" s="1">
        <f t="shared" si="8"/>
        <v>434</v>
      </c>
      <c r="B450" s="1" t="s">
        <v>643</v>
      </c>
      <c r="C450" s="1" t="s">
        <v>122</v>
      </c>
      <c r="D450" s="1" t="s">
        <v>736</v>
      </c>
      <c r="E450" s="4">
        <v>45600</v>
      </c>
      <c r="F450" s="4">
        <v>45657</v>
      </c>
      <c r="H450" s="5">
        <v>175852.2</v>
      </c>
      <c r="I450" s="5">
        <v>13330.94</v>
      </c>
      <c r="J450" s="5">
        <v>2250</v>
      </c>
      <c r="K450" s="5">
        <v>6662.5</v>
      </c>
      <c r="L450" s="5">
        <v>300</v>
      </c>
      <c r="M450" s="5">
        <v>22543.439999999999</v>
      </c>
      <c r="N450" s="5">
        <v>153308.76</v>
      </c>
      <c r="O450" s="5">
        <v>0</v>
      </c>
      <c r="P450" s="5">
        <v>0</v>
      </c>
      <c r="Q450" s="5">
        <v>153308.76</v>
      </c>
      <c r="R450" s="1" t="s">
        <v>1089</v>
      </c>
      <c r="S450" s="1" t="s">
        <v>736</v>
      </c>
      <c r="T450" s="4">
        <v>45600</v>
      </c>
      <c r="U450" s="4">
        <v>45657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153308.76</v>
      </c>
      <c r="AH450" s="5">
        <v>0</v>
      </c>
      <c r="AI450" s="5">
        <v>0</v>
      </c>
      <c r="AJ450" s="5">
        <v>26139.53</v>
      </c>
      <c r="AK450" s="5">
        <v>0</v>
      </c>
      <c r="AL450" s="5">
        <v>0</v>
      </c>
      <c r="AM450" s="5">
        <v>26139.53</v>
      </c>
      <c r="AN450" s="5">
        <v>0</v>
      </c>
      <c r="AO450" s="1" t="s">
        <v>126</v>
      </c>
    </row>
    <row r="451" spans="1:41" x14ac:dyDescent="0.25">
      <c r="A451" s="1">
        <f t="shared" si="8"/>
        <v>435</v>
      </c>
      <c r="B451" s="1" t="s">
        <v>644</v>
      </c>
      <c r="C451" s="1" t="s">
        <v>122</v>
      </c>
      <c r="D451" s="1" t="s">
        <v>736</v>
      </c>
      <c r="E451" s="4">
        <v>45607</v>
      </c>
      <c r="F451" s="4">
        <v>45657</v>
      </c>
      <c r="H451" s="5">
        <v>136141.28</v>
      </c>
      <c r="I451" s="5">
        <v>10299.33</v>
      </c>
      <c r="J451" s="5">
        <v>2250</v>
      </c>
      <c r="K451" s="5">
        <v>6287.5</v>
      </c>
      <c r="L451" s="5">
        <v>0</v>
      </c>
      <c r="M451" s="5">
        <v>18836.830000000002</v>
      </c>
      <c r="N451" s="5">
        <v>117304.45</v>
      </c>
      <c r="O451" s="5">
        <v>0</v>
      </c>
      <c r="P451" s="5">
        <v>0</v>
      </c>
      <c r="Q451" s="5">
        <v>117304.45</v>
      </c>
      <c r="R451" s="1" t="s">
        <v>1090</v>
      </c>
      <c r="S451" s="1" t="s">
        <v>736</v>
      </c>
      <c r="T451" s="4">
        <v>45607</v>
      </c>
      <c r="U451" s="4">
        <v>45657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117304.45</v>
      </c>
      <c r="AH451" s="5">
        <v>0</v>
      </c>
      <c r="AI451" s="5">
        <v>0</v>
      </c>
      <c r="AJ451" s="5">
        <v>17138.45</v>
      </c>
      <c r="AK451" s="5">
        <v>0</v>
      </c>
      <c r="AL451" s="5">
        <v>0</v>
      </c>
      <c r="AM451" s="5">
        <v>17138.45</v>
      </c>
      <c r="AN451" s="5">
        <v>0</v>
      </c>
      <c r="AO451" s="1" t="s">
        <v>126</v>
      </c>
    </row>
    <row r="452" spans="1:41" x14ac:dyDescent="0.25">
      <c r="A452" s="1">
        <f t="shared" si="8"/>
        <v>436</v>
      </c>
      <c r="B452" s="1" t="s">
        <v>645</v>
      </c>
      <c r="C452" s="1" t="s">
        <v>122</v>
      </c>
      <c r="D452" s="1" t="s">
        <v>736</v>
      </c>
      <c r="E452" s="4">
        <v>45607</v>
      </c>
      <c r="F452" s="4">
        <v>45657</v>
      </c>
      <c r="H452" s="5">
        <v>33156.129999999997</v>
      </c>
      <c r="I452" s="5">
        <v>2423.37</v>
      </c>
      <c r="J452" s="5">
        <v>0</v>
      </c>
      <c r="K452" s="5">
        <v>2549.5100000000002</v>
      </c>
      <c r="L452" s="5">
        <v>0</v>
      </c>
      <c r="M452" s="5">
        <v>4972.88</v>
      </c>
      <c r="N452" s="5">
        <v>26530.95</v>
      </c>
      <c r="O452" s="5">
        <v>0</v>
      </c>
      <c r="P452" s="5">
        <v>1652.3</v>
      </c>
      <c r="Q452" s="5">
        <v>28183.25</v>
      </c>
      <c r="R452" s="1" t="s">
        <v>1091</v>
      </c>
      <c r="S452" s="1" t="s">
        <v>736</v>
      </c>
      <c r="T452" s="4">
        <v>45607</v>
      </c>
      <c r="U452" s="4">
        <v>45657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28183.25</v>
      </c>
      <c r="AH452" s="5">
        <v>0</v>
      </c>
      <c r="AI452" s="5">
        <v>0</v>
      </c>
      <c r="AJ452" s="5">
        <v>55.17</v>
      </c>
      <c r="AK452" s="5">
        <v>0</v>
      </c>
      <c r="AL452" s="5">
        <v>0</v>
      </c>
      <c r="AM452" s="5">
        <v>55.17</v>
      </c>
      <c r="AN452" s="5">
        <v>0</v>
      </c>
      <c r="AO452" s="1" t="s">
        <v>126</v>
      </c>
    </row>
    <row r="453" spans="1:41" x14ac:dyDescent="0.25">
      <c r="A453" s="1">
        <f t="shared" si="8"/>
        <v>437</v>
      </c>
      <c r="B453" s="1" t="s">
        <v>646</v>
      </c>
      <c r="C453" s="1" t="s">
        <v>122</v>
      </c>
      <c r="D453" s="1" t="s">
        <v>736</v>
      </c>
      <c r="E453" s="4">
        <v>45614</v>
      </c>
      <c r="F453" s="4">
        <v>45657</v>
      </c>
      <c r="H453" s="5">
        <v>75841.960000000006</v>
      </c>
      <c r="I453" s="5">
        <v>5660.92</v>
      </c>
      <c r="J453" s="5">
        <v>2250</v>
      </c>
      <c r="K453" s="5">
        <v>4630</v>
      </c>
      <c r="L453" s="5">
        <v>0</v>
      </c>
      <c r="M453" s="5">
        <v>12540.92</v>
      </c>
      <c r="N453" s="5">
        <v>63301.04</v>
      </c>
      <c r="O453" s="5">
        <v>0</v>
      </c>
      <c r="P453" s="5">
        <v>0</v>
      </c>
      <c r="Q453" s="5">
        <v>63301.04</v>
      </c>
      <c r="R453" s="1" t="s">
        <v>1092</v>
      </c>
      <c r="S453" s="1" t="s">
        <v>736</v>
      </c>
      <c r="T453" s="4">
        <v>45614</v>
      </c>
      <c r="U453" s="4">
        <v>45657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63301.04</v>
      </c>
      <c r="AH453" s="5">
        <v>0</v>
      </c>
      <c r="AI453" s="5">
        <v>0</v>
      </c>
      <c r="AJ453" s="5">
        <v>5712.44</v>
      </c>
      <c r="AK453" s="5">
        <v>0</v>
      </c>
      <c r="AL453" s="5">
        <v>0</v>
      </c>
      <c r="AM453" s="5">
        <v>5712.44</v>
      </c>
      <c r="AN453" s="5">
        <v>0</v>
      </c>
      <c r="AO453" s="1" t="s">
        <v>126</v>
      </c>
    </row>
    <row r="454" spans="1:41" x14ac:dyDescent="0.25">
      <c r="A454" s="1">
        <f t="shared" si="8"/>
        <v>438</v>
      </c>
      <c r="B454" s="1" t="s">
        <v>647</v>
      </c>
      <c r="C454" s="1" t="s">
        <v>122</v>
      </c>
      <c r="D454" s="1" t="s">
        <v>736</v>
      </c>
      <c r="E454" s="4">
        <v>45621</v>
      </c>
      <c r="F454" s="4">
        <v>45657</v>
      </c>
      <c r="H454" s="5">
        <v>18833.330000000002</v>
      </c>
      <c r="I454" s="5">
        <v>1333.33</v>
      </c>
      <c r="J454" s="5">
        <v>1500</v>
      </c>
      <c r="K454" s="5">
        <v>1387.5</v>
      </c>
      <c r="L454" s="5">
        <v>0</v>
      </c>
      <c r="M454" s="5">
        <v>4220.83</v>
      </c>
      <c r="N454" s="5">
        <v>14612.5</v>
      </c>
      <c r="O454" s="5">
        <v>0</v>
      </c>
      <c r="P454" s="5">
        <v>0</v>
      </c>
      <c r="Q454" s="5">
        <v>14612.5</v>
      </c>
      <c r="R454" s="1" t="s">
        <v>1093</v>
      </c>
      <c r="S454" s="1" t="s">
        <v>736</v>
      </c>
      <c r="T454" s="4">
        <v>45621</v>
      </c>
      <c r="U454" s="4">
        <v>45657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14612.5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1" t="s">
        <v>126</v>
      </c>
    </row>
    <row r="455" spans="1:41" x14ac:dyDescent="0.25">
      <c r="A455" s="1">
        <f t="shared" si="8"/>
        <v>439</v>
      </c>
      <c r="B455" s="1" t="s">
        <v>648</v>
      </c>
      <c r="C455" s="1" t="s">
        <v>122</v>
      </c>
      <c r="D455" s="1" t="s">
        <v>736</v>
      </c>
      <c r="E455" s="4">
        <v>45628</v>
      </c>
      <c r="F455" s="4">
        <v>45657</v>
      </c>
      <c r="H455" s="5">
        <v>22000</v>
      </c>
      <c r="I455" s="5">
        <v>0</v>
      </c>
      <c r="J455" s="5">
        <v>1500</v>
      </c>
      <c r="K455" s="5">
        <v>1702.5</v>
      </c>
      <c r="L455" s="5">
        <v>0</v>
      </c>
      <c r="M455" s="5">
        <v>3202.5</v>
      </c>
      <c r="N455" s="5">
        <v>18797.5</v>
      </c>
      <c r="O455" s="5">
        <v>0</v>
      </c>
      <c r="P455" s="5">
        <v>0</v>
      </c>
      <c r="Q455" s="5">
        <v>18797.5</v>
      </c>
      <c r="R455" s="1" t="s">
        <v>1094</v>
      </c>
      <c r="S455" s="1" t="s">
        <v>736</v>
      </c>
      <c r="T455" s="4">
        <v>45628</v>
      </c>
      <c r="U455" s="4">
        <v>45657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18797.5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1" t="s">
        <v>126</v>
      </c>
    </row>
    <row r="456" spans="1:41" x14ac:dyDescent="0.25">
      <c r="A456" s="1">
        <f t="shared" si="8"/>
        <v>440</v>
      </c>
      <c r="B456" s="1" t="s">
        <v>649</v>
      </c>
      <c r="C456" s="1" t="s">
        <v>122</v>
      </c>
      <c r="D456" s="1" t="s">
        <v>736</v>
      </c>
      <c r="E456" s="4">
        <v>45635</v>
      </c>
      <c r="F456" s="4">
        <v>45657</v>
      </c>
      <c r="H456" s="5">
        <v>76000</v>
      </c>
      <c r="I456" s="5">
        <v>0</v>
      </c>
      <c r="J456" s="5">
        <v>1000</v>
      </c>
      <c r="K456" s="5">
        <v>2800</v>
      </c>
      <c r="L456" s="5">
        <v>0</v>
      </c>
      <c r="M456" s="5">
        <v>3800</v>
      </c>
      <c r="N456" s="5">
        <v>67200</v>
      </c>
      <c r="O456" s="5">
        <v>0</v>
      </c>
      <c r="P456" s="5">
        <v>5000</v>
      </c>
      <c r="Q456" s="5">
        <v>72200</v>
      </c>
      <c r="R456" s="1" t="s">
        <v>1095</v>
      </c>
      <c r="S456" s="1" t="s">
        <v>736</v>
      </c>
      <c r="T456" s="4">
        <v>45635</v>
      </c>
      <c r="U456" s="4">
        <v>45657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72200</v>
      </c>
      <c r="AH456" s="5">
        <v>0</v>
      </c>
      <c r="AI456" s="5">
        <v>0</v>
      </c>
      <c r="AJ456" s="5">
        <v>12737.45</v>
      </c>
      <c r="AK456" s="5">
        <v>0</v>
      </c>
      <c r="AL456" s="5">
        <v>0</v>
      </c>
      <c r="AM456" s="5">
        <v>12737.45</v>
      </c>
      <c r="AN456" s="5">
        <v>0</v>
      </c>
      <c r="AO456" s="1" t="s">
        <v>126</v>
      </c>
    </row>
    <row r="457" spans="1:41" x14ac:dyDescent="0.25">
      <c r="A457" s="1">
        <f t="shared" si="8"/>
        <v>441</v>
      </c>
      <c r="B457" s="1" t="s">
        <v>650</v>
      </c>
      <c r="C457" s="1" t="s">
        <v>122</v>
      </c>
      <c r="D457" s="1" t="s">
        <v>736</v>
      </c>
      <c r="E457" s="4">
        <v>45642</v>
      </c>
      <c r="F457" s="4">
        <v>45657</v>
      </c>
      <c r="H457" s="5">
        <v>37500</v>
      </c>
      <c r="I457" s="5">
        <v>0</v>
      </c>
      <c r="J457" s="5">
        <v>0</v>
      </c>
      <c r="K457" s="5">
        <v>2487.5</v>
      </c>
      <c r="L457" s="5">
        <v>0</v>
      </c>
      <c r="M457" s="5">
        <v>2487.5</v>
      </c>
      <c r="N457" s="5">
        <v>35012.5</v>
      </c>
      <c r="O457" s="5">
        <v>0</v>
      </c>
      <c r="P457" s="5">
        <v>0</v>
      </c>
      <c r="Q457" s="5">
        <v>35012.5</v>
      </c>
      <c r="R457" s="1" t="s">
        <v>1096</v>
      </c>
      <c r="S457" s="1" t="s">
        <v>736</v>
      </c>
      <c r="T457" s="4">
        <v>45642</v>
      </c>
      <c r="U457" s="4">
        <v>45657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35012.5</v>
      </c>
      <c r="AH457" s="5">
        <v>0</v>
      </c>
      <c r="AI457" s="5">
        <v>0</v>
      </c>
      <c r="AJ457" s="5">
        <v>4690.57</v>
      </c>
      <c r="AK457" s="5">
        <v>0</v>
      </c>
      <c r="AL457" s="5">
        <v>0</v>
      </c>
      <c r="AM457" s="5">
        <v>4690.57</v>
      </c>
      <c r="AN457" s="5">
        <v>0</v>
      </c>
      <c r="AO457" s="1" t="s">
        <v>126</v>
      </c>
    </row>
    <row r="458" spans="1:41" x14ac:dyDescent="0.25">
      <c r="A458" s="1">
        <f t="shared" si="8"/>
        <v>442</v>
      </c>
      <c r="B458" s="1" t="s">
        <v>651</v>
      </c>
      <c r="C458" s="1" t="s">
        <v>122</v>
      </c>
      <c r="D458" s="1" t="s">
        <v>736</v>
      </c>
      <c r="E458" s="4">
        <v>45642</v>
      </c>
      <c r="F458" s="4">
        <v>45657</v>
      </c>
      <c r="H458" s="5">
        <v>37500</v>
      </c>
      <c r="I458" s="5">
        <v>0</v>
      </c>
      <c r="J458" s="5">
        <v>0</v>
      </c>
      <c r="K458" s="5">
        <v>2487.5</v>
      </c>
      <c r="L458" s="5">
        <v>0</v>
      </c>
      <c r="M458" s="5">
        <v>2487.5</v>
      </c>
      <c r="N458" s="5">
        <v>35012.5</v>
      </c>
      <c r="O458" s="5">
        <v>0</v>
      </c>
      <c r="P458" s="5">
        <v>0</v>
      </c>
      <c r="Q458" s="5">
        <v>35012.5</v>
      </c>
      <c r="R458" s="1" t="s">
        <v>1097</v>
      </c>
      <c r="S458" s="1" t="s">
        <v>736</v>
      </c>
      <c r="T458" s="4">
        <v>45642</v>
      </c>
      <c r="U458" s="4">
        <v>45657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35012.5</v>
      </c>
      <c r="AH458" s="5">
        <v>0</v>
      </c>
      <c r="AI458" s="5">
        <v>0</v>
      </c>
      <c r="AJ458" s="5">
        <v>4690.57</v>
      </c>
      <c r="AK458" s="5">
        <v>0</v>
      </c>
      <c r="AL458" s="5">
        <v>0</v>
      </c>
      <c r="AM458" s="5">
        <v>4690.57</v>
      </c>
      <c r="AN458" s="5">
        <v>0</v>
      </c>
      <c r="AO458" s="1" t="s">
        <v>126</v>
      </c>
    </row>
    <row r="459" spans="1:41" x14ac:dyDescent="0.25">
      <c r="A459" s="1">
        <f t="shared" si="8"/>
        <v>443</v>
      </c>
      <c r="B459" s="1" t="s">
        <v>652</v>
      </c>
      <c r="C459" s="1" t="s">
        <v>122</v>
      </c>
      <c r="D459" s="1" t="s">
        <v>736</v>
      </c>
      <c r="E459" s="4">
        <v>45642</v>
      </c>
      <c r="F459" s="4">
        <v>45657</v>
      </c>
      <c r="H459" s="5">
        <v>63250</v>
      </c>
      <c r="I459" s="5">
        <v>0</v>
      </c>
      <c r="J459" s="5">
        <v>750</v>
      </c>
      <c r="K459" s="5">
        <v>2800</v>
      </c>
      <c r="L459" s="5">
        <v>0</v>
      </c>
      <c r="M459" s="5">
        <v>3550</v>
      </c>
      <c r="N459" s="5">
        <v>59700</v>
      </c>
      <c r="O459" s="5">
        <v>0</v>
      </c>
      <c r="P459" s="5">
        <v>0</v>
      </c>
      <c r="Q459" s="5">
        <v>59700</v>
      </c>
      <c r="R459" s="1" t="s">
        <v>1078</v>
      </c>
      <c r="S459" s="1" t="s">
        <v>736</v>
      </c>
      <c r="T459" s="4">
        <v>45642</v>
      </c>
      <c r="U459" s="4">
        <v>45657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59700</v>
      </c>
      <c r="AH459" s="5">
        <v>0</v>
      </c>
      <c r="AI459" s="5">
        <v>0</v>
      </c>
      <c r="AJ459" s="5">
        <v>10862.45</v>
      </c>
      <c r="AK459" s="5">
        <v>0</v>
      </c>
      <c r="AL459" s="5">
        <v>0</v>
      </c>
      <c r="AM459" s="5">
        <v>10862.45</v>
      </c>
      <c r="AN459" s="5">
        <v>0</v>
      </c>
      <c r="AO459" s="1" t="s">
        <v>126</v>
      </c>
    </row>
    <row r="460" spans="1:41" x14ac:dyDescent="0.25">
      <c r="A460" s="1">
        <f t="shared" si="8"/>
        <v>444</v>
      </c>
      <c r="B460" s="1" t="s">
        <v>653</v>
      </c>
      <c r="C460" s="1" t="s">
        <v>122</v>
      </c>
      <c r="D460" s="1" t="s">
        <v>736</v>
      </c>
      <c r="E460" s="4">
        <v>45642</v>
      </c>
      <c r="F460" s="4">
        <v>45657</v>
      </c>
      <c r="H460" s="5">
        <v>35750</v>
      </c>
      <c r="I460" s="5">
        <v>0</v>
      </c>
      <c r="J460" s="5">
        <v>750</v>
      </c>
      <c r="K460" s="5">
        <v>2425</v>
      </c>
      <c r="L460" s="5">
        <v>0</v>
      </c>
      <c r="M460" s="5">
        <v>3175</v>
      </c>
      <c r="N460" s="5">
        <v>32575</v>
      </c>
      <c r="O460" s="5">
        <v>0</v>
      </c>
      <c r="P460" s="5">
        <v>0</v>
      </c>
      <c r="Q460" s="5">
        <v>32575</v>
      </c>
      <c r="R460" s="1" t="s">
        <v>1098</v>
      </c>
      <c r="S460" s="1" t="s">
        <v>736</v>
      </c>
      <c r="T460" s="4">
        <v>45642</v>
      </c>
      <c r="U460" s="4">
        <v>45657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32575</v>
      </c>
      <c r="AH460" s="5">
        <v>0</v>
      </c>
      <c r="AI460" s="5">
        <v>0</v>
      </c>
      <c r="AJ460" s="5">
        <v>4119.1000000000004</v>
      </c>
      <c r="AK460" s="5">
        <v>0</v>
      </c>
      <c r="AL460" s="5">
        <v>0</v>
      </c>
      <c r="AM460" s="5">
        <v>4119.1000000000004</v>
      </c>
      <c r="AN460" s="5">
        <v>0</v>
      </c>
      <c r="AO460" s="1" t="s">
        <v>126</v>
      </c>
    </row>
    <row r="461" spans="1:41" x14ac:dyDescent="0.25">
      <c r="A461" s="1">
        <f t="shared" si="8"/>
        <v>445</v>
      </c>
      <c r="B461" s="1" t="s">
        <v>654</v>
      </c>
      <c r="C461" s="1" t="s">
        <v>122</v>
      </c>
      <c r="D461" s="1" t="s">
        <v>735</v>
      </c>
      <c r="E461" s="4">
        <v>45292</v>
      </c>
      <c r="F461" s="4">
        <v>45657</v>
      </c>
      <c r="H461" s="5">
        <v>617664.28</v>
      </c>
      <c r="I461" s="5">
        <v>38800</v>
      </c>
      <c r="J461" s="5">
        <v>42000</v>
      </c>
      <c r="K461" s="5">
        <v>30140</v>
      </c>
      <c r="L461" s="5">
        <v>0</v>
      </c>
      <c r="M461" s="5">
        <v>110940</v>
      </c>
      <c r="N461" s="5">
        <v>435460</v>
      </c>
      <c r="O461" s="5">
        <v>0</v>
      </c>
      <c r="P461" s="5">
        <v>71264.28</v>
      </c>
      <c r="Q461" s="5">
        <v>506724.28</v>
      </c>
      <c r="R461" s="1" t="s">
        <v>1099</v>
      </c>
      <c r="S461" s="1" t="s">
        <v>735</v>
      </c>
      <c r="T461" s="4">
        <v>45292</v>
      </c>
      <c r="U461" s="4">
        <v>45657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506724.28</v>
      </c>
      <c r="AH461" s="5">
        <v>43844.86</v>
      </c>
      <c r="AI461" s="5">
        <v>0</v>
      </c>
      <c r="AJ461" s="5">
        <v>43843.27</v>
      </c>
      <c r="AK461" s="5">
        <v>0</v>
      </c>
      <c r="AL461" s="5">
        <v>1.59</v>
      </c>
      <c r="AM461" s="5">
        <v>0</v>
      </c>
      <c r="AN461" s="5">
        <v>43844.86</v>
      </c>
      <c r="AO461" s="1" t="s">
        <v>1177</v>
      </c>
    </row>
    <row r="462" spans="1:41" x14ac:dyDescent="0.25">
      <c r="A462" s="1">
        <f t="shared" si="8"/>
        <v>446</v>
      </c>
      <c r="B462" s="1" t="s">
        <v>655</v>
      </c>
      <c r="C462" s="1" t="s">
        <v>122</v>
      </c>
      <c r="D462" s="1" t="s">
        <v>735</v>
      </c>
      <c r="E462" s="4">
        <v>45292</v>
      </c>
      <c r="F462" s="4">
        <v>45657</v>
      </c>
      <c r="H462" s="5">
        <v>669364.68000000005</v>
      </c>
      <c r="I462" s="5">
        <v>48443.44</v>
      </c>
      <c r="J462" s="5">
        <v>39600</v>
      </c>
      <c r="K462" s="5">
        <v>33079.1</v>
      </c>
      <c r="L462" s="5">
        <v>0</v>
      </c>
      <c r="M462" s="5">
        <v>121122.54</v>
      </c>
      <c r="N462" s="5">
        <v>548242.14</v>
      </c>
      <c r="O462" s="5">
        <v>0</v>
      </c>
      <c r="P462" s="5">
        <v>0</v>
      </c>
      <c r="Q462" s="5">
        <v>548242.14</v>
      </c>
      <c r="R462" s="1" t="s">
        <v>1100</v>
      </c>
      <c r="S462" s="1" t="s">
        <v>735</v>
      </c>
      <c r="T462" s="4">
        <v>45292</v>
      </c>
      <c r="U462" s="4">
        <v>45657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548242.14</v>
      </c>
      <c r="AH462" s="5">
        <v>52148.43</v>
      </c>
      <c r="AI462" s="5">
        <v>0</v>
      </c>
      <c r="AJ462" s="5">
        <v>52146.83</v>
      </c>
      <c r="AK462" s="5">
        <v>0</v>
      </c>
      <c r="AL462" s="5">
        <v>1.6</v>
      </c>
      <c r="AM462" s="5">
        <v>0</v>
      </c>
      <c r="AN462" s="5">
        <v>52148.43</v>
      </c>
      <c r="AO462" s="1" t="s">
        <v>1177</v>
      </c>
    </row>
    <row r="463" spans="1:41" x14ac:dyDescent="0.25">
      <c r="A463" s="1">
        <f t="shared" si="8"/>
        <v>447</v>
      </c>
      <c r="B463" s="1" t="s">
        <v>656</v>
      </c>
      <c r="C463" s="1" t="s">
        <v>122</v>
      </c>
      <c r="D463" s="1" t="s">
        <v>735</v>
      </c>
      <c r="E463" s="4">
        <v>45292</v>
      </c>
      <c r="F463" s="4">
        <v>45657</v>
      </c>
      <c r="H463" s="5">
        <v>437921.21</v>
      </c>
      <c r="I463" s="5">
        <v>28712.92</v>
      </c>
      <c r="J463" s="5">
        <v>39600</v>
      </c>
      <c r="K463" s="5">
        <v>26663.87</v>
      </c>
      <c r="L463" s="5">
        <v>0</v>
      </c>
      <c r="M463" s="5">
        <v>94976.79</v>
      </c>
      <c r="N463" s="5">
        <v>317891.13</v>
      </c>
      <c r="O463" s="5">
        <v>0</v>
      </c>
      <c r="P463" s="5">
        <v>25053.29</v>
      </c>
      <c r="Q463" s="5">
        <v>342944.42</v>
      </c>
      <c r="R463" s="1" t="s">
        <v>1101</v>
      </c>
      <c r="S463" s="1" t="s">
        <v>735</v>
      </c>
      <c r="T463" s="4">
        <v>45292</v>
      </c>
      <c r="U463" s="4">
        <v>45657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342944.42</v>
      </c>
      <c r="AH463" s="5">
        <v>13941.66</v>
      </c>
      <c r="AI463" s="5">
        <v>0</v>
      </c>
      <c r="AJ463" s="5">
        <v>14117.38</v>
      </c>
      <c r="AK463" s="5">
        <v>0</v>
      </c>
      <c r="AL463" s="5">
        <v>0</v>
      </c>
      <c r="AM463" s="5">
        <v>175.72</v>
      </c>
      <c r="AN463" s="5">
        <v>13941.66</v>
      </c>
      <c r="AO463" s="1" t="s">
        <v>1177</v>
      </c>
    </row>
    <row r="464" spans="1:41" x14ac:dyDescent="0.25">
      <c r="A464" s="1">
        <f t="shared" si="8"/>
        <v>448</v>
      </c>
      <c r="B464" s="1" t="s">
        <v>657</v>
      </c>
      <c r="C464" s="1" t="s">
        <v>122</v>
      </c>
      <c r="D464" s="1" t="s">
        <v>735</v>
      </c>
      <c r="E464" s="4">
        <v>45292</v>
      </c>
      <c r="F464" s="4">
        <v>45657</v>
      </c>
      <c r="H464" s="5">
        <v>512071.79</v>
      </c>
      <c r="I464" s="5">
        <v>32097.919999999998</v>
      </c>
      <c r="J464" s="5">
        <v>42330</v>
      </c>
      <c r="K464" s="5">
        <v>28129.37</v>
      </c>
      <c r="L464" s="5">
        <v>0</v>
      </c>
      <c r="M464" s="5">
        <v>102557.29</v>
      </c>
      <c r="N464" s="5">
        <v>357045.63</v>
      </c>
      <c r="O464" s="5">
        <v>0</v>
      </c>
      <c r="P464" s="5">
        <v>52468.87</v>
      </c>
      <c r="Q464" s="5">
        <v>409514.5</v>
      </c>
      <c r="R464" s="1" t="s">
        <v>1102</v>
      </c>
      <c r="S464" s="1" t="s">
        <v>735</v>
      </c>
      <c r="T464" s="4">
        <v>45292</v>
      </c>
      <c r="U464" s="4">
        <v>45657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409514.5</v>
      </c>
      <c r="AH464" s="5">
        <v>24402.9</v>
      </c>
      <c r="AI464" s="5">
        <v>0</v>
      </c>
      <c r="AJ464" s="5">
        <v>24980.45</v>
      </c>
      <c r="AK464" s="5">
        <v>0</v>
      </c>
      <c r="AL464" s="5">
        <v>0</v>
      </c>
      <c r="AM464" s="5">
        <v>577.54999999999995</v>
      </c>
      <c r="AN464" s="5">
        <v>24402.9</v>
      </c>
      <c r="AO464" s="1" t="s">
        <v>1177</v>
      </c>
    </row>
    <row r="465" spans="1:41" x14ac:dyDescent="0.25">
      <c r="A465" s="1">
        <f t="shared" si="8"/>
        <v>449</v>
      </c>
      <c r="B465" s="1" t="s">
        <v>658</v>
      </c>
      <c r="C465" s="1" t="s">
        <v>122</v>
      </c>
      <c r="D465" s="1" t="s">
        <v>735</v>
      </c>
      <c r="E465" s="4">
        <v>45292</v>
      </c>
      <c r="F465" s="4">
        <v>45657</v>
      </c>
      <c r="H465" s="5">
        <v>377636.89</v>
      </c>
      <c r="I465" s="5">
        <v>25885.42</v>
      </c>
      <c r="J465" s="5">
        <v>39600</v>
      </c>
      <c r="K465" s="5">
        <v>24600.62</v>
      </c>
      <c r="L465" s="5">
        <v>0</v>
      </c>
      <c r="M465" s="5">
        <v>90086.04</v>
      </c>
      <c r="N465" s="5">
        <v>286024.38</v>
      </c>
      <c r="O465" s="5">
        <v>0</v>
      </c>
      <c r="P465" s="5">
        <v>1526.47</v>
      </c>
      <c r="Q465" s="5">
        <v>287550.84999999998</v>
      </c>
      <c r="R465" s="1" t="s">
        <v>1103</v>
      </c>
      <c r="S465" s="1" t="s">
        <v>735</v>
      </c>
      <c r="T465" s="4">
        <v>45292</v>
      </c>
      <c r="U465" s="4">
        <v>45657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287550.84999999998</v>
      </c>
      <c r="AH465" s="5">
        <v>5632.63</v>
      </c>
      <c r="AI465" s="5">
        <v>0</v>
      </c>
      <c r="AJ465" s="5">
        <v>5631.44</v>
      </c>
      <c r="AK465" s="5">
        <v>0</v>
      </c>
      <c r="AL465" s="5">
        <v>1.19</v>
      </c>
      <c r="AM465" s="5">
        <v>0</v>
      </c>
      <c r="AN465" s="5">
        <v>5632.63</v>
      </c>
      <c r="AO465" s="1" t="s">
        <v>1177</v>
      </c>
    </row>
    <row r="466" spans="1:41" x14ac:dyDescent="0.25">
      <c r="A466" s="1">
        <f t="shared" si="8"/>
        <v>450</v>
      </c>
      <c r="B466" s="1" t="s">
        <v>659</v>
      </c>
      <c r="C466" s="1" t="s">
        <v>122</v>
      </c>
      <c r="D466" s="1" t="s">
        <v>735</v>
      </c>
      <c r="E466" s="4">
        <v>45292</v>
      </c>
      <c r="F466" s="4">
        <v>45657</v>
      </c>
      <c r="H466" s="5">
        <v>247768.66</v>
      </c>
      <c r="I466" s="5">
        <v>16273.97</v>
      </c>
      <c r="J466" s="5">
        <v>33000</v>
      </c>
      <c r="K466" s="5">
        <v>15872.5</v>
      </c>
      <c r="L466" s="5">
        <v>0</v>
      </c>
      <c r="M466" s="5">
        <v>65146.47</v>
      </c>
      <c r="N466" s="5">
        <v>179415.08</v>
      </c>
      <c r="O466" s="5">
        <v>0</v>
      </c>
      <c r="P466" s="5">
        <v>3207.11</v>
      </c>
      <c r="Q466" s="5">
        <v>182622.19</v>
      </c>
      <c r="R466" s="1" t="s">
        <v>1104</v>
      </c>
      <c r="S466" s="1" t="s">
        <v>735</v>
      </c>
      <c r="T466" s="4">
        <v>45292</v>
      </c>
      <c r="U466" s="4">
        <v>45657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182622.19</v>
      </c>
      <c r="AH466" s="5">
        <v>0</v>
      </c>
      <c r="AI466" s="5">
        <v>0</v>
      </c>
      <c r="AJ466" s="5">
        <v>36.200000000000003</v>
      </c>
      <c r="AK466" s="5">
        <v>0</v>
      </c>
      <c r="AL466" s="5">
        <v>0</v>
      </c>
      <c r="AM466" s="5">
        <v>36.200000000000003</v>
      </c>
      <c r="AN466" s="5">
        <v>0</v>
      </c>
      <c r="AO466" s="1" t="s">
        <v>1177</v>
      </c>
    </row>
    <row r="467" spans="1:41" x14ac:dyDescent="0.25">
      <c r="A467" s="1">
        <f t="shared" si="8"/>
        <v>451</v>
      </c>
      <c r="B467" s="1" t="s">
        <v>660</v>
      </c>
      <c r="C467" s="1" t="s">
        <v>122</v>
      </c>
      <c r="D467" s="1" t="s">
        <v>735</v>
      </c>
      <c r="E467" s="4">
        <v>45292</v>
      </c>
      <c r="F467" s="4">
        <v>45657</v>
      </c>
      <c r="H467" s="5">
        <v>268012.73</v>
      </c>
      <c r="I467" s="5">
        <v>16795.07</v>
      </c>
      <c r="J467" s="5">
        <v>29700</v>
      </c>
      <c r="K467" s="5">
        <v>16668.8</v>
      </c>
      <c r="L467" s="5">
        <v>0</v>
      </c>
      <c r="M467" s="5">
        <v>63163.87</v>
      </c>
      <c r="N467" s="5">
        <v>173303.34</v>
      </c>
      <c r="O467" s="5">
        <v>0</v>
      </c>
      <c r="P467" s="5">
        <v>31545.52</v>
      </c>
      <c r="Q467" s="5">
        <v>204848.86</v>
      </c>
      <c r="R467" s="1" t="s">
        <v>1105</v>
      </c>
      <c r="S467" s="1" t="s">
        <v>735</v>
      </c>
      <c r="T467" s="4">
        <v>45292</v>
      </c>
      <c r="U467" s="4">
        <v>45657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204848.86</v>
      </c>
      <c r="AH467" s="5">
        <v>0</v>
      </c>
      <c r="AI467" s="5">
        <v>0</v>
      </c>
      <c r="AJ467" s="5">
        <v>3681.38</v>
      </c>
      <c r="AK467" s="5">
        <v>0</v>
      </c>
      <c r="AL467" s="5">
        <v>0</v>
      </c>
      <c r="AM467" s="5">
        <v>3681.38</v>
      </c>
      <c r="AN467" s="5">
        <v>0</v>
      </c>
      <c r="AO467" s="1" t="s">
        <v>1177</v>
      </c>
    </row>
    <row r="468" spans="1:41" x14ac:dyDescent="0.25">
      <c r="A468" s="1">
        <f t="shared" si="8"/>
        <v>452</v>
      </c>
      <c r="B468" s="1" t="s">
        <v>661</v>
      </c>
      <c r="C468" s="1" t="s">
        <v>122</v>
      </c>
      <c r="D468" s="1" t="s">
        <v>261</v>
      </c>
      <c r="E468" s="4">
        <v>45292</v>
      </c>
      <c r="F468" s="4">
        <v>45657</v>
      </c>
      <c r="H468" s="5">
        <v>458203.18</v>
      </c>
      <c r="I468" s="5">
        <v>17500</v>
      </c>
      <c r="J468" s="5">
        <v>6000</v>
      </c>
      <c r="K468" s="5">
        <v>23345</v>
      </c>
      <c r="L468" s="5">
        <v>0</v>
      </c>
      <c r="M468" s="5">
        <v>46845</v>
      </c>
      <c r="N468" s="5">
        <v>186655</v>
      </c>
      <c r="O468" s="5">
        <v>0</v>
      </c>
      <c r="P468" s="5">
        <v>224703.18</v>
      </c>
      <c r="Q468" s="5">
        <v>411358.18</v>
      </c>
      <c r="R468" s="1" t="s">
        <v>1106</v>
      </c>
      <c r="S468" s="1" t="s">
        <v>261</v>
      </c>
      <c r="T468" s="4">
        <v>45292</v>
      </c>
      <c r="U468" s="4">
        <v>45657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411358.18</v>
      </c>
      <c r="AH468" s="5">
        <v>24771.64</v>
      </c>
      <c r="AI468" s="5">
        <v>0</v>
      </c>
      <c r="AJ468" s="5">
        <v>26765.439999999999</v>
      </c>
      <c r="AK468" s="5">
        <v>0</v>
      </c>
      <c r="AL468" s="5">
        <v>0</v>
      </c>
      <c r="AM468" s="5">
        <v>1993.8</v>
      </c>
      <c r="AN468" s="5">
        <v>24771.64</v>
      </c>
      <c r="AO468" s="1" t="s">
        <v>1177</v>
      </c>
    </row>
    <row r="469" spans="1:41" x14ac:dyDescent="0.25">
      <c r="A469" s="1">
        <f t="shared" si="8"/>
        <v>453</v>
      </c>
      <c r="B469" s="1" t="s">
        <v>662</v>
      </c>
      <c r="C469" s="1" t="s">
        <v>122</v>
      </c>
      <c r="D469" s="1" t="s">
        <v>261</v>
      </c>
      <c r="E469" s="4">
        <v>45292</v>
      </c>
      <c r="F469" s="4">
        <v>45657</v>
      </c>
      <c r="H469" s="5">
        <v>547469.77</v>
      </c>
      <c r="I469" s="5">
        <v>17500</v>
      </c>
      <c r="J469" s="5">
        <v>18000</v>
      </c>
      <c r="K469" s="5">
        <v>23750</v>
      </c>
      <c r="L469" s="5">
        <v>0</v>
      </c>
      <c r="M469" s="5">
        <v>59250</v>
      </c>
      <c r="N469" s="5">
        <v>186250</v>
      </c>
      <c r="O469" s="5">
        <v>0</v>
      </c>
      <c r="P469" s="5">
        <v>301969.77</v>
      </c>
      <c r="Q469" s="5">
        <v>488219.77</v>
      </c>
      <c r="R469" s="1" t="s">
        <v>1107</v>
      </c>
      <c r="S469" s="1" t="s">
        <v>261</v>
      </c>
      <c r="T469" s="4">
        <v>45292</v>
      </c>
      <c r="U469" s="4">
        <v>45657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488219.77</v>
      </c>
      <c r="AH469" s="5">
        <v>40143.949999999997</v>
      </c>
      <c r="AI469" s="5">
        <v>0</v>
      </c>
      <c r="AJ469" s="5">
        <v>41241.949999999997</v>
      </c>
      <c r="AK469" s="5">
        <v>0</v>
      </c>
      <c r="AL469" s="5">
        <v>0</v>
      </c>
      <c r="AM469" s="5">
        <v>1098</v>
      </c>
      <c r="AN469" s="5">
        <v>40143.949999999997</v>
      </c>
      <c r="AO469" s="1" t="s">
        <v>1177</v>
      </c>
    </row>
    <row r="470" spans="1:41" x14ac:dyDescent="0.25">
      <c r="A470" s="1">
        <f t="shared" si="8"/>
        <v>454</v>
      </c>
      <c r="B470" s="1" t="s">
        <v>663</v>
      </c>
      <c r="C470" s="1" t="s">
        <v>122</v>
      </c>
      <c r="D470" s="1" t="s">
        <v>261</v>
      </c>
      <c r="E470" s="4">
        <v>45292</v>
      </c>
      <c r="F470" s="4">
        <v>45657</v>
      </c>
      <c r="H470" s="5">
        <v>567944.92000000004</v>
      </c>
      <c r="I470" s="5">
        <v>18000</v>
      </c>
      <c r="J470" s="5">
        <v>0</v>
      </c>
      <c r="K470" s="5">
        <v>23900</v>
      </c>
      <c r="L470" s="5">
        <v>0</v>
      </c>
      <c r="M470" s="5">
        <v>41900</v>
      </c>
      <c r="N470" s="5">
        <v>192100</v>
      </c>
      <c r="O470" s="5">
        <v>0</v>
      </c>
      <c r="P470" s="5">
        <v>333944.92</v>
      </c>
      <c r="Q470" s="5">
        <v>526044.92000000004</v>
      </c>
      <c r="R470" s="1" t="s">
        <v>1108</v>
      </c>
      <c r="S470" s="1" t="s">
        <v>261</v>
      </c>
      <c r="T470" s="4">
        <v>45292</v>
      </c>
      <c r="U470" s="4">
        <v>45657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526044.92000000004</v>
      </c>
      <c r="AH470" s="5">
        <v>47708.98</v>
      </c>
      <c r="AI470" s="5">
        <v>0</v>
      </c>
      <c r="AJ470" s="5">
        <v>48369.78</v>
      </c>
      <c r="AK470" s="5">
        <v>0</v>
      </c>
      <c r="AL470" s="5">
        <v>0</v>
      </c>
      <c r="AM470" s="5">
        <v>660.8</v>
      </c>
      <c r="AN470" s="5">
        <v>47708.98</v>
      </c>
      <c r="AO470" s="1" t="s">
        <v>1177</v>
      </c>
    </row>
    <row r="471" spans="1:41" x14ac:dyDescent="0.25">
      <c r="A471" s="1">
        <f t="shared" si="8"/>
        <v>455</v>
      </c>
      <c r="B471" s="1" t="s">
        <v>664</v>
      </c>
      <c r="C471" s="1" t="s">
        <v>122</v>
      </c>
      <c r="D471" s="1" t="s">
        <v>261</v>
      </c>
      <c r="E471" s="4">
        <v>45292</v>
      </c>
      <c r="F471" s="4">
        <v>45657</v>
      </c>
      <c r="H471" s="5">
        <v>505571.58</v>
      </c>
      <c r="I471" s="5">
        <v>18000</v>
      </c>
      <c r="J471" s="5">
        <v>0</v>
      </c>
      <c r="K471" s="5">
        <v>23787.5</v>
      </c>
      <c r="L471" s="5">
        <v>0</v>
      </c>
      <c r="M471" s="5">
        <v>41787.5</v>
      </c>
      <c r="N471" s="5">
        <v>192212.5</v>
      </c>
      <c r="O471" s="5">
        <v>0</v>
      </c>
      <c r="P471" s="5">
        <v>271571.58</v>
      </c>
      <c r="Q471" s="5">
        <v>463784.08</v>
      </c>
      <c r="R471" s="1" t="s">
        <v>1109</v>
      </c>
      <c r="S471" s="1" t="s">
        <v>261</v>
      </c>
      <c r="T471" s="4">
        <v>45292</v>
      </c>
      <c r="U471" s="4">
        <v>45657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463784.08</v>
      </c>
      <c r="AH471" s="5">
        <v>35256.82</v>
      </c>
      <c r="AI471" s="5">
        <v>0</v>
      </c>
      <c r="AJ471" s="5">
        <v>36062.53</v>
      </c>
      <c r="AK471" s="5">
        <v>0</v>
      </c>
      <c r="AL471" s="5">
        <v>0</v>
      </c>
      <c r="AM471" s="5">
        <v>805.71</v>
      </c>
      <c r="AN471" s="5">
        <v>35256.82</v>
      </c>
      <c r="AO471" s="1" t="s">
        <v>1177</v>
      </c>
    </row>
    <row r="472" spans="1:41" x14ac:dyDescent="0.25">
      <c r="A472" s="1">
        <f t="shared" si="8"/>
        <v>456</v>
      </c>
      <c r="B472" s="1" t="s">
        <v>665</v>
      </c>
      <c r="C472" s="1" t="s">
        <v>122</v>
      </c>
      <c r="D472" s="1" t="s">
        <v>261</v>
      </c>
      <c r="E472" s="4">
        <v>45292</v>
      </c>
      <c r="F472" s="4">
        <v>45657</v>
      </c>
      <c r="H472" s="5">
        <v>759895.32</v>
      </c>
      <c r="I472" s="5">
        <v>19500</v>
      </c>
      <c r="J472" s="5">
        <v>0</v>
      </c>
      <c r="K472" s="5">
        <v>24350</v>
      </c>
      <c r="L472" s="5">
        <v>0</v>
      </c>
      <c r="M472" s="5">
        <v>43850</v>
      </c>
      <c r="N472" s="5">
        <v>209650</v>
      </c>
      <c r="O472" s="5">
        <v>0</v>
      </c>
      <c r="P472" s="5">
        <v>506395.32</v>
      </c>
      <c r="Q472" s="5">
        <v>716045.32</v>
      </c>
      <c r="R472" s="1" t="s">
        <v>1110</v>
      </c>
      <c r="S472" s="1" t="s">
        <v>261</v>
      </c>
      <c r="T472" s="4">
        <v>45292</v>
      </c>
      <c r="U472" s="4">
        <v>45657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716045.32</v>
      </c>
      <c r="AH472" s="5">
        <v>85709.06</v>
      </c>
      <c r="AI472" s="5">
        <v>0</v>
      </c>
      <c r="AJ472" s="5">
        <v>88768.41</v>
      </c>
      <c r="AK472" s="5">
        <v>0</v>
      </c>
      <c r="AL472" s="5">
        <v>0</v>
      </c>
      <c r="AM472" s="5">
        <v>3059.35</v>
      </c>
      <c r="AN472" s="5">
        <v>85709.06</v>
      </c>
      <c r="AO472" s="1" t="s">
        <v>1177</v>
      </c>
    </row>
    <row r="473" spans="1:41" x14ac:dyDescent="0.25">
      <c r="A473" s="1">
        <f t="shared" si="8"/>
        <v>457</v>
      </c>
      <c r="B473" s="1" t="s">
        <v>666</v>
      </c>
      <c r="C473" s="1" t="s">
        <v>122</v>
      </c>
      <c r="D473" s="1" t="s">
        <v>261</v>
      </c>
      <c r="E473" s="4">
        <v>45292</v>
      </c>
      <c r="F473" s="4">
        <v>45657</v>
      </c>
      <c r="H473" s="5">
        <v>289767.87</v>
      </c>
      <c r="I473" s="5">
        <v>16436.78</v>
      </c>
      <c r="J473" s="5">
        <v>6000</v>
      </c>
      <c r="K473" s="5">
        <v>19332.5</v>
      </c>
      <c r="L473" s="5">
        <v>0</v>
      </c>
      <c r="M473" s="5">
        <v>41769.279999999999</v>
      </c>
      <c r="N473" s="5">
        <v>177908.88</v>
      </c>
      <c r="O473" s="5">
        <v>0</v>
      </c>
      <c r="P473" s="5">
        <v>70089.710000000006</v>
      </c>
      <c r="Q473" s="5">
        <v>247998.59</v>
      </c>
      <c r="R473" s="1" t="s">
        <v>1111</v>
      </c>
      <c r="S473" s="1" t="s">
        <v>261</v>
      </c>
      <c r="T473" s="4">
        <v>45292</v>
      </c>
      <c r="U473" s="4">
        <v>45657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247998.59</v>
      </c>
      <c r="AH473" s="5">
        <v>0</v>
      </c>
      <c r="AI473" s="5">
        <v>0</v>
      </c>
      <c r="AJ473" s="5">
        <v>2124.04</v>
      </c>
      <c r="AK473" s="5">
        <v>0</v>
      </c>
      <c r="AL473" s="5">
        <v>0</v>
      </c>
      <c r="AM473" s="5">
        <v>2124.04</v>
      </c>
      <c r="AN473" s="5">
        <v>0</v>
      </c>
      <c r="AO473" s="1" t="s">
        <v>1177</v>
      </c>
    </row>
    <row r="474" spans="1:41" x14ac:dyDescent="0.25">
      <c r="A474" s="1">
        <f t="shared" si="8"/>
        <v>458</v>
      </c>
      <c r="B474" s="1" t="s">
        <v>667</v>
      </c>
      <c r="C474" s="1" t="s">
        <v>122</v>
      </c>
      <c r="D474" s="1" t="s">
        <v>261</v>
      </c>
      <c r="E474" s="4">
        <v>45292</v>
      </c>
      <c r="F474" s="4">
        <v>45657</v>
      </c>
      <c r="H474" s="5">
        <v>222983.36</v>
      </c>
      <c r="I474" s="5">
        <v>15800</v>
      </c>
      <c r="J474" s="5">
        <v>6000</v>
      </c>
      <c r="K474" s="5">
        <v>16220</v>
      </c>
      <c r="L474" s="5">
        <v>0</v>
      </c>
      <c r="M474" s="5">
        <v>38020</v>
      </c>
      <c r="N474" s="5">
        <v>173380</v>
      </c>
      <c r="O474" s="5">
        <v>0</v>
      </c>
      <c r="P474" s="5">
        <v>11583.36</v>
      </c>
      <c r="Q474" s="5">
        <v>184963.36</v>
      </c>
      <c r="R474" s="1" t="s">
        <v>1112</v>
      </c>
      <c r="S474" s="1" t="s">
        <v>261</v>
      </c>
      <c r="T474" s="4">
        <v>45292</v>
      </c>
      <c r="U474" s="4">
        <v>45657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184963.36</v>
      </c>
      <c r="AH474" s="5">
        <v>0</v>
      </c>
      <c r="AI474" s="5">
        <v>0</v>
      </c>
      <c r="AJ474" s="5">
        <v>485.47</v>
      </c>
      <c r="AK474" s="5">
        <v>0</v>
      </c>
      <c r="AL474" s="5">
        <v>0</v>
      </c>
      <c r="AM474" s="5">
        <v>485.47</v>
      </c>
      <c r="AN474" s="5">
        <v>0</v>
      </c>
      <c r="AO474" s="1" t="s">
        <v>1177</v>
      </c>
    </row>
    <row r="475" spans="1:41" x14ac:dyDescent="0.25">
      <c r="A475" s="1">
        <f t="shared" si="8"/>
        <v>459</v>
      </c>
      <c r="B475" s="1" t="s">
        <v>668</v>
      </c>
      <c r="C475" s="1" t="s">
        <v>122</v>
      </c>
      <c r="D475" s="1" t="s">
        <v>261</v>
      </c>
      <c r="E475" s="4">
        <v>45292</v>
      </c>
      <c r="F475" s="4">
        <v>45657</v>
      </c>
      <c r="H475" s="5">
        <v>225090.79</v>
      </c>
      <c r="I475" s="5">
        <v>15800</v>
      </c>
      <c r="J475" s="5">
        <v>6000</v>
      </c>
      <c r="K475" s="5">
        <v>16332.5</v>
      </c>
      <c r="L475" s="5">
        <v>0</v>
      </c>
      <c r="M475" s="5">
        <v>38132.5</v>
      </c>
      <c r="N475" s="5">
        <v>173267.5</v>
      </c>
      <c r="O475" s="5">
        <v>0</v>
      </c>
      <c r="P475" s="5">
        <v>13690.79</v>
      </c>
      <c r="Q475" s="5">
        <v>186958.29</v>
      </c>
      <c r="R475" s="1" t="s">
        <v>1113</v>
      </c>
      <c r="S475" s="1" t="s">
        <v>261</v>
      </c>
      <c r="T475" s="4">
        <v>45292</v>
      </c>
      <c r="U475" s="4">
        <v>45657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186958.29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1" t="s">
        <v>1177</v>
      </c>
    </row>
    <row r="476" spans="1:41" x14ac:dyDescent="0.25">
      <c r="A476" s="1">
        <f t="shared" si="8"/>
        <v>460</v>
      </c>
      <c r="B476" s="1" t="s">
        <v>669</v>
      </c>
      <c r="C476" s="1" t="s">
        <v>122</v>
      </c>
      <c r="D476" s="1" t="s">
        <v>261</v>
      </c>
      <c r="E476" s="4">
        <v>45292</v>
      </c>
      <c r="F476" s="4">
        <v>45657</v>
      </c>
      <c r="H476" s="5">
        <v>445259.66</v>
      </c>
      <c r="I476" s="5">
        <v>16500</v>
      </c>
      <c r="J476" s="5">
        <v>6000</v>
      </c>
      <c r="K476" s="5">
        <v>23450</v>
      </c>
      <c r="L476" s="5">
        <v>0</v>
      </c>
      <c r="M476" s="5">
        <v>45950</v>
      </c>
      <c r="N476" s="5">
        <v>174550</v>
      </c>
      <c r="O476" s="5">
        <v>0</v>
      </c>
      <c r="P476" s="5">
        <v>224759.66</v>
      </c>
      <c r="Q476" s="5">
        <v>399309.66</v>
      </c>
      <c r="R476" s="1" t="s">
        <v>1114</v>
      </c>
      <c r="S476" s="1" t="s">
        <v>261</v>
      </c>
      <c r="T476" s="4">
        <v>45292</v>
      </c>
      <c r="U476" s="4">
        <v>45657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399309.66</v>
      </c>
      <c r="AH476" s="5">
        <v>22396.45</v>
      </c>
      <c r="AI476" s="5">
        <v>0</v>
      </c>
      <c r="AJ476" s="5">
        <v>23294.48</v>
      </c>
      <c r="AK476" s="5">
        <v>0</v>
      </c>
      <c r="AL476" s="5">
        <v>0</v>
      </c>
      <c r="AM476" s="5">
        <v>898.03</v>
      </c>
      <c r="AN476" s="5">
        <v>22396.45</v>
      </c>
      <c r="AO476" s="1" t="s">
        <v>1177</v>
      </c>
    </row>
    <row r="477" spans="1:41" x14ac:dyDescent="0.25">
      <c r="A477" s="1">
        <f t="shared" si="8"/>
        <v>461</v>
      </c>
      <c r="B477" s="1" t="s">
        <v>670</v>
      </c>
      <c r="C477" s="1" t="s">
        <v>122</v>
      </c>
      <c r="D477" s="1" t="s">
        <v>261</v>
      </c>
      <c r="E477" s="4">
        <v>45292</v>
      </c>
      <c r="F477" s="4">
        <v>45657</v>
      </c>
      <c r="H477" s="5">
        <v>214000</v>
      </c>
      <c r="I477" s="5">
        <v>16000</v>
      </c>
      <c r="J477" s="5">
        <v>6000</v>
      </c>
      <c r="K477" s="5">
        <v>15807.5</v>
      </c>
      <c r="L477" s="5">
        <v>0</v>
      </c>
      <c r="M477" s="5">
        <v>37807.5</v>
      </c>
      <c r="N477" s="5">
        <v>176192.5</v>
      </c>
      <c r="O477" s="5">
        <v>0</v>
      </c>
      <c r="P477" s="5">
        <v>0</v>
      </c>
      <c r="Q477" s="5">
        <v>176192.5</v>
      </c>
      <c r="R477" s="1" t="s">
        <v>1115</v>
      </c>
      <c r="S477" s="1" t="s">
        <v>261</v>
      </c>
      <c r="T477" s="4">
        <v>45292</v>
      </c>
      <c r="U477" s="4">
        <v>45657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176192.5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1" t="s">
        <v>1177</v>
      </c>
    </row>
    <row r="478" spans="1:41" x14ac:dyDescent="0.25">
      <c r="A478" s="1">
        <f t="shared" si="8"/>
        <v>462</v>
      </c>
      <c r="B478" s="1" t="s">
        <v>671</v>
      </c>
      <c r="C478" s="1" t="s">
        <v>122</v>
      </c>
      <c r="D478" s="1" t="s">
        <v>261</v>
      </c>
      <c r="E478" s="4">
        <v>45292</v>
      </c>
      <c r="F478" s="4">
        <v>45657</v>
      </c>
      <c r="H478" s="5">
        <v>464763.05</v>
      </c>
      <c r="I478" s="5">
        <v>15816.09</v>
      </c>
      <c r="J478" s="5">
        <v>6000</v>
      </c>
      <c r="K478" s="5">
        <v>23255</v>
      </c>
      <c r="L478" s="5">
        <v>0</v>
      </c>
      <c r="M478" s="5">
        <v>45071.09</v>
      </c>
      <c r="N478" s="5">
        <v>166538.10999999999</v>
      </c>
      <c r="O478" s="5">
        <v>0</v>
      </c>
      <c r="P478" s="5">
        <v>253153.85</v>
      </c>
      <c r="Q478" s="5">
        <v>419691.96</v>
      </c>
      <c r="R478" s="1" t="s">
        <v>1116</v>
      </c>
      <c r="S478" s="1" t="s">
        <v>261</v>
      </c>
      <c r="T478" s="4">
        <v>45292</v>
      </c>
      <c r="U478" s="4">
        <v>45657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419691.96</v>
      </c>
      <c r="AH478" s="5">
        <v>26438.39</v>
      </c>
      <c r="AI478" s="5">
        <v>0</v>
      </c>
      <c r="AJ478" s="5">
        <v>28539.56</v>
      </c>
      <c r="AK478" s="5">
        <v>0</v>
      </c>
      <c r="AL478" s="5">
        <v>0</v>
      </c>
      <c r="AM478" s="5">
        <v>2101.17</v>
      </c>
      <c r="AN478" s="5">
        <v>26438.39</v>
      </c>
      <c r="AO478" s="1" t="s">
        <v>1177</v>
      </c>
    </row>
    <row r="479" spans="1:41" x14ac:dyDescent="0.25">
      <c r="A479" s="1">
        <f t="shared" ref="A479:A487" si="9">A478+1</f>
        <v>463</v>
      </c>
      <c r="B479" s="1" t="s">
        <v>672</v>
      </c>
      <c r="C479" s="1" t="s">
        <v>122</v>
      </c>
      <c r="D479" s="1" t="s">
        <v>261</v>
      </c>
      <c r="E479" s="4">
        <v>45292</v>
      </c>
      <c r="F479" s="4">
        <v>45657</v>
      </c>
      <c r="H479" s="5">
        <v>523169.18</v>
      </c>
      <c r="I479" s="5">
        <v>15816.09</v>
      </c>
      <c r="J479" s="5">
        <v>6000</v>
      </c>
      <c r="K479" s="5">
        <v>23165</v>
      </c>
      <c r="L479" s="5">
        <v>0</v>
      </c>
      <c r="M479" s="5">
        <v>44981.09</v>
      </c>
      <c r="N479" s="5">
        <v>166628.1</v>
      </c>
      <c r="O479" s="5">
        <v>0</v>
      </c>
      <c r="P479" s="5">
        <v>311559.99</v>
      </c>
      <c r="Q479" s="5">
        <v>478188.09</v>
      </c>
      <c r="R479" s="1" t="s">
        <v>1117</v>
      </c>
      <c r="S479" s="1" t="s">
        <v>261</v>
      </c>
      <c r="T479" s="4">
        <v>45292</v>
      </c>
      <c r="U479" s="4">
        <v>45657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478188.09</v>
      </c>
      <c r="AH479" s="5">
        <v>38137.620000000003</v>
      </c>
      <c r="AI479" s="5">
        <v>0</v>
      </c>
      <c r="AJ479" s="5">
        <v>41829.839999999997</v>
      </c>
      <c r="AK479" s="5">
        <v>0</v>
      </c>
      <c r="AL479" s="5">
        <v>0</v>
      </c>
      <c r="AM479" s="5">
        <v>3692.22</v>
      </c>
      <c r="AN479" s="5">
        <v>38137.620000000003</v>
      </c>
      <c r="AO479" s="1" t="s">
        <v>1177</v>
      </c>
    </row>
    <row r="480" spans="1:41" x14ac:dyDescent="0.25">
      <c r="A480" s="1">
        <f t="shared" si="9"/>
        <v>464</v>
      </c>
      <c r="B480" s="1" t="s">
        <v>673</v>
      </c>
      <c r="C480" s="1" t="s">
        <v>122</v>
      </c>
      <c r="D480" s="1" t="s">
        <v>261</v>
      </c>
      <c r="E480" s="4">
        <v>45292</v>
      </c>
      <c r="F480" s="4">
        <v>45657</v>
      </c>
      <c r="H480" s="5">
        <v>299133.94</v>
      </c>
      <c r="I480" s="5">
        <v>16000</v>
      </c>
      <c r="J480" s="5">
        <v>6000</v>
      </c>
      <c r="K480" s="5">
        <v>19632.5</v>
      </c>
      <c r="L480" s="5">
        <v>0</v>
      </c>
      <c r="M480" s="5">
        <v>41632.5</v>
      </c>
      <c r="N480" s="5">
        <v>172367.5</v>
      </c>
      <c r="O480" s="5">
        <v>0</v>
      </c>
      <c r="P480" s="5">
        <v>85133.94</v>
      </c>
      <c r="Q480" s="5">
        <v>257501.44</v>
      </c>
      <c r="R480" s="1" t="s">
        <v>1118</v>
      </c>
      <c r="S480" s="1" t="s">
        <v>261</v>
      </c>
      <c r="T480" s="4">
        <v>45292</v>
      </c>
      <c r="U480" s="4">
        <v>45657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257501.44</v>
      </c>
      <c r="AH480" s="5">
        <v>1125.22</v>
      </c>
      <c r="AI480" s="5">
        <v>0</v>
      </c>
      <c r="AJ480" s="5">
        <v>1870.52</v>
      </c>
      <c r="AK480" s="5">
        <v>0</v>
      </c>
      <c r="AL480" s="5">
        <v>0</v>
      </c>
      <c r="AM480" s="5">
        <v>745.3</v>
      </c>
      <c r="AN480" s="5">
        <v>1125.22</v>
      </c>
      <c r="AO480" s="1" t="s">
        <v>1177</v>
      </c>
    </row>
    <row r="481" spans="1:41" x14ac:dyDescent="0.25">
      <c r="A481" s="1">
        <f t="shared" si="9"/>
        <v>465</v>
      </c>
      <c r="B481" s="1" t="s">
        <v>674</v>
      </c>
      <c r="C481" s="1" t="s">
        <v>122</v>
      </c>
      <c r="D481" s="1" t="s">
        <v>261</v>
      </c>
      <c r="E481" s="4">
        <v>45292</v>
      </c>
      <c r="F481" s="4">
        <v>45657</v>
      </c>
      <c r="H481" s="5">
        <v>218996.18</v>
      </c>
      <c r="I481" s="5">
        <v>15754.79</v>
      </c>
      <c r="J481" s="5">
        <v>6000</v>
      </c>
      <c r="K481" s="5">
        <v>16077.5</v>
      </c>
      <c r="L481" s="5">
        <v>0</v>
      </c>
      <c r="M481" s="5">
        <v>37832.29</v>
      </c>
      <c r="N481" s="5">
        <v>172979.98</v>
      </c>
      <c r="O481" s="5">
        <v>0</v>
      </c>
      <c r="P481" s="5">
        <v>8183.91</v>
      </c>
      <c r="Q481" s="5">
        <v>181163.89</v>
      </c>
      <c r="R481" s="1" t="s">
        <v>1119</v>
      </c>
      <c r="S481" s="1" t="s">
        <v>261</v>
      </c>
      <c r="T481" s="4">
        <v>45292</v>
      </c>
      <c r="U481" s="4">
        <v>45657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181163.89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1" t="s">
        <v>1177</v>
      </c>
    </row>
    <row r="482" spans="1:41" x14ac:dyDescent="0.25">
      <c r="A482" s="1">
        <f t="shared" si="9"/>
        <v>466</v>
      </c>
      <c r="B482" s="1" t="s">
        <v>675</v>
      </c>
      <c r="C482" s="1" t="s">
        <v>122</v>
      </c>
      <c r="D482" s="1" t="s">
        <v>261</v>
      </c>
      <c r="E482" s="4">
        <v>45292</v>
      </c>
      <c r="F482" s="4">
        <v>45657</v>
      </c>
      <c r="H482" s="5">
        <v>242304.96</v>
      </c>
      <c r="I482" s="5">
        <v>15000</v>
      </c>
      <c r="J482" s="5">
        <v>6000</v>
      </c>
      <c r="K482" s="5">
        <v>16880</v>
      </c>
      <c r="L482" s="5">
        <v>0</v>
      </c>
      <c r="M482" s="5">
        <v>37880</v>
      </c>
      <c r="N482" s="5">
        <v>163120</v>
      </c>
      <c r="O482" s="5">
        <v>0</v>
      </c>
      <c r="P482" s="5">
        <v>41304.959999999999</v>
      </c>
      <c r="Q482" s="5">
        <v>204424.95999999999</v>
      </c>
      <c r="R482" s="1" t="s">
        <v>1120</v>
      </c>
      <c r="S482" s="1" t="s">
        <v>261</v>
      </c>
      <c r="T482" s="4">
        <v>45292</v>
      </c>
      <c r="U482" s="4">
        <v>45657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204424.95999999999</v>
      </c>
      <c r="AH482" s="5">
        <v>0</v>
      </c>
      <c r="AI482" s="5">
        <v>0</v>
      </c>
      <c r="AJ482" s="5">
        <v>36.4</v>
      </c>
      <c r="AK482" s="5">
        <v>0</v>
      </c>
      <c r="AL482" s="5">
        <v>0</v>
      </c>
      <c r="AM482" s="5">
        <v>36.4</v>
      </c>
      <c r="AN482" s="5">
        <v>0</v>
      </c>
      <c r="AO482" s="1" t="s">
        <v>1177</v>
      </c>
    </row>
    <row r="483" spans="1:41" x14ac:dyDescent="0.25">
      <c r="A483" s="1">
        <f t="shared" si="9"/>
        <v>467</v>
      </c>
      <c r="B483" s="1" t="s">
        <v>676</v>
      </c>
      <c r="C483" s="1" t="s">
        <v>122</v>
      </c>
      <c r="D483" s="1" t="s">
        <v>261</v>
      </c>
      <c r="E483" s="4">
        <v>45292</v>
      </c>
      <c r="F483" s="4">
        <v>45657</v>
      </c>
      <c r="H483" s="5">
        <v>418752.27</v>
      </c>
      <c r="I483" s="5">
        <v>16000</v>
      </c>
      <c r="J483" s="5">
        <v>6000</v>
      </c>
      <c r="K483" s="5">
        <v>22535</v>
      </c>
      <c r="L483" s="5">
        <v>0</v>
      </c>
      <c r="M483" s="5">
        <v>44535</v>
      </c>
      <c r="N483" s="5">
        <v>169465</v>
      </c>
      <c r="O483" s="5">
        <v>0</v>
      </c>
      <c r="P483" s="5">
        <v>204752.27</v>
      </c>
      <c r="Q483" s="5">
        <v>374217.27</v>
      </c>
      <c r="R483" s="1" t="s">
        <v>1121</v>
      </c>
      <c r="S483" s="1" t="s">
        <v>261</v>
      </c>
      <c r="T483" s="4">
        <v>45292</v>
      </c>
      <c r="U483" s="4">
        <v>45657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374217.27</v>
      </c>
      <c r="AH483" s="5">
        <v>18632.59</v>
      </c>
      <c r="AI483" s="5">
        <v>0</v>
      </c>
      <c r="AJ483" s="5">
        <v>21285.65</v>
      </c>
      <c r="AK483" s="5">
        <v>0</v>
      </c>
      <c r="AL483" s="5">
        <v>0</v>
      </c>
      <c r="AM483" s="5">
        <v>2653.06</v>
      </c>
      <c r="AN483" s="5">
        <v>18632.59</v>
      </c>
      <c r="AO483" s="1" t="s">
        <v>1177</v>
      </c>
    </row>
    <row r="484" spans="1:41" x14ac:dyDescent="0.25">
      <c r="A484" s="1">
        <f t="shared" si="9"/>
        <v>468</v>
      </c>
      <c r="B484" s="1" t="s">
        <v>677</v>
      </c>
      <c r="C484" s="1" t="s">
        <v>122</v>
      </c>
      <c r="D484" s="1" t="s">
        <v>261</v>
      </c>
      <c r="E484" s="4">
        <v>45292</v>
      </c>
      <c r="F484" s="4">
        <v>45657</v>
      </c>
      <c r="H484" s="5">
        <v>411498.91</v>
      </c>
      <c r="I484" s="5">
        <v>15084.29</v>
      </c>
      <c r="J484" s="5">
        <v>6000</v>
      </c>
      <c r="K484" s="5">
        <v>21822.5</v>
      </c>
      <c r="L484" s="5">
        <v>0</v>
      </c>
      <c r="M484" s="5">
        <v>42906.79</v>
      </c>
      <c r="N484" s="5">
        <v>159188.99</v>
      </c>
      <c r="O484" s="5">
        <v>0</v>
      </c>
      <c r="P484" s="5">
        <v>209403.13</v>
      </c>
      <c r="Q484" s="5">
        <v>368592.12</v>
      </c>
      <c r="R484" s="1" t="s">
        <v>1122</v>
      </c>
      <c r="S484" s="1" t="s">
        <v>261</v>
      </c>
      <c r="T484" s="4">
        <v>45292</v>
      </c>
      <c r="U484" s="4">
        <v>45657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368592.12</v>
      </c>
      <c r="AH484" s="5">
        <v>17788.82</v>
      </c>
      <c r="AI484" s="5">
        <v>0</v>
      </c>
      <c r="AJ484" s="5">
        <v>21268.57</v>
      </c>
      <c r="AK484" s="5">
        <v>0</v>
      </c>
      <c r="AL484" s="5">
        <v>0</v>
      </c>
      <c r="AM484" s="5">
        <v>3479.75</v>
      </c>
      <c r="AN484" s="5">
        <v>17788.82</v>
      </c>
      <c r="AO484" s="1" t="s">
        <v>1177</v>
      </c>
    </row>
    <row r="485" spans="1:41" x14ac:dyDescent="0.25">
      <c r="A485" s="1">
        <f t="shared" si="9"/>
        <v>469</v>
      </c>
      <c r="B485" s="1" t="s">
        <v>678</v>
      </c>
      <c r="C485" s="1" t="s">
        <v>122</v>
      </c>
      <c r="D485" s="1" t="s">
        <v>261</v>
      </c>
      <c r="E485" s="4">
        <v>45292</v>
      </c>
      <c r="F485" s="4">
        <v>45657</v>
      </c>
      <c r="H485" s="5">
        <v>369136.52</v>
      </c>
      <c r="I485" s="5">
        <v>15800</v>
      </c>
      <c r="J485" s="5">
        <v>6000</v>
      </c>
      <c r="K485" s="5">
        <v>22182.5</v>
      </c>
      <c r="L485" s="5">
        <v>0</v>
      </c>
      <c r="M485" s="5">
        <v>43982.5</v>
      </c>
      <c r="N485" s="5">
        <v>167417.5</v>
      </c>
      <c r="O485" s="5">
        <v>0</v>
      </c>
      <c r="P485" s="5">
        <v>157736.51999999999</v>
      </c>
      <c r="Q485" s="5">
        <v>325154.02</v>
      </c>
      <c r="R485" s="1" t="s">
        <v>1123</v>
      </c>
      <c r="S485" s="1" t="s">
        <v>261</v>
      </c>
      <c r="T485" s="4">
        <v>45292</v>
      </c>
      <c r="U485" s="4">
        <v>45657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325154.02</v>
      </c>
      <c r="AH485" s="5">
        <v>11273.1</v>
      </c>
      <c r="AI485" s="5">
        <v>0</v>
      </c>
      <c r="AJ485" s="5">
        <v>12124.23</v>
      </c>
      <c r="AK485" s="5">
        <v>0</v>
      </c>
      <c r="AL485" s="5">
        <v>0</v>
      </c>
      <c r="AM485" s="5">
        <v>851.13</v>
      </c>
      <c r="AN485" s="5">
        <v>11273.1</v>
      </c>
      <c r="AO485" s="1" t="s">
        <v>1177</v>
      </c>
    </row>
    <row r="486" spans="1:41" x14ac:dyDescent="0.25">
      <c r="A486" s="1">
        <f t="shared" si="9"/>
        <v>470</v>
      </c>
      <c r="B486" s="1" t="s">
        <v>679</v>
      </c>
      <c r="C486" s="1" t="s">
        <v>122</v>
      </c>
      <c r="D486" s="1" t="s">
        <v>261</v>
      </c>
      <c r="E486" s="4">
        <v>45292</v>
      </c>
      <c r="F486" s="4">
        <v>45657</v>
      </c>
      <c r="H486" s="5">
        <v>255384.45</v>
      </c>
      <c r="I486" s="5">
        <v>15000</v>
      </c>
      <c r="J486" s="5">
        <v>6000</v>
      </c>
      <c r="K486" s="5">
        <v>17510</v>
      </c>
      <c r="L486" s="5">
        <v>0</v>
      </c>
      <c r="M486" s="5">
        <v>38510</v>
      </c>
      <c r="N486" s="5">
        <v>162490</v>
      </c>
      <c r="O486" s="5">
        <v>0</v>
      </c>
      <c r="P486" s="5">
        <v>54384.45</v>
      </c>
      <c r="Q486" s="5">
        <v>216874.45</v>
      </c>
      <c r="R486" s="1" t="s">
        <v>1124</v>
      </c>
      <c r="S486" s="1" t="s">
        <v>261</v>
      </c>
      <c r="T486" s="4">
        <v>45292</v>
      </c>
      <c r="U486" s="4">
        <v>45657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216874.45</v>
      </c>
      <c r="AH486" s="5">
        <v>0</v>
      </c>
      <c r="AI486" s="5">
        <v>0</v>
      </c>
      <c r="AJ486" s="5">
        <v>250.83</v>
      </c>
      <c r="AK486" s="5">
        <v>0</v>
      </c>
      <c r="AL486" s="5">
        <v>0</v>
      </c>
      <c r="AM486" s="5">
        <v>250.83</v>
      </c>
      <c r="AN486" s="5">
        <v>0</v>
      </c>
      <c r="AO486" s="1" t="s">
        <v>1177</v>
      </c>
    </row>
    <row r="487" spans="1:41" x14ac:dyDescent="0.25">
      <c r="A487" s="1">
        <f t="shared" si="9"/>
        <v>471</v>
      </c>
      <c r="B487" s="1" t="s">
        <v>680</v>
      </c>
      <c r="C487" s="1" t="s">
        <v>122</v>
      </c>
      <c r="D487" s="1" t="s">
        <v>261</v>
      </c>
      <c r="E487" s="4">
        <v>45292</v>
      </c>
      <c r="F487" s="4">
        <v>45657</v>
      </c>
      <c r="H487" s="5">
        <v>276502.48</v>
      </c>
      <c r="I487" s="5">
        <v>14712.64</v>
      </c>
      <c r="J487" s="5">
        <v>6000</v>
      </c>
      <c r="K487" s="5">
        <v>18387.5</v>
      </c>
      <c r="L487" s="5">
        <v>0</v>
      </c>
      <c r="M487" s="5">
        <v>39100.14</v>
      </c>
      <c r="N487" s="5">
        <v>158164.21</v>
      </c>
      <c r="O487" s="5">
        <v>0</v>
      </c>
      <c r="P487" s="5">
        <v>79238.13</v>
      </c>
      <c r="Q487" s="5">
        <v>237402.34</v>
      </c>
      <c r="R487" s="1" t="s">
        <v>1125</v>
      </c>
      <c r="S487" s="1" t="s">
        <v>261</v>
      </c>
      <c r="T487" s="4">
        <v>45292</v>
      </c>
      <c r="U487" s="4">
        <v>45657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237402.34</v>
      </c>
      <c r="AH487" s="5">
        <v>0</v>
      </c>
      <c r="AI487" s="5">
        <v>0</v>
      </c>
      <c r="AJ487" s="5">
        <v>1653.78</v>
      </c>
      <c r="AK487" s="5">
        <v>0</v>
      </c>
      <c r="AL487" s="5">
        <v>0</v>
      </c>
      <c r="AM487" s="5">
        <v>1653.78</v>
      </c>
      <c r="AN487" s="5">
        <v>0</v>
      </c>
      <c r="AO487" s="1" t="s">
        <v>1177</v>
      </c>
    </row>
    <row r="488" spans="1:41" x14ac:dyDescent="0.25">
      <c r="A488" s="1">
        <f t="shared" si="3"/>
        <v>472</v>
      </c>
      <c r="B488" s="1" t="s">
        <v>681</v>
      </c>
      <c r="C488" s="1" t="s">
        <v>122</v>
      </c>
      <c r="D488" s="1" t="s">
        <v>261</v>
      </c>
      <c r="E488" s="4">
        <v>45292</v>
      </c>
      <c r="F488" s="4">
        <v>45657</v>
      </c>
      <c r="H488" s="5">
        <v>243790.5</v>
      </c>
      <c r="I488" s="5">
        <v>15000</v>
      </c>
      <c r="J488" s="5">
        <v>6000</v>
      </c>
      <c r="K488" s="5">
        <v>16925</v>
      </c>
      <c r="L488" s="5">
        <v>0</v>
      </c>
      <c r="M488" s="5">
        <v>37925</v>
      </c>
      <c r="N488" s="5">
        <v>163075</v>
      </c>
      <c r="O488" s="5">
        <v>0</v>
      </c>
      <c r="P488" s="5">
        <v>42790.5</v>
      </c>
      <c r="Q488" s="5">
        <v>205865.5</v>
      </c>
      <c r="R488" s="1" t="s">
        <v>1126</v>
      </c>
      <c r="S488" s="1" t="s">
        <v>261</v>
      </c>
      <c r="T488" s="4">
        <v>45292</v>
      </c>
      <c r="U488" s="4">
        <v>45657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205865.5</v>
      </c>
      <c r="AH488" s="5">
        <v>0</v>
      </c>
      <c r="AI488" s="5">
        <v>0</v>
      </c>
      <c r="AJ488" s="5">
        <v>137.94999999999999</v>
      </c>
      <c r="AK488" s="5">
        <v>0</v>
      </c>
      <c r="AL488" s="5">
        <v>0</v>
      </c>
      <c r="AM488" s="5">
        <v>137.94999999999999</v>
      </c>
      <c r="AN488" s="5">
        <v>0</v>
      </c>
      <c r="AO488" s="1" t="s">
        <v>1177</v>
      </c>
    </row>
    <row r="489" spans="1:41" x14ac:dyDescent="0.25">
      <c r="A489" s="1">
        <f t="shared" si="3"/>
        <v>473</v>
      </c>
      <c r="B489" s="1" t="s">
        <v>682</v>
      </c>
      <c r="C489" s="1" t="s">
        <v>122</v>
      </c>
      <c r="D489" s="1" t="s">
        <v>261</v>
      </c>
      <c r="E489" s="4">
        <v>45292</v>
      </c>
      <c r="F489" s="4">
        <v>45657</v>
      </c>
      <c r="H489" s="5">
        <v>205968.24</v>
      </c>
      <c r="I489" s="5">
        <v>15000</v>
      </c>
      <c r="J489" s="5">
        <v>6000</v>
      </c>
      <c r="K489" s="5">
        <v>15192.5</v>
      </c>
      <c r="L489" s="5">
        <v>0</v>
      </c>
      <c r="M489" s="5">
        <v>36192.5</v>
      </c>
      <c r="N489" s="5">
        <v>164807.5</v>
      </c>
      <c r="O489" s="5">
        <v>0</v>
      </c>
      <c r="P489" s="5">
        <v>4968.24</v>
      </c>
      <c r="Q489" s="5">
        <v>169775.74</v>
      </c>
      <c r="R489" s="1" t="s">
        <v>1127</v>
      </c>
      <c r="S489" s="1" t="s">
        <v>261</v>
      </c>
      <c r="T489" s="4">
        <v>45292</v>
      </c>
      <c r="U489" s="4">
        <v>45657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169775.74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1" t="s">
        <v>1177</v>
      </c>
    </row>
    <row r="490" spans="1:41" x14ac:dyDescent="0.25">
      <c r="A490" s="1">
        <f t="shared" si="3"/>
        <v>474</v>
      </c>
      <c r="B490" s="1" t="s">
        <v>683</v>
      </c>
      <c r="C490" s="1" t="s">
        <v>122</v>
      </c>
      <c r="D490" s="1" t="s">
        <v>261</v>
      </c>
      <c r="E490" s="4">
        <v>45292</v>
      </c>
      <c r="F490" s="4">
        <v>45657</v>
      </c>
      <c r="H490" s="5">
        <v>212455.74</v>
      </c>
      <c r="I490" s="5">
        <v>14942.53</v>
      </c>
      <c r="J490" s="5">
        <v>6000</v>
      </c>
      <c r="K490" s="5">
        <v>15485</v>
      </c>
      <c r="L490" s="5">
        <v>0</v>
      </c>
      <c r="M490" s="5">
        <v>36427.53</v>
      </c>
      <c r="N490" s="5">
        <v>163825.34</v>
      </c>
      <c r="O490" s="5">
        <v>0</v>
      </c>
      <c r="P490" s="5">
        <v>12202.87</v>
      </c>
      <c r="Q490" s="5">
        <v>176028.21</v>
      </c>
      <c r="R490" s="1" t="s">
        <v>1128</v>
      </c>
      <c r="S490" s="1" t="s">
        <v>261</v>
      </c>
      <c r="T490" s="4">
        <v>45292</v>
      </c>
      <c r="U490" s="4">
        <v>45657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176028.21</v>
      </c>
      <c r="AH490" s="5">
        <v>0</v>
      </c>
      <c r="AI490" s="5">
        <v>0</v>
      </c>
      <c r="AJ490" s="5">
        <v>259.99</v>
      </c>
      <c r="AK490" s="5">
        <v>0</v>
      </c>
      <c r="AL490" s="5">
        <v>0</v>
      </c>
      <c r="AM490" s="5">
        <v>259.99</v>
      </c>
      <c r="AN490" s="5">
        <v>0</v>
      </c>
      <c r="AO490" s="1" t="s">
        <v>1177</v>
      </c>
    </row>
    <row r="491" spans="1:41" x14ac:dyDescent="0.25">
      <c r="A491" s="1">
        <f t="shared" si="3"/>
        <v>475</v>
      </c>
      <c r="B491" s="1" t="s">
        <v>684</v>
      </c>
      <c r="C491" s="1" t="s">
        <v>122</v>
      </c>
      <c r="D491" s="1" t="s">
        <v>261</v>
      </c>
      <c r="E491" s="4">
        <v>45292</v>
      </c>
      <c r="F491" s="4">
        <v>45657</v>
      </c>
      <c r="H491" s="5">
        <v>247837.54</v>
      </c>
      <c r="I491" s="5">
        <v>15000</v>
      </c>
      <c r="J491" s="5">
        <v>6000</v>
      </c>
      <c r="K491" s="5">
        <v>17105</v>
      </c>
      <c r="L491" s="5">
        <v>0</v>
      </c>
      <c r="M491" s="5">
        <v>38105</v>
      </c>
      <c r="N491" s="5">
        <v>162895</v>
      </c>
      <c r="O491" s="5">
        <v>0</v>
      </c>
      <c r="P491" s="5">
        <v>46837.54</v>
      </c>
      <c r="Q491" s="5">
        <v>209732.54</v>
      </c>
      <c r="R491" s="1" t="s">
        <v>1129</v>
      </c>
      <c r="S491" s="1" t="s">
        <v>261</v>
      </c>
      <c r="T491" s="4">
        <v>45292</v>
      </c>
      <c r="U491" s="4">
        <v>45657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209732.54</v>
      </c>
      <c r="AH491" s="5">
        <v>0</v>
      </c>
      <c r="AI491" s="5">
        <v>0</v>
      </c>
      <c r="AJ491" s="5">
        <v>149.29</v>
      </c>
      <c r="AK491" s="5">
        <v>0</v>
      </c>
      <c r="AL491" s="5">
        <v>0</v>
      </c>
      <c r="AM491" s="5">
        <v>149.29</v>
      </c>
      <c r="AN491" s="5">
        <v>0</v>
      </c>
      <c r="AO491" s="1" t="s">
        <v>1177</v>
      </c>
    </row>
    <row r="492" spans="1:41" x14ac:dyDescent="0.25">
      <c r="A492" s="1">
        <f t="shared" si="3"/>
        <v>476</v>
      </c>
      <c r="B492" s="1" t="s">
        <v>685</v>
      </c>
      <c r="C492" s="1" t="s">
        <v>122</v>
      </c>
      <c r="D492" s="1" t="s">
        <v>261</v>
      </c>
      <c r="E492" s="4">
        <v>45292</v>
      </c>
      <c r="F492" s="4">
        <v>45657</v>
      </c>
      <c r="H492" s="5">
        <v>366754.77</v>
      </c>
      <c r="I492" s="5">
        <v>17000</v>
      </c>
      <c r="J492" s="5">
        <v>6000</v>
      </c>
      <c r="K492" s="5">
        <v>22182.5</v>
      </c>
      <c r="L492" s="5">
        <v>0</v>
      </c>
      <c r="M492" s="5">
        <v>45182.5</v>
      </c>
      <c r="N492" s="5">
        <v>181817.5</v>
      </c>
      <c r="O492" s="5">
        <v>0</v>
      </c>
      <c r="P492" s="5">
        <v>139754.76999999999</v>
      </c>
      <c r="Q492" s="5">
        <v>321572.27</v>
      </c>
      <c r="R492" s="1" t="s">
        <v>1130</v>
      </c>
      <c r="S492" s="1" t="s">
        <v>261</v>
      </c>
      <c r="T492" s="4">
        <v>45292</v>
      </c>
      <c r="U492" s="4">
        <v>45657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321572.27</v>
      </c>
      <c r="AH492" s="5">
        <v>10735.84</v>
      </c>
      <c r="AI492" s="5">
        <v>0</v>
      </c>
      <c r="AJ492" s="5">
        <v>11585.38</v>
      </c>
      <c r="AK492" s="5">
        <v>0</v>
      </c>
      <c r="AL492" s="5">
        <v>0</v>
      </c>
      <c r="AM492" s="5">
        <v>849.54</v>
      </c>
      <c r="AN492" s="5">
        <v>10735.84</v>
      </c>
      <c r="AO492" s="1" t="s">
        <v>1177</v>
      </c>
    </row>
    <row r="493" spans="1:41" x14ac:dyDescent="0.25">
      <c r="A493" s="1">
        <f t="shared" si="3"/>
        <v>477</v>
      </c>
      <c r="B493" s="1" t="s">
        <v>686</v>
      </c>
      <c r="C493" s="1" t="s">
        <v>122</v>
      </c>
      <c r="D493" s="1" t="s">
        <v>261</v>
      </c>
      <c r="E493" s="4">
        <v>45292</v>
      </c>
      <c r="F493" s="4">
        <v>45657</v>
      </c>
      <c r="H493" s="5">
        <v>228821.67</v>
      </c>
      <c r="I493" s="5">
        <v>15000</v>
      </c>
      <c r="J493" s="5">
        <v>6000</v>
      </c>
      <c r="K493" s="5">
        <v>16115</v>
      </c>
      <c r="L493" s="5">
        <v>0</v>
      </c>
      <c r="M493" s="5">
        <v>37115</v>
      </c>
      <c r="N493" s="5">
        <v>163885</v>
      </c>
      <c r="O493" s="5">
        <v>0</v>
      </c>
      <c r="P493" s="5">
        <v>27821.67</v>
      </c>
      <c r="Q493" s="5">
        <v>191706.67</v>
      </c>
      <c r="R493" s="1" t="s">
        <v>1131</v>
      </c>
      <c r="S493" s="1" t="s">
        <v>261</v>
      </c>
      <c r="T493" s="4">
        <v>45292</v>
      </c>
      <c r="U493" s="4">
        <v>45657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191706.67</v>
      </c>
      <c r="AH493" s="5">
        <v>0</v>
      </c>
      <c r="AI493" s="5">
        <v>0</v>
      </c>
      <c r="AJ493" s="5">
        <v>1441.77</v>
      </c>
      <c r="AK493" s="5">
        <v>0</v>
      </c>
      <c r="AL493" s="5">
        <v>0</v>
      </c>
      <c r="AM493" s="5">
        <v>1441.77</v>
      </c>
      <c r="AN493" s="5">
        <v>0</v>
      </c>
      <c r="AO493" s="1" t="s">
        <v>1177</v>
      </c>
    </row>
    <row r="494" spans="1:41" x14ac:dyDescent="0.25">
      <c r="A494" s="1">
        <f t="shared" si="3"/>
        <v>478</v>
      </c>
      <c r="B494" s="1" t="s">
        <v>687</v>
      </c>
      <c r="C494" s="1" t="s">
        <v>122</v>
      </c>
      <c r="D494" s="1" t="s">
        <v>261</v>
      </c>
      <c r="E494" s="4">
        <v>45292</v>
      </c>
      <c r="F494" s="4">
        <v>45657</v>
      </c>
      <c r="H494" s="5">
        <v>258335.45</v>
      </c>
      <c r="I494" s="5">
        <v>15000</v>
      </c>
      <c r="J494" s="5">
        <v>6000</v>
      </c>
      <c r="K494" s="5">
        <v>17555</v>
      </c>
      <c r="L494" s="5">
        <v>0</v>
      </c>
      <c r="M494" s="5">
        <v>38555</v>
      </c>
      <c r="N494" s="5">
        <v>162445</v>
      </c>
      <c r="O494" s="5">
        <v>0</v>
      </c>
      <c r="P494" s="5">
        <v>57335.45</v>
      </c>
      <c r="Q494" s="5">
        <v>219780.45</v>
      </c>
      <c r="R494" s="1" t="s">
        <v>1132</v>
      </c>
      <c r="S494" s="1" t="s">
        <v>261</v>
      </c>
      <c r="T494" s="4">
        <v>45292</v>
      </c>
      <c r="U494" s="4">
        <v>45657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219780.45</v>
      </c>
      <c r="AH494" s="5">
        <v>0</v>
      </c>
      <c r="AI494" s="5">
        <v>0</v>
      </c>
      <c r="AJ494" s="5">
        <v>1466.61</v>
      </c>
      <c r="AK494" s="5">
        <v>0</v>
      </c>
      <c r="AL494" s="5">
        <v>0</v>
      </c>
      <c r="AM494" s="5">
        <v>1466.61</v>
      </c>
      <c r="AN494" s="5">
        <v>0</v>
      </c>
      <c r="AO494" s="1" t="s">
        <v>1177</v>
      </c>
    </row>
    <row r="495" spans="1:41" x14ac:dyDescent="0.25">
      <c r="A495" s="1">
        <f t="shared" si="3"/>
        <v>479</v>
      </c>
      <c r="B495" s="1" t="s">
        <v>688</v>
      </c>
      <c r="C495" s="1" t="s">
        <v>122</v>
      </c>
      <c r="D495" s="1" t="s">
        <v>261</v>
      </c>
      <c r="E495" s="4">
        <v>45292</v>
      </c>
      <c r="F495" s="4">
        <v>45657</v>
      </c>
      <c r="H495" s="5">
        <v>262586.37</v>
      </c>
      <c r="I495" s="5">
        <v>14827.59</v>
      </c>
      <c r="J495" s="5">
        <v>6000</v>
      </c>
      <c r="K495" s="5">
        <v>17757.5</v>
      </c>
      <c r="L495" s="5">
        <v>0</v>
      </c>
      <c r="M495" s="5">
        <v>38585.089999999997</v>
      </c>
      <c r="N495" s="5">
        <v>160173.51999999999</v>
      </c>
      <c r="O495" s="5">
        <v>0</v>
      </c>
      <c r="P495" s="5">
        <v>63827.76</v>
      </c>
      <c r="Q495" s="5">
        <v>224001.28</v>
      </c>
      <c r="R495" s="1" t="s">
        <v>1133</v>
      </c>
      <c r="S495" s="1" t="s">
        <v>261</v>
      </c>
      <c r="T495" s="4">
        <v>45292</v>
      </c>
      <c r="U495" s="4">
        <v>45657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224001.28</v>
      </c>
      <c r="AH495" s="5">
        <v>0</v>
      </c>
      <c r="AI495" s="5">
        <v>0</v>
      </c>
      <c r="AJ495" s="5">
        <v>1485.65</v>
      </c>
      <c r="AK495" s="5">
        <v>0</v>
      </c>
      <c r="AL495" s="5">
        <v>0</v>
      </c>
      <c r="AM495" s="5">
        <v>1485.65</v>
      </c>
      <c r="AN495" s="5">
        <v>0</v>
      </c>
      <c r="AO495" s="1" t="s">
        <v>1177</v>
      </c>
    </row>
    <row r="496" spans="1:41" x14ac:dyDescent="0.25">
      <c r="A496" s="1">
        <f t="shared" si="3"/>
        <v>480</v>
      </c>
      <c r="B496" s="1" t="s">
        <v>689</v>
      </c>
      <c r="C496" s="1" t="s">
        <v>122</v>
      </c>
      <c r="D496" s="1" t="s">
        <v>261</v>
      </c>
      <c r="E496" s="4">
        <v>45292</v>
      </c>
      <c r="F496" s="4">
        <v>45657</v>
      </c>
      <c r="H496" s="5">
        <v>363569.57</v>
      </c>
      <c r="I496" s="5">
        <v>17000</v>
      </c>
      <c r="J496" s="5">
        <v>6000</v>
      </c>
      <c r="K496" s="5">
        <v>21957.5</v>
      </c>
      <c r="L496" s="5">
        <v>0</v>
      </c>
      <c r="M496" s="5">
        <v>44957.5</v>
      </c>
      <c r="N496" s="5">
        <v>182042.5</v>
      </c>
      <c r="O496" s="5">
        <v>0</v>
      </c>
      <c r="P496" s="5">
        <v>136569.57</v>
      </c>
      <c r="Q496" s="5">
        <v>318612.07</v>
      </c>
      <c r="R496" s="1" t="s">
        <v>1134</v>
      </c>
      <c r="S496" s="1" t="s">
        <v>261</v>
      </c>
      <c r="T496" s="4">
        <v>45292</v>
      </c>
      <c r="U496" s="4">
        <v>45657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318612.07</v>
      </c>
      <c r="AH496" s="5">
        <v>10291.81</v>
      </c>
      <c r="AI496" s="5">
        <v>0</v>
      </c>
      <c r="AJ496" s="5">
        <v>11777.29</v>
      </c>
      <c r="AK496" s="5">
        <v>0</v>
      </c>
      <c r="AL496" s="5">
        <v>0</v>
      </c>
      <c r="AM496" s="5">
        <v>1485.48</v>
      </c>
      <c r="AN496" s="5">
        <v>10291.81</v>
      </c>
      <c r="AO496" s="1" t="s">
        <v>1177</v>
      </c>
    </row>
    <row r="497" spans="1:41" x14ac:dyDescent="0.25">
      <c r="A497" s="1">
        <f t="shared" si="3"/>
        <v>481</v>
      </c>
      <c r="B497" s="1" t="s">
        <v>690</v>
      </c>
      <c r="C497" s="1" t="s">
        <v>122</v>
      </c>
      <c r="D497" s="1" t="s">
        <v>261</v>
      </c>
      <c r="E497" s="4">
        <v>45292</v>
      </c>
      <c r="F497" s="4">
        <v>45657</v>
      </c>
      <c r="H497" s="5">
        <v>207442.23</v>
      </c>
      <c r="I497" s="5">
        <v>15000</v>
      </c>
      <c r="J497" s="5">
        <v>6000</v>
      </c>
      <c r="K497" s="5">
        <v>15260</v>
      </c>
      <c r="L497" s="5">
        <v>0</v>
      </c>
      <c r="M497" s="5">
        <v>36260</v>
      </c>
      <c r="N497" s="5">
        <v>164740</v>
      </c>
      <c r="O497" s="5">
        <v>0</v>
      </c>
      <c r="P497" s="5">
        <v>6442.23</v>
      </c>
      <c r="Q497" s="5">
        <v>171182.23</v>
      </c>
      <c r="R497" s="1" t="s">
        <v>1135</v>
      </c>
      <c r="S497" s="1" t="s">
        <v>261</v>
      </c>
      <c r="T497" s="4">
        <v>45292</v>
      </c>
      <c r="U497" s="4">
        <v>45657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171182.23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1" t="s">
        <v>1177</v>
      </c>
    </row>
    <row r="498" spans="1:41" x14ac:dyDescent="0.25">
      <c r="A498" s="1">
        <f t="shared" si="3"/>
        <v>482</v>
      </c>
      <c r="B498" s="1" t="s">
        <v>691</v>
      </c>
      <c r="C498" s="1" t="s">
        <v>122</v>
      </c>
      <c r="D498" s="1" t="s">
        <v>261</v>
      </c>
      <c r="E498" s="4">
        <v>45292</v>
      </c>
      <c r="F498" s="4">
        <v>45657</v>
      </c>
      <c r="H498" s="5">
        <v>251217.2</v>
      </c>
      <c r="I498" s="5">
        <v>15000</v>
      </c>
      <c r="J498" s="5">
        <v>6000</v>
      </c>
      <c r="K498" s="5">
        <v>17217.5</v>
      </c>
      <c r="L498" s="5">
        <v>0</v>
      </c>
      <c r="M498" s="5">
        <v>38217.5</v>
      </c>
      <c r="N498" s="5">
        <v>162782.5</v>
      </c>
      <c r="O498" s="5">
        <v>0</v>
      </c>
      <c r="P498" s="5">
        <v>50217.2</v>
      </c>
      <c r="Q498" s="5">
        <v>212999.7</v>
      </c>
      <c r="R498" s="1" t="s">
        <v>1136</v>
      </c>
      <c r="S498" s="1" t="s">
        <v>261</v>
      </c>
      <c r="T498" s="4">
        <v>45292</v>
      </c>
      <c r="U498" s="4">
        <v>45657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212999.7</v>
      </c>
      <c r="AH498" s="5">
        <v>0</v>
      </c>
      <c r="AI498" s="5">
        <v>0</v>
      </c>
      <c r="AJ498" s="5">
        <v>247.67</v>
      </c>
      <c r="AK498" s="5">
        <v>0</v>
      </c>
      <c r="AL498" s="5">
        <v>0</v>
      </c>
      <c r="AM498" s="5">
        <v>247.67</v>
      </c>
      <c r="AN498" s="5">
        <v>0</v>
      </c>
      <c r="AO498" s="1" t="s">
        <v>1177</v>
      </c>
    </row>
    <row r="499" spans="1:41" x14ac:dyDescent="0.25">
      <c r="A499" s="1">
        <f t="shared" si="3"/>
        <v>483</v>
      </c>
      <c r="B499" s="1" t="s">
        <v>692</v>
      </c>
      <c r="C499" s="1" t="s">
        <v>122</v>
      </c>
      <c r="D499" s="1" t="s">
        <v>261</v>
      </c>
      <c r="E499" s="4">
        <v>45292</v>
      </c>
      <c r="F499" s="4">
        <v>45657</v>
      </c>
      <c r="H499" s="5">
        <v>268450.28999999998</v>
      </c>
      <c r="I499" s="5">
        <v>15000</v>
      </c>
      <c r="J499" s="5">
        <v>6000</v>
      </c>
      <c r="K499" s="5">
        <v>17982.5</v>
      </c>
      <c r="L499" s="5">
        <v>0</v>
      </c>
      <c r="M499" s="5">
        <v>38982.5</v>
      </c>
      <c r="N499" s="5">
        <v>162017.5</v>
      </c>
      <c r="O499" s="5">
        <v>0</v>
      </c>
      <c r="P499" s="5">
        <v>67450.289999999994</v>
      </c>
      <c r="Q499" s="5">
        <v>229467.79</v>
      </c>
      <c r="R499" s="1" t="s">
        <v>1137</v>
      </c>
      <c r="S499" s="1" t="s">
        <v>261</v>
      </c>
      <c r="T499" s="4">
        <v>45292</v>
      </c>
      <c r="U499" s="4">
        <v>45657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229467.79</v>
      </c>
      <c r="AH499" s="5">
        <v>0</v>
      </c>
      <c r="AI499" s="5">
        <v>0</v>
      </c>
      <c r="AJ499" s="5">
        <v>391.62</v>
      </c>
      <c r="AK499" s="5">
        <v>0</v>
      </c>
      <c r="AL499" s="5">
        <v>0</v>
      </c>
      <c r="AM499" s="5">
        <v>391.62</v>
      </c>
      <c r="AN499" s="5">
        <v>0</v>
      </c>
      <c r="AO499" s="1" t="s">
        <v>1177</v>
      </c>
    </row>
    <row r="500" spans="1:41" x14ac:dyDescent="0.25">
      <c r="A500" s="1">
        <f t="shared" si="3"/>
        <v>484</v>
      </c>
      <c r="B500" s="1" t="s">
        <v>693</v>
      </c>
      <c r="C500" s="1" t="s">
        <v>122</v>
      </c>
      <c r="D500" s="1" t="s">
        <v>261</v>
      </c>
      <c r="E500" s="4">
        <v>45292</v>
      </c>
      <c r="F500" s="4">
        <v>45657</v>
      </c>
      <c r="H500" s="5">
        <v>328338.99</v>
      </c>
      <c r="I500" s="5">
        <v>16869.73</v>
      </c>
      <c r="J500" s="5">
        <v>6000</v>
      </c>
      <c r="K500" s="5">
        <v>20900</v>
      </c>
      <c r="L500" s="5">
        <v>7000</v>
      </c>
      <c r="M500" s="5">
        <v>50769.73</v>
      </c>
      <c r="N500" s="5">
        <v>181536.78</v>
      </c>
      <c r="O500" s="5">
        <v>0</v>
      </c>
      <c r="P500" s="5">
        <v>96032.48</v>
      </c>
      <c r="Q500" s="5">
        <v>277569.26</v>
      </c>
      <c r="R500" s="1" t="s">
        <v>1138</v>
      </c>
      <c r="S500" s="1" t="s">
        <v>261</v>
      </c>
      <c r="T500" s="4">
        <v>45292</v>
      </c>
      <c r="U500" s="4">
        <v>45657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277569.26</v>
      </c>
      <c r="AH500" s="5">
        <v>4135.3900000000003</v>
      </c>
      <c r="AI500" s="5">
        <v>0</v>
      </c>
      <c r="AJ500" s="5">
        <v>6044.29</v>
      </c>
      <c r="AK500" s="5">
        <v>0</v>
      </c>
      <c r="AL500" s="5">
        <v>0</v>
      </c>
      <c r="AM500" s="5">
        <v>1908.9</v>
      </c>
      <c r="AN500" s="5">
        <v>4135.3900000000003</v>
      </c>
      <c r="AO500" s="1" t="s">
        <v>1177</v>
      </c>
    </row>
    <row r="501" spans="1:41" x14ac:dyDescent="0.25">
      <c r="A501" s="1">
        <f t="shared" si="3"/>
        <v>485</v>
      </c>
      <c r="B501" s="1" t="s">
        <v>694</v>
      </c>
      <c r="C501" s="1" t="s">
        <v>122</v>
      </c>
      <c r="D501" s="1" t="s">
        <v>261</v>
      </c>
      <c r="E501" s="4">
        <v>45292</v>
      </c>
      <c r="F501" s="4">
        <v>45657</v>
      </c>
      <c r="H501" s="5">
        <v>250888.89</v>
      </c>
      <c r="I501" s="5">
        <v>18000</v>
      </c>
      <c r="J501" s="5">
        <v>6000</v>
      </c>
      <c r="K501" s="5">
        <v>18005</v>
      </c>
      <c r="L501" s="5">
        <v>0</v>
      </c>
      <c r="M501" s="5">
        <v>42005</v>
      </c>
      <c r="N501" s="5">
        <v>197995</v>
      </c>
      <c r="O501" s="5">
        <v>0</v>
      </c>
      <c r="P501" s="5">
        <v>10888.89</v>
      </c>
      <c r="Q501" s="5">
        <v>208883.89</v>
      </c>
      <c r="R501" s="1" t="s">
        <v>1139</v>
      </c>
      <c r="S501" s="1" t="s">
        <v>261</v>
      </c>
      <c r="T501" s="4">
        <v>45292</v>
      </c>
      <c r="U501" s="4">
        <v>45657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208883.89</v>
      </c>
      <c r="AH501" s="5">
        <v>0</v>
      </c>
      <c r="AI501" s="5">
        <v>0</v>
      </c>
      <c r="AJ501" s="5">
        <v>163.94</v>
      </c>
      <c r="AK501" s="5">
        <v>0</v>
      </c>
      <c r="AL501" s="5">
        <v>0</v>
      </c>
      <c r="AM501" s="5">
        <v>163.94</v>
      </c>
      <c r="AN501" s="5">
        <v>0</v>
      </c>
      <c r="AO501" s="1" t="s">
        <v>1177</v>
      </c>
    </row>
    <row r="502" spans="1:41" x14ac:dyDescent="0.25">
      <c r="A502" s="1">
        <f t="shared" si="3"/>
        <v>486</v>
      </c>
      <c r="B502" s="1" t="s">
        <v>695</v>
      </c>
      <c r="C502" s="1" t="s">
        <v>122</v>
      </c>
      <c r="D502" s="1" t="s">
        <v>261</v>
      </c>
      <c r="E502" s="4">
        <v>45292</v>
      </c>
      <c r="F502" s="4">
        <v>45657</v>
      </c>
      <c r="H502" s="5">
        <v>302203.23</v>
      </c>
      <c r="I502" s="5">
        <v>14942.53</v>
      </c>
      <c r="J502" s="5">
        <v>6000</v>
      </c>
      <c r="K502" s="5">
        <v>19152.5</v>
      </c>
      <c r="L502" s="5">
        <v>0</v>
      </c>
      <c r="M502" s="5">
        <v>40095.03</v>
      </c>
      <c r="N502" s="5">
        <v>160157.84</v>
      </c>
      <c r="O502" s="5">
        <v>0</v>
      </c>
      <c r="P502" s="5">
        <v>101950.36</v>
      </c>
      <c r="Q502" s="5">
        <v>262108.2</v>
      </c>
      <c r="R502" s="1" t="s">
        <v>1140</v>
      </c>
      <c r="S502" s="1" t="s">
        <v>261</v>
      </c>
      <c r="T502" s="4">
        <v>45292</v>
      </c>
      <c r="U502" s="4">
        <v>45657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262108.2</v>
      </c>
      <c r="AH502" s="5">
        <v>1816.23</v>
      </c>
      <c r="AI502" s="5">
        <v>0</v>
      </c>
      <c r="AJ502" s="5">
        <v>4859.05</v>
      </c>
      <c r="AK502" s="5">
        <v>0</v>
      </c>
      <c r="AL502" s="5">
        <v>0</v>
      </c>
      <c r="AM502" s="5">
        <v>3042.82</v>
      </c>
      <c r="AN502" s="5">
        <v>1816.23</v>
      </c>
      <c r="AO502" s="1" t="s">
        <v>1177</v>
      </c>
    </row>
    <row r="503" spans="1:41" x14ac:dyDescent="0.25">
      <c r="A503" s="1">
        <f t="shared" si="3"/>
        <v>487</v>
      </c>
      <c r="B503" s="1" t="s">
        <v>696</v>
      </c>
      <c r="C503" s="1" t="s">
        <v>122</v>
      </c>
      <c r="D503" s="1" t="s">
        <v>261</v>
      </c>
      <c r="E503" s="4">
        <v>45292</v>
      </c>
      <c r="F503" s="4">
        <v>45657</v>
      </c>
      <c r="H503" s="5">
        <v>209327.75</v>
      </c>
      <c r="I503" s="5">
        <v>15000</v>
      </c>
      <c r="J503" s="5">
        <v>6000</v>
      </c>
      <c r="K503" s="5">
        <v>15350</v>
      </c>
      <c r="L503" s="5">
        <v>0</v>
      </c>
      <c r="M503" s="5">
        <v>36350</v>
      </c>
      <c r="N503" s="5">
        <v>164650</v>
      </c>
      <c r="O503" s="5">
        <v>0</v>
      </c>
      <c r="P503" s="5">
        <v>8327.75</v>
      </c>
      <c r="Q503" s="5">
        <v>172977.75</v>
      </c>
      <c r="R503" s="1" t="s">
        <v>1141</v>
      </c>
      <c r="S503" s="1" t="s">
        <v>261</v>
      </c>
      <c r="T503" s="4">
        <v>45292</v>
      </c>
      <c r="U503" s="4">
        <v>45657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172977.75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1" t="s">
        <v>1177</v>
      </c>
    </row>
    <row r="504" spans="1:41" x14ac:dyDescent="0.25">
      <c r="A504" s="1">
        <f t="shared" si="3"/>
        <v>488</v>
      </c>
      <c r="B504" s="1" t="s">
        <v>697</v>
      </c>
      <c r="C504" s="1" t="s">
        <v>122</v>
      </c>
      <c r="D504" s="1" t="s">
        <v>261</v>
      </c>
      <c r="E504" s="4">
        <v>45292</v>
      </c>
      <c r="F504" s="4">
        <v>45657</v>
      </c>
      <c r="H504" s="5">
        <v>228690.74</v>
      </c>
      <c r="I504" s="5">
        <v>15877.4</v>
      </c>
      <c r="J504" s="5">
        <v>6000</v>
      </c>
      <c r="K504" s="5">
        <v>16482.5</v>
      </c>
      <c r="L504" s="5">
        <v>0</v>
      </c>
      <c r="M504" s="5">
        <v>38359.9</v>
      </c>
      <c r="N504" s="5">
        <v>174046.24</v>
      </c>
      <c r="O504" s="5">
        <v>0</v>
      </c>
      <c r="P504" s="5">
        <v>16284.6</v>
      </c>
      <c r="Q504" s="5">
        <v>190330.84</v>
      </c>
      <c r="R504" s="1" t="s">
        <v>1142</v>
      </c>
      <c r="S504" s="1" t="s">
        <v>261</v>
      </c>
      <c r="T504" s="4">
        <v>45292</v>
      </c>
      <c r="U504" s="4">
        <v>45657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190330.84</v>
      </c>
      <c r="AH504" s="5">
        <v>0</v>
      </c>
      <c r="AI504" s="5">
        <v>0</v>
      </c>
      <c r="AJ504" s="5">
        <v>399.61</v>
      </c>
      <c r="AK504" s="5">
        <v>0</v>
      </c>
      <c r="AL504" s="5">
        <v>0</v>
      </c>
      <c r="AM504" s="5">
        <v>399.61</v>
      </c>
      <c r="AN504" s="5">
        <v>0</v>
      </c>
      <c r="AO504" s="1" t="s">
        <v>1177</v>
      </c>
    </row>
    <row r="505" spans="1:41" x14ac:dyDescent="0.25">
      <c r="A505" s="1">
        <f t="shared" si="3"/>
        <v>489</v>
      </c>
      <c r="B505" s="1" t="s">
        <v>698</v>
      </c>
      <c r="C505" s="1" t="s">
        <v>122</v>
      </c>
      <c r="D505" s="1" t="s">
        <v>261</v>
      </c>
      <c r="E505" s="4">
        <v>45432</v>
      </c>
      <c r="F505" s="4">
        <v>45657</v>
      </c>
      <c r="H505" s="5">
        <v>233303.23</v>
      </c>
      <c r="I505" s="5">
        <v>10046.94</v>
      </c>
      <c r="J505" s="5">
        <v>3500</v>
      </c>
      <c r="K505" s="5">
        <v>13322.5</v>
      </c>
      <c r="L505" s="5">
        <v>0</v>
      </c>
      <c r="M505" s="5">
        <v>26869.439999999999</v>
      </c>
      <c r="N505" s="5">
        <v>107240.72</v>
      </c>
      <c r="O505" s="5">
        <v>0</v>
      </c>
      <c r="P505" s="5">
        <v>99193.07</v>
      </c>
      <c r="Q505" s="5">
        <v>206433.79</v>
      </c>
      <c r="R505" s="1" t="s">
        <v>1143</v>
      </c>
      <c r="S505" s="1" t="s">
        <v>261</v>
      </c>
      <c r="T505" s="4">
        <v>45432</v>
      </c>
      <c r="U505" s="4">
        <v>45657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206433.79</v>
      </c>
      <c r="AH505" s="5">
        <v>0</v>
      </c>
      <c r="AI505" s="5">
        <v>0</v>
      </c>
      <c r="AJ505" s="5">
        <v>9750.2199999999993</v>
      </c>
      <c r="AK505" s="5">
        <v>0</v>
      </c>
      <c r="AL505" s="5">
        <v>0</v>
      </c>
      <c r="AM505" s="5">
        <v>9750.2199999999993</v>
      </c>
      <c r="AN505" s="5">
        <v>0</v>
      </c>
      <c r="AO505" s="1" t="s">
        <v>126</v>
      </c>
    </row>
    <row r="506" spans="1:41" x14ac:dyDescent="0.25">
      <c r="A506" s="1">
        <f t="shared" si="3"/>
        <v>490</v>
      </c>
      <c r="B506" s="1" t="s">
        <v>699</v>
      </c>
      <c r="C506" s="1" t="s">
        <v>122</v>
      </c>
      <c r="D506" s="1" t="s">
        <v>261</v>
      </c>
      <c r="E506" s="4">
        <v>45446</v>
      </c>
      <c r="F506" s="4">
        <v>45657</v>
      </c>
      <c r="H506" s="5">
        <v>130621.54</v>
      </c>
      <c r="I506" s="5">
        <v>8973.18</v>
      </c>
      <c r="J506" s="5">
        <v>3500</v>
      </c>
      <c r="K506" s="5">
        <v>9672.5</v>
      </c>
      <c r="L506" s="5">
        <v>0</v>
      </c>
      <c r="M506" s="5">
        <v>22145.68</v>
      </c>
      <c r="N506" s="5">
        <v>98005.66</v>
      </c>
      <c r="O506" s="5">
        <v>0</v>
      </c>
      <c r="P506" s="5">
        <v>10470.200000000001</v>
      </c>
      <c r="Q506" s="5">
        <v>108475.86</v>
      </c>
      <c r="R506" s="1" t="s">
        <v>1144</v>
      </c>
      <c r="S506" s="1" t="s">
        <v>261</v>
      </c>
      <c r="T506" s="4">
        <v>45446</v>
      </c>
      <c r="U506" s="4">
        <v>45657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108475.86</v>
      </c>
      <c r="AH506" s="5">
        <v>0</v>
      </c>
      <c r="AI506" s="5">
        <v>0</v>
      </c>
      <c r="AJ506" s="5">
        <v>477.89</v>
      </c>
      <c r="AK506" s="5">
        <v>0</v>
      </c>
      <c r="AL506" s="5">
        <v>0</v>
      </c>
      <c r="AM506" s="5">
        <v>477.89</v>
      </c>
      <c r="AN506" s="5">
        <v>0</v>
      </c>
      <c r="AO506" s="1" t="s">
        <v>126</v>
      </c>
    </row>
    <row r="507" spans="1:41" x14ac:dyDescent="0.25">
      <c r="A507" s="1">
        <f t="shared" si="3"/>
        <v>491</v>
      </c>
      <c r="B507" s="1" t="s">
        <v>700</v>
      </c>
      <c r="C507" s="1" t="s">
        <v>122</v>
      </c>
      <c r="D507" s="1" t="s">
        <v>261</v>
      </c>
      <c r="E507" s="4">
        <v>45453</v>
      </c>
      <c r="F507" s="4">
        <v>45657</v>
      </c>
      <c r="H507" s="5">
        <v>171380.54</v>
      </c>
      <c r="I507" s="5">
        <v>11842.91</v>
      </c>
      <c r="J507" s="5">
        <v>9750</v>
      </c>
      <c r="K507" s="5">
        <v>11680</v>
      </c>
      <c r="L507" s="5">
        <v>0</v>
      </c>
      <c r="M507" s="5">
        <v>33272.910000000003</v>
      </c>
      <c r="N507" s="5">
        <v>130434.94</v>
      </c>
      <c r="O507" s="5">
        <v>0</v>
      </c>
      <c r="P507" s="5">
        <v>7672.69</v>
      </c>
      <c r="Q507" s="5">
        <v>138107.63</v>
      </c>
      <c r="R507" s="1" t="s">
        <v>1145</v>
      </c>
      <c r="S507" s="1" t="s">
        <v>261</v>
      </c>
      <c r="T507" s="4">
        <v>45453</v>
      </c>
      <c r="U507" s="4">
        <v>45657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138107.63</v>
      </c>
      <c r="AH507" s="5">
        <v>0</v>
      </c>
      <c r="AI507" s="5">
        <v>0</v>
      </c>
      <c r="AJ507" s="5">
        <v>886.75</v>
      </c>
      <c r="AK507" s="5">
        <v>0</v>
      </c>
      <c r="AL507" s="5">
        <v>0</v>
      </c>
      <c r="AM507" s="5">
        <v>886.75</v>
      </c>
      <c r="AN507" s="5">
        <v>0</v>
      </c>
      <c r="AO507" s="1" t="s">
        <v>126</v>
      </c>
    </row>
    <row r="508" spans="1:41" x14ac:dyDescent="0.25">
      <c r="A508" s="1">
        <f t="shared" si="3"/>
        <v>492</v>
      </c>
      <c r="B508" s="1" t="s">
        <v>701</v>
      </c>
      <c r="C508" s="1" t="s">
        <v>122</v>
      </c>
      <c r="D508" s="1" t="s">
        <v>261</v>
      </c>
      <c r="E508" s="4">
        <v>45516</v>
      </c>
      <c r="F508" s="4">
        <v>45657</v>
      </c>
      <c r="H508" s="5">
        <v>97882.18</v>
      </c>
      <c r="I508" s="5">
        <v>7356.32</v>
      </c>
      <c r="J508" s="5">
        <v>2250</v>
      </c>
      <c r="K508" s="5">
        <v>7100</v>
      </c>
      <c r="L508" s="5">
        <v>0</v>
      </c>
      <c r="M508" s="5">
        <v>16706.32</v>
      </c>
      <c r="N508" s="5">
        <v>81175.86</v>
      </c>
      <c r="O508" s="5">
        <v>0</v>
      </c>
      <c r="P508" s="5">
        <v>0</v>
      </c>
      <c r="Q508" s="5">
        <v>81175.86</v>
      </c>
      <c r="R508" s="1" t="s">
        <v>1146</v>
      </c>
      <c r="S508" s="1" t="s">
        <v>261</v>
      </c>
      <c r="T508" s="4">
        <v>45516</v>
      </c>
      <c r="U508" s="4">
        <v>45657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81175.86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1" t="s">
        <v>126</v>
      </c>
    </row>
    <row r="509" spans="1:41" x14ac:dyDescent="0.25">
      <c r="A509" s="1">
        <f t="shared" si="3"/>
        <v>493</v>
      </c>
      <c r="B509" s="1" t="s">
        <v>702</v>
      </c>
      <c r="C509" s="1" t="s">
        <v>122</v>
      </c>
      <c r="D509" s="1" t="s">
        <v>261</v>
      </c>
      <c r="E509" s="4">
        <v>45523</v>
      </c>
      <c r="F509" s="4">
        <v>45657</v>
      </c>
      <c r="H509" s="5">
        <v>108224.42</v>
      </c>
      <c r="I509" s="5">
        <v>5517.24</v>
      </c>
      <c r="J509" s="5">
        <v>2000</v>
      </c>
      <c r="K509" s="5">
        <v>6990</v>
      </c>
      <c r="L509" s="5">
        <v>0</v>
      </c>
      <c r="M509" s="5">
        <v>14507.24</v>
      </c>
      <c r="N509" s="5">
        <v>59216.9</v>
      </c>
      <c r="O509" s="5">
        <v>0</v>
      </c>
      <c r="P509" s="5">
        <v>34500.28</v>
      </c>
      <c r="Q509" s="5">
        <v>93717.18</v>
      </c>
      <c r="R509" s="1" t="s">
        <v>1147</v>
      </c>
      <c r="S509" s="1" t="s">
        <v>261</v>
      </c>
      <c r="T509" s="4">
        <v>45523</v>
      </c>
      <c r="U509" s="4">
        <v>45657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93717.18</v>
      </c>
      <c r="AH509" s="5">
        <v>0</v>
      </c>
      <c r="AI509" s="5">
        <v>0</v>
      </c>
      <c r="AJ509" s="5">
        <v>2050.1</v>
      </c>
      <c r="AK509" s="5">
        <v>0</v>
      </c>
      <c r="AL509" s="5">
        <v>0</v>
      </c>
      <c r="AM509" s="5">
        <v>2050.1</v>
      </c>
      <c r="AN509" s="5">
        <v>0</v>
      </c>
      <c r="AO509" s="1" t="s">
        <v>126</v>
      </c>
    </row>
    <row r="510" spans="1:41" x14ac:dyDescent="0.25">
      <c r="A510" s="1">
        <f t="shared" si="3"/>
        <v>494</v>
      </c>
      <c r="B510" s="1" t="s">
        <v>703</v>
      </c>
      <c r="C510" s="1" t="s">
        <v>122</v>
      </c>
      <c r="D510" s="1" t="s">
        <v>261</v>
      </c>
      <c r="E510" s="4">
        <v>45544</v>
      </c>
      <c r="F510" s="4">
        <v>45657</v>
      </c>
      <c r="H510" s="5">
        <v>73232.759999999995</v>
      </c>
      <c r="I510" s="5">
        <v>5189.66</v>
      </c>
      <c r="J510" s="5">
        <v>5250</v>
      </c>
      <c r="K510" s="5">
        <v>5237.5</v>
      </c>
      <c r="L510" s="5">
        <v>0</v>
      </c>
      <c r="M510" s="5">
        <v>15677.16</v>
      </c>
      <c r="N510" s="5">
        <v>57038.36</v>
      </c>
      <c r="O510" s="5">
        <v>0</v>
      </c>
      <c r="P510" s="5">
        <v>517.24</v>
      </c>
      <c r="Q510" s="5">
        <v>57555.6</v>
      </c>
      <c r="R510" s="1" t="s">
        <v>1078</v>
      </c>
      <c r="S510" s="1" t="s">
        <v>261</v>
      </c>
      <c r="T510" s="4">
        <v>45544</v>
      </c>
      <c r="U510" s="4">
        <v>45657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57555.6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1" t="s">
        <v>126</v>
      </c>
    </row>
    <row r="511" spans="1:41" x14ac:dyDescent="0.25">
      <c r="A511" s="1">
        <f t="shared" si="3"/>
        <v>495</v>
      </c>
      <c r="B511" s="1" t="s">
        <v>704</v>
      </c>
      <c r="C511" s="1" t="s">
        <v>122</v>
      </c>
      <c r="D511" s="1" t="s">
        <v>261</v>
      </c>
      <c r="E511" s="4">
        <v>45607</v>
      </c>
      <c r="F511" s="4">
        <v>45657</v>
      </c>
      <c r="H511" s="5">
        <v>27528.26</v>
      </c>
      <c r="I511" s="5">
        <v>2059.87</v>
      </c>
      <c r="J511" s="5">
        <v>750</v>
      </c>
      <c r="K511" s="5">
        <v>2184.21</v>
      </c>
      <c r="L511" s="5">
        <v>0</v>
      </c>
      <c r="M511" s="5">
        <v>4994.08</v>
      </c>
      <c r="N511" s="5">
        <v>22534.18</v>
      </c>
      <c r="O511" s="5">
        <v>0</v>
      </c>
      <c r="P511" s="5">
        <v>0</v>
      </c>
      <c r="Q511" s="5">
        <v>22534.18</v>
      </c>
      <c r="R511" s="1" t="s">
        <v>1078</v>
      </c>
      <c r="S511" s="1" t="s">
        <v>261</v>
      </c>
      <c r="T511" s="4">
        <v>45607</v>
      </c>
      <c r="U511" s="4">
        <v>45657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22534.18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1" t="s">
        <v>126</v>
      </c>
    </row>
    <row r="512" spans="1:41" x14ac:dyDescent="0.25">
      <c r="A512" s="1">
        <f t="shared" si="3"/>
        <v>496</v>
      </c>
      <c r="B512" s="1" t="s">
        <v>705</v>
      </c>
      <c r="C512" s="1" t="s">
        <v>122</v>
      </c>
      <c r="D512" s="1" t="s">
        <v>261</v>
      </c>
      <c r="E512" s="4">
        <v>45642</v>
      </c>
      <c r="F512" s="4">
        <v>45657</v>
      </c>
      <c r="H512" s="5">
        <v>8250</v>
      </c>
      <c r="I512" s="5">
        <v>0</v>
      </c>
      <c r="J512" s="5">
        <v>250</v>
      </c>
      <c r="K512" s="5">
        <v>782.5</v>
      </c>
      <c r="L512" s="5">
        <v>0</v>
      </c>
      <c r="M512" s="5">
        <v>1032.5</v>
      </c>
      <c r="N512" s="5">
        <v>7217.5</v>
      </c>
      <c r="O512" s="5">
        <v>0</v>
      </c>
      <c r="P512" s="5">
        <v>0</v>
      </c>
      <c r="Q512" s="5">
        <v>7217.5</v>
      </c>
      <c r="R512" s="1" t="s">
        <v>286</v>
      </c>
      <c r="S512" s="1" t="s">
        <v>261</v>
      </c>
      <c r="T512" s="4">
        <v>45642</v>
      </c>
      <c r="U512" s="4">
        <v>45657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7217.5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1" t="s">
        <v>126</v>
      </c>
    </row>
    <row r="513" spans="1:41" x14ac:dyDescent="0.25">
      <c r="A513" s="1">
        <f t="shared" si="3"/>
        <v>497</v>
      </c>
      <c r="B513" s="1" t="s">
        <v>706</v>
      </c>
      <c r="C513" s="1" t="s">
        <v>122</v>
      </c>
      <c r="D513" s="1" t="s">
        <v>735</v>
      </c>
      <c r="E513" s="4">
        <v>45542</v>
      </c>
      <c r="F513" s="4">
        <v>45657</v>
      </c>
      <c r="H513" s="5">
        <v>1080449.71</v>
      </c>
      <c r="I513" s="5">
        <v>0</v>
      </c>
      <c r="J513" s="5">
        <v>10500</v>
      </c>
      <c r="K513" s="5">
        <v>13400</v>
      </c>
      <c r="L513" s="5">
        <v>0</v>
      </c>
      <c r="M513" s="5">
        <v>23900</v>
      </c>
      <c r="N513" s="5">
        <v>953245.89</v>
      </c>
      <c r="O513" s="5">
        <v>80553.820000000007</v>
      </c>
      <c r="P513" s="5">
        <v>22750</v>
      </c>
      <c r="Q513" s="5">
        <v>1056549.71</v>
      </c>
      <c r="R513" s="1" t="s">
        <v>1148</v>
      </c>
      <c r="S513" s="1" t="s">
        <v>735</v>
      </c>
      <c r="T513" s="4">
        <v>45542</v>
      </c>
      <c r="U513" s="4">
        <v>45657</v>
      </c>
      <c r="W513" s="5">
        <v>2511749.34</v>
      </c>
      <c r="X513" s="5">
        <v>90000</v>
      </c>
      <c r="Y513" s="5">
        <v>25500</v>
      </c>
      <c r="Z513" s="5">
        <v>35100</v>
      </c>
      <c r="AA513" s="5">
        <v>0</v>
      </c>
      <c r="AB513" s="5">
        <v>150600</v>
      </c>
      <c r="AC513" s="5">
        <v>2208899.39</v>
      </c>
      <c r="AD513" s="5">
        <v>96999.95</v>
      </c>
      <c r="AE513" s="5">
        <v>55250</v>
      </c>
      <c r="AF513" s="5">
        <v>2361149.34</v>
      </c>
      <c r="AG513" s="5">
        <v>3417699.05</v>
      </c>
      <c r="AH513" s="5">
        <v>827809.72</v>
      </c>
      <c r="AI513" s="5">
        <v>568448.38</v>
      </c>
      <c r="AJ513" s="5">
        <v>259360.51</v>
      </c>
      <c r="AK513" s="5">
        <v>0</v>
      </c>
      <c r="AL513" s="5">
        <v>0.82</v>
      </c>
      <c r="AM513" s="5">
        <v>0</v>
      </c>
      <c r="AN513" s="5">
        <v>827809.72</v>
      </c>
      <c r="AO513" s="1" t="s">
        <v>1177</v>
      </c>
    </row>
    <row r="514" spans="1:41" x14ac:dyDescent="0.25">
      <c r="A514" s="1">
        <f t="shared" si="3"/>
        <v>498</v>
      </c>
      <c r="B514" s="1" t="s">
        <v>707</v>
      </c>
      <c r="C514" s="1" t="s">
        <v>122</v>
      </c>
      <c r="D514" s="1" t="s">
        <v>735</v>
      </c>
      <c r="E514" s="4">
        <v>45542</v>
      </c>
      <c r="F514" s="4">
        <v>45657</v>
      </c>
      <c r="H514" s="5">
        <v>348833.33</v>
      </c>
      <c r="I514" s="5">
        <v>23333.33</v>
      </c>
      <c r="J514" s="5">
        <v>10500</v>
      </c>
      <c r="K514" s="5">
        <v>11650</v>
      </c>
      <c r="L514" s="5">
        <v>0</v>
      </c>
      <c r="M514" s="5">
        <v>45483.33</v>
      </c>
      <c r="N514" s="5">
        <v>268350</v>
      </c>
      <c r="O514" s="5">
        <v>0</v>
      </c>
      <c r="P514" s="5">
        <v>35000</v>
      </c>
      <c r="Q514" s="5">
        <v>303350</v>
      </c>
      <c r="R514" s="1" t="s">
        <v>1149</v>
      </c>
      <c r="S514" s="1" t="s">
        <v>735</v>
      </c>
      <c r="T514" s="4">
        <v>45542</v>
      </c>
      <c r="U514" s="4">
        <v>45657</v>
      </c>
      <c r="W514" s="5">
        <v>832000</v>
      </c>
      <c r="X514" s="5">
        <v>55500</v>
      </c>
      <c r="Y514" s="5">
        <v>25500</v>
      </c>
      <c r="Z514" s="5">
        <v>30500</v>
      </c>
      <c r="AA514" s="5">
        <v>0</v>
      </c>
      <c r="AB514" s="5">
        <v>111500</v>
      </c>
      <c r="AC514" s="5">
        <v>635500</v>
      </c>
      <c r="AD514" s="5">
        <v>0</v>
      </c>
      <c r="AE514" s="5">
        <v>85000</v>
      </c>
      <c r="AF514" s="5">
        <v>720500</v>
      </c>
      <c r="AG514" s="5">
        <v>1023850</v>
      </c>
      <c r="AH514" s="5">
        <v>158462.5</v>
      </c>
      <c r="AI514" s="5">
        <v>111061.65</v>
      </c>
      <c r="AJ514" s="5">
        <v>47399.65</v>
      </c>
      <c r="AK514" s="5">
        <v>0</v>
      </c>
      <c r="AL514" s="5">
        <v>1.2</v>
      </c>
      <c r="AM514" s="5">
        <v>0</v>
      </c>
      <c r="AN514" s="5">
        <v>158462.5</v>
      </c>
      <c r="AO514" s="1" t="s">
        <v>1177</v>
      </c>
    </row>
    <row r="515" spans="1:41" x14ac:dyDescent="0.25">
      <c r="A515" s="1">
        <f t="shared" si="3"/>
        <v>499</v>
      </c>
      <c r="B515" s="1" t="s">
        <v>708</v>
      </c>
      <c r="C515" s="1" t="s">
        <v>122</v>
      </c>
      <c r="D515" s="1" t="s">
        <v>735</v>
      </c>
      <c r="E515" s="4">
        <v>45542</v>
      </c>
      <c r="F515" s="4">
        <v>45657</v>
      </c>
      <c r="H515" s="5">
        <v>692153.57</v>
      </c>
      <c r="I515" s="5">
        <v>0</v>
      </c>
      <c r="J515" s="5">
        <v>10500</v>
      </c>
      <c r="K515" s="5">
        <v>13400</v>
      </c>
      <c r="L515" s="5">
        <v>0</v>
      </c>
      <c r="M515" s="5">
        <v>23900</v>
      </c>
      <c r="N515" s="5">
        <v>583196</v>
      </c>
      <c r="O515" s="5">
        <v>49716.33</v>
      </c>
      <c r="P515" s="5">
        <v>35341.24</v>
      </c>
      <c r="Q515" s="5">
        <v>668253.56999999995</v>
      </c>
      <c r="R515" s="1" t="s">
        <v>1150</v>
      </c>
      <c r="S515" s="1" t="s">
        <v>735</v>
      </c>
      <c r="T515" s="4">
        <v>45542</v>
      </c>
      <c r="U515" s="4">
        <v>45657</v>
      </c>
      <c r="W515" s="5">
        <v>1655257.5</v>
      </c>
      <c r="X515" s="5">
        <v>90000</v>
      </c>
      <c r="Y515" s="5">
        <v>25500</v>
      </c>
      <c r="Z515" s="5">
        <v>35100</v>
      </c>
      <c r="AA515" s="5">
        <v>0</v>
      </c>
      <c r="AB515" s="5">
        <v>150600</v>
      </c>
      <c r="AC515" s="5">
        <v>1390830</v>
      </c>
      <c r="AD515" s="5">
        <v>28827.5</v>
      </c>
      <c r="AE515" s="5">
        <v>85000</v>
      </c>
      <c r="AF515" s="5">
        <v>1504657.5</v>
      </c>
      <c r="AG515" s="5">
        <v>2172911.0699999998</v>
      </c>
      <c r="AH515" s="5">
        <v>454373.32</v>
      </c>
      <c r="AI515" s="5">
        <v>311500.84999999998</v>
      </c>
      <c r="AJ515" s="5">
        <v>142871.67000000001</v>
      </c>
      <c r="AK515" s="5">
        <v>0</v>
      </c>
      <c r="AL515" s="5">
        <v>0.8</v>
      </c>
      <c r="AM515" s="5">
        <v>0</v>
      </c>
      <c r="AN515" s="5">
        <v>454373.32</v>
      </c>
      <c r="AO515" s="1" t="s">
        <v>1177</v>
      </c>
    </row>
    <row r="516" spans="1:41" x14ac:dyDescent="0.25">
      <c r="A516" s="1">
        <f t="shared" si="3"/>
        <v>500</v>
      </c>
      <c r="B516" s="1" t="s">
        <v>709</v>
      </c>
      <c r="C516" s="1" t="s">
        <v>122</v>
      </c>
      <c r="D516" s="1" t="s">
        <v>735</v>
      </c>
      <c r="E516" s="4">
        <v>45542</v>
      </c>
      <c r="F516" s="4">
        <v>45657</v>
      </c>
      <c r="H516" s="5">
        <v>79329.83</v>
      </c>
      <c r="I516" s="5">
        <v>5833.33</v>
      </c>
      <c r="J516" s="5">
        <v>3496.5</v>
      </c>
      <c r="K516" s="5">
        <v>5635</v>
      </c>
      <c r="L516" s="5">
        <v>0</v>
      </c>
      <c r="M516" s="5">
        <v>14964.83</v>
      </c>
      <c r="N516" s="5">
        <v>64365</v>
      </c>
      <c r="O516" s="5">
        <v>0</v>
      </c>
      <c r="P516" s="5">
        <v>0</v>
      </c>
      <c r="Q516" s="5">
        <v>64365</v>
      </c>
      <c r="R516" s="1" t="s">
        <v>1151</v>
      </c>
      <c r="S516" s="1" t="s">
        <v>735</v>
      </c>
      <c r="T516" s="4">
        <v>45542</v>
      </c>
      <c r="U516" s="4">
        <v>45657</v>
      </c>
      <c r="W516" s="5">
        <v>192658.17</v>
      </c>
      <c r="X516" s="5">
        <v>14166.67</v>
      </c>
      <c r="Y516" s="5">
        <v>8491.5</v>
      </c>
      <c r="Z516" s="5">
        <v>13600</v>
      </c>
      <c r="AA516" s="5">
        <v>0</v>
      </c>
      <c r="AB516" s="5">
        <v>36258.17</v>
      </c>
      <c r="AC516" s="5">
        <v>156400</v>
      </c>
      <c r="AD516" s="5">
        <v>0</v>
      </c>
      <c r="AE516" s="5">
        <v>0</v>
      </c>
      <c r="AF516" s="5">
        <v>156400</v>
      </c>
      <c r="AG516" s="5">
        <v>220765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1" t="s">
        <v>1177</v>
      </c>
    </row>
    <row r="517" spans="1:41" x14ac:dyDescent="0.25">
      <c r="A517" s="1">
        <f t="shared" si="3"/>
        <v>501</v>
      </c>
      <c r="B517" s="1" t="s">
        <v>710</v>
      </c>
      <c r="C517" s="1" t="s">
        <v>122</v>
      </c>
      <c r="D517" s="1" t="s">
        <v>735</v>
      </c>
      <c r="E517" s="4">
        <v>45542</v>
      </c>
      <c r="F517" s="4">
        <v>45657</v>
      </c>
      <c r="H517" s="5">
        <v>809671.92</v>
      </c>
      <c r="I517" s="5">
        <v>0</v>
      </c>
      <c r="J517" s="5">
        <v>10500</v>
      </c>
      <c r="K517" s="5">
        <v>13400</v>
      </c>
      <c r="L517" s="5">
        <v>0</v>
      </c>
      <c r="M517" s="5">
        <v>23900</v>
      </c>
      <c r="N517" s="5">
        <v>651600</v>
      </c>
      <c r="O517" s="5">
        <v>55416.67</v>
      </c>
      <c r="P517" s="5">
        <v>78755.25</v>
      </c>
      <c r="Q517" s="5">
        <v>785771.92</v>
      </c>
      <c r="R517" s="1" t="s">
        <v>1152</v>
      </c>
      <c r="S517" s="1" t="s">
        <v>735</v>
      </c>
      <c r="T517" s="4">
        <v>45542</v>
      </c>
      <c r="U517" s="4">
        <v>45657</v>
      </c>
      <c r="W517" s="5">
        <v>1966346.08</v>
      </c>
      <c r="X517" s="5">
        <v>90000</v>
      </c>
      <c r="Y517" s="5">
        <v>25500</v>
      </c>
      <c r="Z517" s="5">
        <v>35100</v>
      </c>
      <c r="AA517" s="5">
        <v>0</v>
      </c>
      <c r="AB517" s="5">
        <v>150600</v>
      </c>
      <c r="AC517" s="5">
        <v>1579900</v>
      </c>
      <c r="AD517" s="5">
        <v>44583.33</v>
      </c>
      <c r="AE517" s="5">
        <v>191262.75</v>
      </c>
      <c r="AF517" s="5">
        <v>1815746.08</v>
      </c>
      <c r="AG517" s="5">
        <v>2601518</v>
      </c>
      <c r="AH517" s="5">
        <v>582955.4</v>
      </c>
      <c r="AI517" s="5">
        <v>404827.51</v>
      </c>
      <c r="AJ517" s="5">
        <v>178127.21</v>
      </c>
      <c r="AK517" s="5">
        <v>0</v>
      </c>
      <c r="AL517" s="5">
        <v>0.68</v>
      </c>
      <c r="AM517" s="5">
        <v>0</v>
      </c>
      <c r="AN517" s="5">
        <v>582955.4</v>
      </c>
      <c r="AO517" s="1" t="s">
        <v>1177</v>
      </c>
    </row>
    <row r="518" spans="1:41" x14ac:dyDescent="0.25">
      <c r="A518" s="1">
        <f t="shared" si="3"/>
        <v>502</v>
      </c>
      <c r="B518" s="1" t="s">
        <v>711</v>
      </c>
      <c r="C518" s="1" t="s">
        <v>122</v>
      </c>
      <c r="D518" s="1" t="s">
        <v>735</v>
      </c>
      <c r="E518" s="4">
        <v>45542</v>
      </c>
      <c r="F518" s="4">
        <v>45657</v>
      </c>
      <c r="H518" s="5">
        <v>427214.67</v>
      </c>
      <c r="I518" s="5">
        <v>20190.88</v>
      </c>
      <c r="J518" s="5">
        <v>10500</v>
      </c>
      <c r="K518" s="5">
        <v>13400</v>
      </c>
      <c r="L518" s="5">
        <v>0</v>
      </c>
      <c r="M518" s="5">
        <v>44090.879999999997</v>
      </c>
      <c r="N518" s="5">
        <v>338952</v>
      </c>
      <c r="O518" s="5">
        <v>9171.7900000000009</v>
      </c>
      <c r="P518" s="5">
        <v>35000</v>
      </c>
      <c r="Q518" s="5">
        <v>383123.79</v>
      </c>
      <c r="R518" s="1" t="s">
        <v>1153</v>
      </c>
      <c r="S518" s="1" t="s">
        <v>735</v>
      </c>
      <c r="T518" s="4">
        <v>45542</v>
      </c>
      <c r="U518" s="4">
        <v>45657</v>
      </c>
      <c r="W518" s="5">
        <v>1018018.55</v>
      </c>
      <c r="X518" s="5">
        <v>69809.119999999995</v>
      </c>
      <c r="Y518" s="5">
        <v>25500</v>
      </c>
      <c r="Z518" s="5">
        <v>34820</v>
      </c>
      <c r="AA518" s="5">
        <v>0</v>
      </c>
      <c r="AB518" s="5">
        <v>130129.12</v>
      </c>
      <c r="AC518" s="5">
        <v>802889.43</v>
      </c>
      <c r="AD518" s="5">
        <v>0</v>
      </c>
      <c r="AE518" s="5">
        <v>85000</v>
      </c>
      <c r="AF518" s="5">
        <v>887889.43</v>
      </c>
      <c r="AG518" s="5">
        <v>1271013.22</v>
      </c>
      <c r="AH518" s="5">
        <v>220253.3</v>
      </c>
      <c r="AI518" s="5">
        <v>152909.01</v>
      </c>
      <c r="AJ518" s="5">
        <v>67343.100000000006</v>
      </c>
      <c r="AK518" s="5">
        <v>0</v>
      </c>
      <c r="AL518" s="5">
        <v>1.2</v>
      </c>
      <c r="AM518" s="5">
        <v>0</v>
      </c>
      <c r="AN518" s="5">
        <v>220253.3</v>
      </c>
      <c r="AO518" s="1" t="s">
        <v>1177</v>
      </c>
    </row>
    <row r="519" spans="1:41" x14ac:dyDescent="0.25">
      <c r="A519" s="1">
        <f t="shared" si="3"/>
        <v>503</v>
      </c>
      <c r="B519" s="1" t="s">
        <v>712</v>
      </c>
      <c r="C519" s="1" t="s">
        <v>122</v>
      </c>
      <c r="D519" s="1" t="s">
        <v>735</v>
      </c>
      <c r="E519" s="4">
        <v>45542</v>
      </c>
      <c r="F519" s="4">
        <v>45657</v>
      </c>
      <c r="H519" s="5">
        <v>246131.01</v>
      </c>
      <c r="I519" s="5">
        <v>18044.689999999999</v>
      </c>
      <c r="J519" s="5">
        <v>11550</v>
      </c>
      <c r="K519" s="5">
        <v>10063.42</v>
      </c>
      <c r="L519" s="5">
        <v>0</v>
      </c>
      <c r="M519" s="5">
        <v>39658.11</v>
      </c>
      <c r="N519" s="5">
        <v>206472.9</v>
      </c>
      <c r="O519" s="5">
        <v>0</v>
      </c>
      <c r="P519" s="5">
        <v>0</v>
      </c>
      <c r="Q519" s="5">
        <v>206472.9</v>
      </c>
      <c r="R519" s="1" t="s">
        <v>1154</v>
      </c>
      <c r="S519" s="1" t="s">
        <v>735</v>
      </c>
      <c r="T519" s="4">
        <v>45542</v>
      </c>
      <c r="U519" s="4">
        <v>45657</v>
      </c>
      <c r="W519" s="5">
        <v>588724.4</v>
      </c>
      <c r="X519" s="5">
        <v>43128.800000000003</v>
      </c>
      <c r="Y519" s="5">
        <v>28050</v>
      </c>
      <c r="Z519" s="5">
        <v>26788.639999999999</v>
      </c>
      <c r="AA519" s="5">
        <v>0</v>
      </c>
      <c r="AB519" s="5">
        <v>97967.44</v>
      </c>
      <c r="AC519" s="5">
        <v>490756.96</v>
      </c>
      <c r="AD519" s="5">
        <v>0</v>
      </c>
      <c r="AE519" s="5">
        <v>0</v>
      </c>
      <c r="AF519" s="5">
        <v>490756.96</v>
      </c>
      <c r="AG519" s="5">
        <v>697229.86</v>
      </c>
      <c r="AH519" s="5">
        <v>81945.97</v>
      </c>
      <c r="AI519" s="5">
        <v>57421.06</v>
      </c>
      <c r="AJ519" s="5">
        <v>24523.26</v>
      </c>
      <c r="AK519" s="5">
        <v>0</v>
      </c>
      <c r="AL519" s="5">
        <v>1.65</v>
      </c>
      <c r="AM519" s="5">
        <v>0</v>
      </c>
      <c r="AN519" s="5">
        <v>81945.97</v>
      </c>
      <c r="AO519" s="1" t="s">
        <v>1177</v>
      </c>
    </row>
    <row r="520" spans="1:41" x14ac:dyDescent="0.25">
      <c r="A520" s="1">
        <f t="shared" si="3"/>
        <v>504</v>
      </c>
      <c r="B520" s="1" t="s">
        <v>713</v>
      </c>
      <c r="C520" s="1" t="s">
        <v>122</v>
      </c>
      <c r="D520" s="1" t="s">
        <v>735</v>
      </c>
      <c r="E520" s="4">
        <v>45542</v>
      </c>
      <c r="F520" s="4">
        <v>45657</v>
      </c>
      <c r="H520" s="5">
        <v>1713833.33</v>
      </c>
      <c r="I520" s="5">
        <v>0</v>
      </c>
      <c r="J520" s="5">
        <v>10500</v>
      </c>
      <c r="K520" s="5">
        <v>13400</v>
      </c>
      <c r="L520" s="5">
        <v>0</v>
      </c>
      <c r="M520" s="5">
        <v>23900</v>
      </c>
      <c r="N520" s="5">
        <v>1526600</v>
      </c>
      <c r="O520" s="5">
        <v>128333.33</v>
      </c>
      <c r="P520" s="5">
        <v>35000</v>
      </c>
      <c r="Q520" s="5">
        <v>1689933.33</v>
      </c>
      <c r="R520" s="1" t="s">
        <v>1155</v>
      </c>
      <c r="S520" s="1" t="s">
        <v>735</v>
      </c>
      <c r="T520" s="4">
        <v>45542</v>
      </c>
      <c r="U520" s="4">
        <v>45657</v>
      </c>
      <c r="W520" s="5">
        <v>4607642.74</v>
      </c>
      <c r="X520" s="5">
        <v>90000</v>
      </c>
      <c r="Y520" s="5">
        <v>25500</v>
      </c>
      <c r="Z520" s="5">
        <v>35100</v>
      </c>
      <c r="AA520" s="5">
        <v>0</v>
      </c>
      <c r="AB520" s="5">
        <v>150600</v>
      </c>
      <c r="AC520" s="5">
        <v>3329515.44</v>
      </c>
      <c r="AD520" s="5">
        <v>190384.62</v>
      </c>
      <c r="AE520" s="5">
        <v>937142.68</v>
      </c>
      <c r="AF520" s="5">
        <v>4457042.74</v>
      </c>
      <c r="AG520" s="5">
        <v>6146976.0700000003</v>
      </c>
      <c r="AH520" s="5">
        <v>1646592.82</v>
      </c>
      <c r="AI520" s="5">
        <v>1214579.28</v>
      </c>
      <c r="AJ520" s="5">
        <v>449375.6</v>
      </c>
      <c r="AK520" s="5">
        <v>0</v>
      </c>
      <c r="AL520" s="5">
        <v>0</v>
      </c>
      <c r="AM520" s="5">
        <v>17362.05</v>
      </c>
      <c r="AN520" s="5">
        <v>1646592.82</v>
      </c>
      <c r="AO520" s="1" t="s">
        <v>1177</v>
      </c>
    </row>
    <row r="521" spans="1:41" x14ac:dyDescent="0.25">
      <c r="A521" s="1">
        <f t="shared" si="3"/>
        <v>505</v>
      </c>
      <c r="B521" s="1" t="s">
        <v>714</v>
      </c>
      <c r="C521" s="1" t="s">
        <v>122</v>
      </c>
      <c r="D521" s="1" t="s">
        <v>735</v>
      </c>
      <c r="E521" s="4">
        <v>45542</v>
      </c>
      <c r="F521" s="4">
        <v>45657</v>
      </c>
      <c r="H521" s="5">
        <v>841750</v>
      </c>
      <c r="I521" s="5">
        <v>0</v>
      </c>
      <c r="J521" s="5">
        <v>10500</v>
      </c>
      <c r="K521" s="5">
        <v>13400</v>
      </c>
      <c r="L521" s="5">
        <v>0</v>
      </c>
      <c r="M521" s="5">
        <v>23900</v>
      </c>
      <c r="N521" s="5">
        <v>721600</v>
      </c>
      <c r="O521" s="5">
        <v>61250</v>
      </c>
      <c r="P521" s="5">
        <v>35000</v>
      </c>
      <c r="Q521" s="5">
        <v>817850</v>
      </c>
      <c r="R521" s="1" t="s">
        <v>1156</v>
      </c>
      <c r="S521" s="1" t="s">
        <v>735</v>
      </c>
      <c r="T521" s="4">
        <v>45542</v>
      </c>
      <c r="U521" s="4">
        <v>45657</v>
      </c>
      <c r="W521" s="5">
        <v>2116871.04</v>
      </c>
      <c r="X521" s="5">
        <v>90000</v>
      </c>
      <c r="Y521" s="5">
        <v>25500</v>
      </c>
      <c r="Z521" s="5">
        <v>35100</v>
      </c>
      <c r="AA521" s="5">
        <v>0</v>
      </c>
      <c r="AB521" s="5">
        <v>150600</v>
      </c>
      <c r="AC521" s="5">
        <v>1714900</v>
      </c>
      <c r="AD521" s="5">
        <v>55833.33</v>
      </c>
      <c r="AE521" s="5">
        <v>195537.71</v>
      </c>
      <c r="AF521" s="5">
        <v>1966271.04</v>
      </c>
      <c r="AG521" s="5">
        <v>2784121.04</v>
      </c>
      <c r="AH521" s="5">
        <v>637736.31000000006</v>
      </c>
      <c r="AI521" s="5">
        <v>452195.67</v>
      </c>
      <c r="AJ521" s="5">
        <v>187750.6</v>
      </c>
      <c r="AK521" s="5">
        <v>0</v>
      </c>
      <c r="AL521" s="5">
        <v>0</v>
      </c>
      <c r="AM521" s="5">
        <v>2209.96</v>
      </c>
      <c r="AN521" s="5">
        <v>637736.31000000006</v>
      </c>
      <c r="AO521" s="1" t="s">
        <v>1177</v>
      </c>
    </row>
    <row r="522" spans="1:41" x14ac:dyDescent="0.25">
      <c r="A522" s="1">
        <f t="shared" si="3"/>
        <v>506</v>
      </c>
      <c r="B522" s="1" t="s">
        <v>715</v>
      </c>
      <c r="C522" s="1" t="s">
        <v>122</v>
      </c>
      <c r="D522" s="1" t="s">
        <v>735</v>
      </c>
      <c r="E522" s="4">
        <v>45542</v>
      </c>
      <c r="F522" s="4">
        <v>45657</v>
      </c>
      <c r="H522" s="5">
        <v>494093.6</v>
      </c>
      <c r="I522" s="5">
        <v>7524</v>
      </c>
      <c r="J522" s="5">
        <v>10500</v>
      </c>
      <c r="K522" s="5">
        <v>13400</v>
      </c>
      <c r="L522" s="5">
        <v>0</v>
      </c>
      <c r="M522" s="5">
        <v>31424</v>
      </c>
      <c r="N522" s="5">
        <v>400686.4</v>
      </c>
      <c r="O522" s="5">
        <v>26983.200000000001</v>
      </c>
      <c r="P522" s="5">
        <v>35000</v>
      </c>
      <c r="Q522" s="5">
        <v>462669.6</v>
      </c>
      <c r="R522" s="1" t="s">
        <v>1157</v>
      </c>
      <c r="S522" s="1" t="s">
        <v>735</v>
      </c>
      <c r="T522" s="4">
        <v>45542</v>
      </c>
      <c r="U522" s="4">
        <v>45657</v>
      </c>
      <c r="W522" s="5">
        <v>1182688</v>
      </c>
      <c r="X522" s="5">
        <v>82476</v>
      </c>
      <c r="Y522" s="5">
        <v>25500</v>
      </c>
      <c r="Z522" s="5">
        <v>35100</v>
      </c>
      <c r="AA522" s="5">
        <v>0</v>
      </c>
      <c r="AB522" s="5">
        <v>143076</v>
      </c>
      <c r="AC522" s="5">
        <v>954612</v>
      </c>
      <c r="AD522" s="5">
        <v>0</v>
      </c>
      <c r="AE522" s="5">
        <v>85000</v>
      </c>
      <c r="AF522" s="5">
        <v>1039612</v>
      </c>
      <c r="AG522" s="5">
        <v>1502281.6</v>
      </c>
      <c r="AH522" s="5">
        <v>278070.40000000002</v>
      </c>
      <c r="AI522" s="5">
        <v>190839.65</v>
      </c>
      <c r="AJ522" s="5">
        <v>87229.55</v>
      </c>
      <c r="AK522" s="5">
        <v>0</v>
      </c>
      <c r="AL522" s="5">
        <v>1.2</v>
      </c>
      <c r="AM522" s="5">
        <v>0</v>
      </c>
      <c r="AN522" s="5">
        <v>278070.40000000002</v>
      </c>
      <c r="AO522" s="1" t="s">
        <v>1177</v>
      </c>
    </row>
    <row r="523" spans="1:41" x14ac:dyDescent="0.25">
      <c r="A523" s="1">
        <f t="shared" si="3"/>
        <v>507</v>
      </c>
      <c r="B523" s="1" t="s">
        <v>716</v>
      </c>
      <c r="C523" s="1" t="s">
        <v>122</v>
      </c>
      <c r="D523" s="1" t="s">
        <v>735</v>
      </c>
      <c r="E523" s="4">
        <v>45542</v>
      </c>
      <c r="F523" s="4">
        <v>45657</v>
      </c>
      <c r="H523" s="5">
        <v>746506.37</v>
      </c>
      <c r="I523" s="5">
        <v>0</v>
      </c>
      <c r="J523" s="5">
        <v>10500</v>
      </c>
      <c r="K523" s="5">
        <v>13400</v>
      </c>
      <c r="L523" s="5">
        <v>0</v>
      </c>
      <c r="M523" s="5">
        <v>23900</v>
      </c>
      <c r="N523" s="5">
        <v>633682.80000000005</v>
      </c>
      <c r="O523" s="5">
        <v>53923.57</v>
      </c>
      <c r="P523" s="5">
        <v>35000</v>
      </c>
      <c r="Q523" s="5">
        <v>722606.37</v>
      </c>
      <c r="R523" s="1" t="s">
        <v>1158</v>
      </c>
      <c r="S523" s="1" t="s">
        <v>735</v>
      </c>
      <c r="T523" s="4">
        <v>45542</v>
      </c>
      <c r="U523" s="4">
        <v>45657</v>
      </c>
      <c r="W523" s="5">
        <v>1785982.25</v>
      </c>
      <c r="X523" s="5">
        <v>90000</v>
      </c>
      <c r="Y523" s="5">
        <v>25500</v>
      </c>
      <c r="Z523" s="5">
        <v>35100</v>
      </c>
      <c r="AA523" s="5">
        <v>0</v>
      </c>
      <c r="AB523" s="5">
        <v>150600</v>
      </c>
      <c r="AC523" s="5">
        <v>1511499</v>
      </c>
      <c r="AD523" s="5">
        <v>38883.25</v>
      </c>
      <c r="AE523" s="5">
        <v>85000</v>
      </c>
      <c r="AF523" s="5">
        <v>1635382.25</v>
      </c>
      <c r="AG523" s="5">
        <v>2357988.62</v>
      </c>
      <c r="AH523" s="5">
        <v>509896.59</v>
      </c>
      <c r="AI523" s="5">
        <v>350718.28</v>
      </c>
      <c r="AJ523" s="5">
        <v>159177.51</v>
      </c>
      <c r="AK523" s="5">
        <v>0</v>
      </c>
      <c r="AL523" s="5">
        <v>0.8</v>
      </c>
      <c r="AM523" s="5">
        <v>0</v>
      </c>
      <c r="AN523" s="5">
        <v>509896.59</v>
      </c>
      <c r="AO523" s="1" t="s">
        <v>1177</v>
      </c>
    </row>
    <row r="524" spans="1:41" x14ac:dyDescent="0.25">
      <c r="A524" s="1">
        <f t="shared" si="3"/>
        <v>508</v>
      </c>
      <c r="B524" s="1" t="s">
        <v>717</v>
      </c>
      <c r="C524" s="1" t="s">
        <v>122</v>
      </c>
      <c r="D524" s="1" t="s">
        <v>735</v>
      </c>
      <c r="E524" s="4">
        <v>45542</v>
      </c>
      <c r="F524" s="4">
        <v>45657</v>
      </c>
      <c r="H524" s="5">
        <v>1135126.76</v>
      </c>
      <c r="I524" s="5">
        <v>0</v>
      </c>
      <c r="J524" s="5">
        <v>10500</v>
      </c>
      <c r="K524" s="5">
        <v>13400</v>
      </c>
      <c r="L524" s="5">
        <v>0</v>
      </c>
      <c r="M524" s="5">
        <v>23900</v>
      </c>
      <c r="N524" s="5">
        <v>1003717.01</v>
      </c>
      <c r="O524" s="5">
        <v>84759.75</v>
      </c>
      <c r="P524" s="5">
        <v>22750</v>
      </c>
      <c r="Q524" s="5">
        <v>1111226.76</v>
      </c>
      <c r="R524" s="1" t="s">
        <v>1159</v>
      </c>
      <c r="S524" s="1" t="s">
        <v>735</v>
      </c>
      <c r="T524" s="4">
        <v>45542</v>
      </c>
      <c r="U524" s="4">
        <v>45657</v>
      </c>
      <c r="W524" s="5">
        <v>2684651.07</v>
      </c>
      <c r="X524" s="5">
        <v>90000</v>
      </c>
      <c r="Y524" s="5">
        <v>25500</v>
      </c>
      <c r="Z524" s="5">
        <v>35100</v>
      </c>
      <c r="AA524" s="5">
        <v>0</v>
      </c>
      <c r="AB524" s="5">
        <v>150600</v>
      </c>
      <c r="AC524" s="5">
        <v>2368500.9900000002</v>
      </c>
      <c r="AD524" s="5">
        <v>110300.08</v>
      </c>
      <c r="AE524" s="5">
        <v>55250</v>
      </c>
      <c r="AF524" s="5">
        <v>2534051.0699999998</v>
      </c>
      <c r="AG524" s="5">
        <v>3645277.83</v>
      </c>
      <c r="AH524" s="5">
        <v>896083.35</v>
      </c>
      <c r="AI524" s="5">
        <v>620318.92000000004</v>
      </c>
      <c r="AJ524" s="5">
        <v>275763.64</v>
      </c>
      <c r="AK524" s="5">
        <v>0</v>
      </c>
      <c r="AL524" s="5">
        <v>0.79</v>
      </c>
      <c r="AM524" s="5">
        <v>0</v>
      </c>
      <c r="AN524" s="5">
        <v>896083.35</v>
      </c>
      <c r="AO524" s="1" t="s">
        <v>1177</v>
      </c>
    </row>
    <row r="525" spans="1:41" x14ac:dyDescent="0.25">
      <c r="A525" s="1">
        <f t="shared" si="3"/>
        <v>509</v>
      </c>
      <c r="B525" s="1" t="s">
        <v>718</v>
      </c>
      <c r="C525" s="1" t="s">
        <v>122</v>
      </c>
      <c r="D525" s="1" t="s">
        <v>735</v>
      </c>
      <c r="E525" s="4">
        <v>45542</v>
      </c>
      <c r="F525" s="4">
        <v>45657</v>
      </c>
      <c r="H525" s="5">
        <v>240795.1</v>
      </c>
      <c r="I525" s="5">
        <v>17035.2</v>
      </c>
      <c r="J525" s="5">
        <v>8750</v>
      </c>
      <c r="K525" s="5">
        <v>9760.56</v>
      </c>
      <c r="L525" s="5">
        <v>0</v>
      </c>
      <c r="M525" s="5">
        <v>35545.760000000002</v>
      </c>
      <c r="N525" s="5">
        <v>194661.84</v>
      </c>
      <c r="O525" s="5">
        <v>0</v>
      </c>
      <c r="P525" s="5">
        <v>10587.5</v>
      </c>
      <c r="Q525" s="5">
        <v>205249.34</v>
      </c>
      <c r="R525" s="1" t="s">
        <v>1160</v>
      </c>
      <c r="S525" s="1" t="s">
        <v>735</v>
      </c>
      <c r="T525" s="4">
        <v>45542</v>
      </c>
      <c r="U525" s="4">
        <v>45657</v>
      </c>
      <c r="W525" s="5">
        <v>576270.5</v>
      </c>
      <c r="X525" s="5">
        <v>40716</v>
      </c>
      <c r="Y525" s="5">
        <v>21250</v>
      </c>
      <c r="Z525" s="5">
        <v>26064.799999999999</v>
      </c>
      <c r="AA525" s="5">
        <v>0</v>
      </c>
      <c r="AB525" s="5">
        <v>88030.8</v>
      </c>
      <c r="AC525" s="5">
        <v>462527.2</v>
      </c>
      <c r="AD525" s="5">
        <v>0</v>
      </c>
      <c r="AE525" s="5">
        <v>25712.5</v>
      </c>
      <c r="AF525" s="5">
        <v>488239.7</v>
      </c>
      <c r="AG525" s="5">
        <v>693489.04</v>
      </c>
      <c r="AH525" s="5">
        <v>81197.81</v>
      </c>
      <c r="AI525" s="5">
        <v>56917.599999999999</v>
      </c>
      <c r="AJ525" s="5">
        <v>24278.54</v>
      </c>
      <c r="AK525" s="5">
        <v>0</v>
      </c>
      <c r="AL525" s="5">
        <v>1.67</v>
      </c>
      <c r="AM525" s="5">
        <v>0</v>
      </c>
      <c r="AN525" s="5">
        <v>81197.81</v>
      </c>
      <c r="AO525" s="1" t="s">
        <v>1177</v>
      </c>
    </row>
    <row r="526" spans="1:41" x14ac:dyDescent="0.25">
      <c r="A526" s="1">
        <f t="shared" si="3"/>
        <v>510</v>
      </c>
      <c r="B526" s="1" t="s">
        <v>719</v>
      </c>
      <c r="C526" s="1" t="s">
        <v>122</v>
      </c>
      <c r="D526" s="1" t="s">
        <v>735</v>
      </c>
      <c r="E526" s="4">
        <v>45542</v>
      </c>
      <c r="F526" s="4">
        <v>45657</v>
      </c>
      <c r="H526" s="5">
        <v>865819.5</v>
      </c>
      <c r="I526" s="5">
        <v>0</v>
      </c>
      <c r="J526" s="5">
        <v>10500</v>
      </c>
      <c r="K526" s="5">
        <v>13400</v>
      </c>
      <c r="L526" s="5">
        <v>0</v>
      </c>
      <c r="M526" s="5">
        <v>23900</v>
      </c>
      <c r="N526" s="5">
        <v>743818</v>
      </c>
      <c r="O526" s="5">
        <v>63101.5</v>
      </c>
      <c r="P526" s="5">
        <v>35000</v>
      </c>
      <c r="Q526" s="5">
        <v>841919.5</v>
      </c>
      <c r="R526" s="1" t="s">
        <v>1161</v>
      </c>
      <c r="S526" s="1" t="s">
        <v>735</v>
      </c>
      <c r="T526" s="4">
        <v>45542</v>
      </c>
      <c r="U526" s="4">
        <v>45657</v>
      </c>
      <c r="W526" s="5">
        <v>2252704.5</v>
      </c>
      <c r="X526" s="5">
        <v>90000</v>
      </c>
      <c r="Y526" s="5">
        <v>25500</v>
      </c>
      <c r="Z526" s="5">
        <v>35100</v>
      </c>
      <c r="AA526" s="5">
        <v>0</v>
      </c>
      <c r="AB526" s="5">
        <v>150600</v>
      </c>
      <c r="AC526" s="5">
        <v>1803858</v>
      </c>
      <c r="AD526" s="5">
        <v>63246.5</v>
      </c>
      <c r="AE526" s="5">
        <v>235000</v>
      </c>
      <c r="AF526" s="5">
        <v>2102104.5</v>
      </c>
      <c r="AG526" s="5">
        <v>2944024</v>
      </c>
      <c r="AH526" s="5">
        <v>685707.2</v>
      </c>
      <c r="AI526" s="5">
        <v>490734.95</v>
      </c>
      <c r="AJ526" s="5">
        <v>194971.45</v>
      </c>
      <c r="AK526" s="5">
        <v>0</v>
      </c>
      <c r="AL526" s="5">
        <v>0.8</v>
      </c>
      <c r="AM526" s="5">
        <v>0</v>
      </c>
      <c r="AN526" s="5">
        <v>685707.2</v>
      </c>
      <c r="AO526" s="1" t="s">
        <v>1177</v>
      </c>
    </row>
    <row r="527" spans="1:41" x14ac:dyDescent="0.25">
      <c r="A527" s="1">
        <f t="shared" si="3"/>
        <v>511</v>
      </c>
      <c r="B527" s="1" t="s">
        <v>720</v>
      </c>
      <c r="C527" s="1" t="s">
        <v>122</v>
      </c>
      <c r="D527" s="1" t="s">
        <v>735</v>
      </c>
      <c r="E527" s="4">
        <v>45542</v>
      </c>
      <c r="F527" s="4">
        <v>45657</v>
      </c>
      <c r="H527" s="5">
        <v>142275.29</v>
      </c>
      <c r="I527" s="5">
        <v>10055.790000000001</v>
      </c>
      <c r="J527" s="5">
        <v>11550</v>
      </c>
      <c r="K527" s="5">
        <v>8251.7199999999993</v>
      </c>
      <c r="L527" s="5">
        <v>0</v>
      </c>
      <c r="M527" s="5">
        <v>29857.51</v>
      </c>
      <c r="N527" s="5">
        <v>112417.78</v>
      </c>
      <c r="O527" s="5">
        <v>0</v>
      </c>
      <c r="P527" s="5">
        <v>0</v>
      </c>
      <c r="Q527" s="5">
        <v>112417.78</v>
      </c>
      <c r="R527" s="1" t="s">
        <v>1162</v>
      </c>
      <c r="S527" s="1" t="s">
        <v>735</v>
      </c>
      <c r="T527" s="4">
        <v>45542</v>
      </c>
      <c r="U527" s="4">
        <v>45657</v>
      </c>
      <c r="W527" s="5">
        <v>340991.08</v>
      </c>
      <c r="X527" s="5">
        <v>24071.21</v>
      </c>
      <c r="Y527" s="5">
        <v>28050</v>
      </c>
      <c r="Z527" s="5">
        <v>20486.32</v>
      </c>
      <c r="AA527" s="5">
        <v>0</v>
      </c>
      <c r="AB527" s="5">
        <v>72607.53</v>
      </c>
      <c r="AC527" s="5">
        <v>268368.18</v>
      </c>
      <c r="AD527" s="5">
        <v>0</v>
      </c>
      <c r="AE527" s="5">
        <v>15.37</v>
      </c>
      <c r="AF527" s="5">
        <v>268383.55</v>
      </c>
      <c r="AG527" s="5">
        <v>380801.33</v>
      </c>
      <c r="AH527" s="5">
        <v>19620.2</v>
      </c>
      <c r="AI527" s="5">
        <v>13694.19</v>
      </c>
      <c r="AJ527" s="5">
        <v>5924.81</v>
      </c>
      <c r="AK527" s="5">
        <v>0</v>
      </c>
      <c r="AL527" s="5">
        <v>1.2</v>
      </c>
      <c r="AM527" s="5">
        <v>0</v>
      </c>
      <c r="AN527" s="5">
        <v>19620.2</v>
      </c>
      <c r="AO527" s="1" t="s">
        <v>1177</v>
      </c>
    </row>
    <row r="528" spans="1:41" x14ac:dyDescent="0.25">
      <c r="A528" s="1">
        <f t="shared" si="3"/>
        <v>512</v>
      </c>
      <c r="B528" s="1" t="s">
        <v>721</v>
      </c>
      <c r="C528" s="1" t="s">
        <v>122</v>
      </c>
      <c r="D528" s="1" t="s">
        <v>735</v>
      </c>
      <c r="E528" s="4">
        <v>45542</v>
      </c>
      <c r="F528" s="4">
        <v>45657</v>
      </c>
      <c r="H528" s="5">
        <v>1001000</v>
      </c>
      <c r="I528" s="5">
        <v>0</v>
      </c>
      <c r="J528" s="5">
        <v>10500</v>
      </c>
      <c r="K528" s="5">
        <v>13400</v>
      </c>
      <c r="L528" s="5">
        <v>0</v>
      </c>
      <c r="M528" s="5">
        <v>23900</v>
      </c>
      <c r="N528" s="5">
        <v>868600</v>
      </c>
      <c r="O528" s="5">
        <v>73500</v>
      </c>
      <c r="P528" s="5">
        <v>35000</v>
      </c>
      <c r="Q528" s="5">
        <v>977100</v>
      </c>
      <c r="R528" s="1" t="s">
        <v>1163</v>
      </c>
      <c r="S528" s="1" t="s">
        <v>735</v>
      </c>
      <c r="T528" s="4">
        <v>45542</v>
      </c>
      <c r="U528" s="4">
        <v>45657</v>
      </c>
      <c r="W528" s="5">
        <v>2385500</v>
      </c>
      <c r="X528" s="5">
        <v>90000</v>
      </c>
      <c r="Y528" s="5">
        <v>25500</v>
      </c>
      <c r="Z528" s="5">
        <v>35100</v>
      </c>
      <c r="AA528" s="5">
        <v>0</v>
      </c>
      <c r="AB528" s="5">
        <v>150600</v>
      </c>
      <c r="AC528" s="5">
        <v>2064900</v>
      </c>
      <c r="AD528" s="5">
        <v>85000</v>
      </c>
      <c r="AE528" s="5">
        <v>85000</v>
      </c>
      <c r="AF528" s="5">
        <v>2234900</v>
      </c>
      <c r="AG528" s="5">
        <v>3212000</v>
      </c>
      <c r="AH528" s="5">
        <v>766100</v>
      </c>
      <c r="AI528" s="5">
        <v>530573.6</v>
      </c>
      <c r="AJ528" s="5">
        <v>235525.6</v>
      </c>
      <c r="AK528" s="5">
        <v>0</v>
      </c>
      <c r="AL528" s="5">
        <v>0.8</v>
      </c>
      <c r="AM528" s="5">
        <v>0</v>
      </c>
      <c r="AN528" s="5">
        <v>766100</v>
      </c>
      <c r="AO528" s="1" t="s">
        <v>1177</v>
      </c>
    </row>
    <row r="529" spans="1:41" x14ac:dyDescent="0.25">
      <c r="A529" s="1">
        <f t="shared" si="3"/>
        <v>513</v>
      </c>
      <c r="B529" s="1" t="s">
        <v>722</v>
      </c>
      <c r="C529" s="1" t="s">
        <v>122</v>
      </c>
      <c r="D529" s="1" t="s">
        <v>735</v>
      </c>
      <c r="E529" s="4">
        <v>45542</v>
      </c>
      <c r="F529" s="4">
        <v>45657</v>
      </c>
      <c r="H529" s="5">
        <v>214184.14</v>
      </c>
      <c r="I529" s="5">
        <v>15470</v>
      </c>
      <c r="J529" s="5">
        <v>11550</v>
      </c>
      <c r="K529" s="5">
        <v>9448.5</v>
      </c>
      <c r="L529" s="5">
        <v>0</v>
      </c>
      <c r="M529" s="5">
        <v>36468.5</v>
      </c>
      <c r="N529" s="5">
        <v>176191.5</v>
      </c>
      <c r="O529" s="5">
        <v>0</v>
      </c>
      <c r="P529" s="5">
        <v>1524.14</v>
      </c>
      <c r="Q529" s="5">
        <v>177715.64</v>
      </c>
      <c r="R529" s="1" t="s">
        <v>1164</v>
      </c>
      <c r="S529" s="1" t="s">
        <v>735</v>
      </c>
      <c r="T529" s="4">
        <v>45542</v>
      </c>
      <c r="U529" s="4">
        <v>45657</v>
      </c>
      <c r="W529" s="5">
        <v>521400.52</v>
      </c>
      <c r="X529" s="5">
        <v>37266.67</v>
      </c>
      <c r="Y529" s="5">
        <v>28050</v>
      </c>
      <c r="Z529" s="5">
        <v>24872.5</v>
      </c>
      <c r="AA529" s="5">
        <v>0</v>
      </c>
      <c r="AB529" s="5">
        <v>90189.17</v>
      </c>
      <c r="AC529" s="5">
        <v>422327.5</v>
      </c>
      <c r="AD529" s="5">
        <v>0</v>
      </c>
      <c r="AE529" s="5">
        <v>8883.85</v>
      </c>
      <c r="AF529" s="5">
        <v>431211.35</v>
      </c>
      <c r="AG529" s="5">
        <v>608926.99</v>
      </c>
      <c r="AH529" s="5">
        <v>64285.4</v>
      </c>
      <c r="AI529" s="5">
        <v>45511.97</v>
      </c>
      <c r="AJ529" s="5">
        <v>18771.830000000002</v>
      </c>
      <c r="AK529" s="5">
        <v>0</v>
      </c>
      <c r="AL529" s="5">
        <v>1.6</v>
      </c>
      <c r="AM529" s="5">
        <v>0</v>
      </c>
      <c r="AN529" s="5">
        <v>64285.4</v>
      </c>
      <c r="AO529" s="1" t="s">
        <v>1177</v>
      </c>
    </row>
    <row r="530" spans="1:41" x14ac:dyDescent="0.25">
      <c r="A530" s="1">
        <f t="shared" si="3"/>
        <v>514</v>
      </c>
      <c r="B530" s="1" t="s">
        <v>723</v>
      </c>
      <c r="C530" s="1" t="s">
        <v>122</v>
      </c>
      <c r="D530" s="1" t="s">
        <v>735</v>
      </c>
      <c r="E530" s="4">
        <v>45542</v>
      </c>
      <c r="F530" s="4">
        <v>45657</v>
      </c>
      <c r="H530" s="5">
        <v>144978.75</v>
      </c>
      <c r="I530" s="5">
        <v>10263.75</v>
      </c>
      <c r="J530" s="5">
        <v>11550</v>
      </c>
      <c r="K530" s="5">
        <v>8291.6299999999992</v>
      </c>
      <c r="L530" s="5">
        <v>0</v>
      </c>
      <c r="M530" s="5">
        <v>30105.38</v>
      </c>
      <c r="N530" s="5">
        <v>114873.37</v>
      </c>
      <c r="O530" s="5">
        <v>0</v>
      </c>
      <c r="P530" s="5">
        <v>0</v>
      </c>
      <c r="Q530" s="5">
        <v>114873.37</v>
      </c>
      <c r="R530" s="1" t="s">
        <v>1165</v>
      </c>
      <c r="S530" s="1" t="s">
        <v>735</v>
      </c>
      <c r="T530" s="4">
        <v>45542</v>
      </c>
      <c r="U530" s="4">
        <v>45657</v>
      </c>
      <c r="W530" s="5">
        <v>352533.11</v>
      </c>
      <c r="X530" s="5">
        <v>24725</v>
      </c>
      <c r="Y530" s="5">
        <v>20000</v>
      </c>
      <c r="Z530" s="5">
        <v>20704.990000000002</v>
      </c>
      <c r="AA530" s="5">
        <v>10000</v>
      </c>
      <c r="AB530" s="5">
        <v>75429.990000000005</v>
      </c>
      <c r="AC530" s="5">
        <v>275995.01</v>
      </c>
      <c r="AD530" s="5">
        <v>0</v>
      </c>
      <c r="AE530" s="5">
        <v>1108.1099999999999</v>
      </c>
      <c r="AF530" s="5">
        <v>277103.12</v>
      </c>
      <c r="AG530" s="5">
        <v>391976.49</v>
      </c>
      <c r="AH530" s="5">
        <v>21296.47</v>
      </c>
      <c r="AI530" s="5">
        <v>15002.1</v>
      </c>
      <c r="AJ530" s="5">
        <v>6293.15</v>
      </c>
      <c r="AK530" s="5">
        <v>0</v>
      </c>
      <c r="AL530" s="5">
        <v>1.22</v>
      </c>
      <c r="AM530" s="5">
        <v>0</v>
      </c>
      <c r="AN530" s="5">
        <v>21296.47</v>
      </c>
      <c r="AO530" s="1" t="s">
        <v>1177</v>
      </c>
    </row>
    <row r="531" spans="1:41" x14ac:dyDescent="0.25">
      <c r="A531" s="1">
        <f t="shared" si="3"/>
        <v>515</v>
      </c>
      <c r="B531" s="1" t="s">
        <v>724</v>
      </c>
      <c r="C531" s="1" t="s">
        <v>122</v>
      </c>
      <c r="D531" s="1" t="s">
        <v>735</v>
      </c>
      <c r="E531" s="4">
        <v>45542</v>
      </c>
      <c r="F531" s="4">
        <v>45657</v>
      </c>
      <c r="H531" s="5">
        <v>325120.83</v>
      </c>
      <c r="I531" s="5">
        <v>24120.83</v>
      </c>
      <c r="J531" s="5">
        <v>11550</v>
      </c>
      <c r="K531" s="5">
        <v>11886.25</v>
      </c>
      <c r="L531" s="5">
        <v>0</v>
      </c>
      <c r="M531" s="5">
        <v>47557.08</v>
      </c>
      <c r="N531" s="5">
        <v>277563.75</v>
      </c>
      <c r="O531" s="5">
        <v>0</v>
      </c>
      <c r="P531" s="5">
        <v>0</v>
      </c>
      <c r="Q531" s="5">
        <v>277563.75</v>
      </c>
      <c r="R531" s="1" t="s">
        <v>1166</v>
      </c>
      <c r="S531" s="1" t="s">
        <v>735</v>
      </c>
      <c r="T531" s="4">
        <v>45542</v>
      </c>
      <c r="U531" s="4">
        <v>45657</v>
      </c>
      <c r="W531" s="5">
        <v>809516.83</v>
      </c>
      <c r="X531" s="5">
        <v>58579.17</v>
      </c>
      <c r="Y531" s="5">
        <v>28050</v>
      </c>
      <c r="Z531" s="5">
        <v>31423.75</v>
      </c>
      <c r="AA531" s="5">
        <v>0</v>
      </c>
      <c r="AB531" s="5">
        <v>118052.92</v>
      </c>
      <c r="AC531" s="5">
        <v>671526.25</v>
      </c>
      <c r="AD531" s="5">
        <v>0</v>
      </c>
      <c r="AE531" s="5">
        <v>19937.66</v>
      </c>
      <c r="AF531" s="5">
        <v>691463.91</v>
      </c>
      <c r="AG531" s="5">
        <v>969027.66</v>
      </c>
      <c r="AH531" s="5">
        <v>144756.92000000001</v>
      </c>
      <c r="AI531" s="5">
        <v>104400.42</v>
      </c>
      <c r="AJ531" s="5">
        <v>41056.639999999999</v>
      </c>
      <c r="AK531" s="5">
        <v>0</v>
      </c>
      <c r="AL531" s="5">
        <v>0</v>
      </c>
      <c r="AM531" s="5">
        <v>700.14</v>
      </c>
      <c r="AN531" s="5">
        <v>144756.92000000001</v>
      </c>
      <c r="AO531" s="1" t="s">
        <v>1177</v>
      </c>
    </row>
    <row r="532" spans="1:41" x14ac:dyDescent="0.25">
      <c r="A532" s="1">
        <f t="shared" si="3"/>
        <v>516</v>
      </c>
      <c r="B532" s="1" t="s">
        <v>725</v>
      </c>
      <c r="C532" s="1" t="s">
        <v>122</v>
      </c>
      <c r="D532" s="1" t="s">
        <v>735</v>
      </c>
      <c r="E532" s="4">
        <v>45542</v>
      </c>
      <c r="F532" s="4">
        <v>45657</v>
      </c>
      <c r="H532" s="5">
        <v>265033.53000000003</v>
      </c>
      <c r="I532" s="5">
        <v>19498.73</v>
      </c>
      <c r="J532" s="5">
        <v>11550</v>
      </c>
      <c r="K532" s="5">
        <v>10499.62</v>
      </c>
      <c r="L532" s="5">
        <v>0</v>
      </c>
      <c r="M532" s="5">
        <v>41548.35</v>
      </c>
      <c r="N532" s="5">
        <v>223485.18</v>
      </c>
      <c r="O532" s="5">
        <v>0</v>
      </c>
      <c r="P532" s="5">
        <v>0</v>
      </c>
      <c r="Q532" s="5">
        <v>223485.18</v>
      </c>
      <c r="R532" s="1" t="s">
        <v>1167</v>
      </c>
      <c r="S532" s="1" t="s">
        <v>735</v>
      </c>
      <c r="T532" s="4">
        <v>45542</v>
      </c>
      <c r="U532" s="4">
        <v>45657</v>
      </c>
      <c r="W532" s="5">
        <v>615278.9</v>
      </c>
      <c r="X532" s="5">
        <v>45036.22</v>
      </c>
      <c r="Y532" s="5">
        <v>28050</v>
      </c>
      <c r="Z532" s="5">
        <v>27429.47</v>
      </c>
      <c r="AA532" s="5">
        <v>1600</v>
      </c>
      <c r="AB532" s="5">
        <v>102115.69</v>
      </c>
      <c r="AC532" s="5">
        <v>513005.16</v>
      </c>
      <c r="AD532" s="5">
        <v>0</v>
      </c>
      <c r="AE532" s="5">
        <v>158.05000000000001</v>
      </c>
      <c r="AF532" s="5">
        <v>513163.21</v>
      </c>
      <c r="AG532" s="5">
        <v>736648.39</v>
      </c>
      <c r="AH532" s="5">
        <v>89829.68</v>
      </c>
      <c r="AI532" s="5">
        <v>61902.35</v>
      </c>
      <c r="AJ532" s="5">
        <v>27925.75</v>
      </c>
      <c r="AK532" s="5">
        <v>0</v>
      </c>
      <c r="AL532" s="5">
        <v>1.58</v>
      </c>
      <c r="AM532" s="5">
        <v>0</v>
      </c>
      <c r="AN532" s="5">
        <v>89829.68</v>
      </c>
      <c r="AO532" s="1" t="s">
        <v>1177</v>
      </c>
    </row>
    <row r="533" spans="1:41" x14ac:dyDescent="0.25">
      <c r="A533" s="1">
        <f t="shared" si="3"/>
        <v>517</v>
      </c>
      <c r="B533" s="1" t="s">
        <v>726</v>
      </c>
      <c r="C533" s="1" t="s">
        <v>122</v>
      </c>
      <c r="D533" s="1" t="s">
        <v>735</v>
      </c>
      <c r="E533" s="4">
        <v>45542</v>
      </c>
      <c r="F533" s="4">
        <v>45657</v>
      </c>
      <c r="H533" s="5">
        <v>1015042.88</v>
      </c>
      <c r="I533" s="5">
        <v>0</v>
      </c>
      <c r="J533" s="5">
        <v>14000</v>
      </c>
      <c r="K533" s="5">
        <v>13400</v>
      </c>
      <c r="L533" s="5">
        <v>0</v>
      </c>
      <c r="M533" s="5">
        <v>27400</v>
      </c>
      <c r="N533" s="5">
        <v>880217.99</v>
      </c>
      <c r="O533" s="5">
        <v>72424.89</v>
      </c>
      <c r="P533" s="5">
        <v>35000</v>
      </c>
      <c r="Q533" s="5">
        <v>987642.88</v>
      </c>
      <c r="R533" s="1" t="s">
        <v>1168</v>
      </c>
      <c r="S533" s="1" t="s">
        <v>735</v>
      </c>
      <c r="T533" s="4">
        <v>45542</v>
      </c>
      <c r="U533" s="4">
        <v>45657</v>
      </c>
      <c r="W533" s="5">
        <v>2385338.65</v>
      </c>
      <c r="X533" s="5">
        <v>90000</v>
      </c>
      <c r="Y533" s="5">
        <v>34000</v>
      </c>
      <c r="Z533" s="5">
        <v>35100</v>
      </c>
      <c r="AA533" s="5">
        <v>20000</v>
      </c>
      <c r="AB533" s="5">
        <v>179100</v>
      </c>
      <c r="AC533" s="5">
        <v>1886962.51</v>
      </c>
      <c r="AD533" s="5">
        <v>234276.14</v>
      </c>
      <c r="AE533" s="5">
        <v>85000</v>
      </c>
      <c r="AF533" s="5">
        <v>2206238.65</v>
      </c>
      <c r="AG533" s="5">
        <v>3193881.53</v>
      </c>
      <c r="AH533" s="5">
        <v>760664.46</v>
      </c>
      <c r="AI533" s="5">
        <v>521975.19</v>
      </c>
      <c r="AJ533" s="5">
        <v>238688.47</v>
      </c>
      <c r="AK533" s="5">
        <v>0</v>
      </c>
      <c r="AL533" s="5">
        <v>0.8</v>
      </c>
      <c r="AM533" s="5">
        <v>0</v>
      </c>
      <c r="AN533" s="5">
        <v>760664.46</v>
      </c>
      <c r="AO533" s="1" t="s">
        <v>1177</v>
      </c>
    </row>
    <row r="534" spans="1:41" x14ac:dyDescent="0.25">
      <c r="A534" s="1">
        <f t="shared" si="3"/>
        <v>518</v>
      </c>
      <c r="B534" s="1" t="s">
        <v>727</v>
      </c>
      <c r="C534" s="1" t="s">
        <v>122</v>
      </c>
      <c r="D534" s="1" t="s">
        <v>735</v>
      </c>
      <c r="E534" s="4">
        <v>45542</v>
      </c>
      <c r="F534" s="4">
        <v>45657</v>
      </c>
      <c r="H534" s="5">
        <v>420886.2</v>
      </c>
      <c r="I534" s="5">
        <v>14148</v>
      </c>
      <c r="J534" s="5">
        <v>11550</v>
      </c>
      <c r="K534" s="5">
        <v>13400</v>
      </c>
      <c r="L534" s="5">
        <v>0</v>
      </c>
      <c r="M534" s="5">
        <v>39098</v>
      </c>
      <c r="N534" s="5">
        <v>364448.8</v>
      </c>
      <c r="O534" s="5">
        <v>17339.400000000001</v>
      </c>
      <c r="P534" s="5">
        <v>0</v>
      </c>
      <c r="Q534" s="5">
        <v>381788.2</v>
      </c>
      <c r="R534" s="1" t="s">
        <v>1169</v>
      </c>
      <c r="S534" s="1" t="s">
        <v>735</v>
      </c>
      <c r="T534" s="4">
        <v>45542</v>
      </c>
      <c r="U534" s="4">
        <v>45657</v>
      </c>
      <c r="W534" s="5">
        <v>1014126</v>
      </c>
      <c r="X534" s="5">
        <v>75852</v>
      </c>
      <c r="Y534" s="5">
        <v>28050</v>
      </c>
      <c r="Z534" s="5">
        <v>35100</v>
      </c>
      <c r="AA534" s="5">
        <v>0</v>
      </c>
      <c r="AB534" s="5">
        <v>139002</v>
      </c>
      <c r="AC534" s="5">
        <v>875124</v>
      </c>
      <c r="AD534" s="5">
        <v>0</v>
      </c>
      <c r="AE534" s="5">
        <v>0</v>
      </c>
      <c r="AF534" s="5">
        <v>875124</v>
      </c>
      <c r="AG534" s="5">
        <v>1256912.2</v>
      </c>
      <c r="AH534" s="5">
        <v>216728.05</v>
      </c>
      <c r="AI534" s="5">
        <v>149717.65</v>
      </c>
      <c r="AJ534" s="5">
        <v>67009.2</v>
      </c>
      <c r="AK534" s="5">
        <v>0</v>
      </c>
      <c r="AL534" s="5">
        <v>1.2</v>
      </c>
      <c r="AM534" s="5">
        <v>0</v>
      </c>
      <c r="AN534" s="5">
        <v>216728.05</v>
      </c>
      <c r="AO534" s="1" t="s">
        <v>1177</v>
      </c>
    </row>
    <row r="535" spans="1:41" x14ac:dyDescent="0.25">
      <c r="A535" s="1">
        <f t="shared" si="3"/>
        <v>519</v>
      </c>
      <c r="B535" s="1" t="s">
        <v>728</v>
      </c>
      <c r="C535" s="1" t="s">
        <v>122</v>
      </c>
      <c r="D535" s="1" t="s">
        <v>735</v>
      </c>
      <c r="E535" s="4">
        <v>45542</v>
      </c>
      <c r="F535" s="4">
        <v>45657</v>
      </c>
      <c r="H535" s="5">
        <v>562520</v>
      </c>
      <c r="I535" s="5">
        <v>0</v>
      </c>
      <c r="J535" s="5">
        <v>7000</v>
      </c>
      <c r="K535" s="5">
        <v>13400</v>
      </c>
      <c r="L535" s="5">
        <v>0</v>
      </c>
      <c r="M535" s="5">
        <v>20400</v>
      </c>
      <c r="N535" s="5">
        <v>467080</v>
      </c>
      <c r="O535" s="5">
        <v>40040</v>
      </c>
      <c r="P535" s="5">
        <v>35000</v>
      </c>
      <c r="Q535" s="5">
        <v>542120</v>
      </c>
      <c r="R535" s="1" t="s">
        <v>1170</v>
      </c>
      <c r="S535" s="1" t="s">
        <v>735</v>
      </c>
      <c r="T535" s="4">
        <v>45542</v>
      </c>
      <c r="U535" s="4">
        <v>45657</v>
      </c>
      <c r="W535" s="5">
        <v>872630.66</v>
      </c>
      <c r="X535" s="5">
        <v>90000</v>
      </c>
      <c r="Y535" s="5">
        <v>11000</v>
      </c>
      <c r="Z535" s="5">
        <v>24300</v>
      </c>
      <c r="AA535" s="5">
        <v>10000</v>
      </c>
      <c r="AB535" s="5">
        <v>135300</v>
      </c>
      <c r="AC535" s="5">
        <v>680701.38</v>
      </c>
      <c r="AD535" s="5">
        <v>1629.28</v>
      </c>
      <c r="AE535" s="5">
        <v>55000</v>
      </c>
      <c r="AF535" s="5">
        <v>737330.66</v>
      </c>
      <c r="AG535" s="5">
        <v>1279450.6599999999</v>
      </c>
      <c r="AH535" s="5">
        <v>222362.67</v>
      </c>
      <c r="AI535" s="5">
        <v>139644.62</v>
      </c>
      <c r="AJ535" s="5">
        <v>107092.15</v>
      </c>
      <c r="AK535" s="5">
        <v>0</v>
      </c>
      <c r="AL535" s="5">
        <v>0</v>
      </c>
      <c r="AM535" s="5">
        <v>24374.11</v>
      </c>
      <c r="AN535" s="5">
        <v>222362.67</v>
      </c>
      <c r="AO535" s="1" t="s">
        <v>1177</v>
      </c>
    </row>
    <row r="536" spans="1:41" x14ac:dyDescent="0.25">
      <c r="A536" s="1">
        <f t="shared" si="3"/>
        <v>520</v>
      </c>
      <c r="B536" s="1" t="s">
        <v>729</v>
      </c>
      <c r="C536" s="1" t="s">
        <v>122</v>
      </c>
      <c r="D536" s="1" t="s">
        <v>735</v>
      </c>
      <c r="E536" s="4">
        <v>45542</v>
      </c>
      <c r="F536" s="4">
        <v>45657</v>
      </c>
      <c r="H536" s="5">
        <v>626766</v>
      </c>
      <c r="I536" s="5">
        <v>0</v>
      </c>
      <c r="J536" s="5">
        <v>7000</v>
      </c>
      <c r="K536" s="5">
        <v>13400</v>
      </c>
      <c r="L536" s="5">
        <v>0</v>
      </c>
      <c r="M536" s="5">
        <v>20400</v>
      </c>
      <c r="N536" s="5">
        <v>526384</v>
      </c>
      <c r="O536" s="5">
        <v>44982</v>
      </c>
      <c r="P536" s="5">
        <v>35000</v>
      </c>
      <c r="Q536" s="5">
        <v>606366</v>
      </c>
      <c r="R536" s="1" t="s">
        <v>1171</v>
      </c>
      <c r="S536" s="1" t="s">
        <v>735</v>
      </c>
      <c r="T536" s="4">
        <v>45542</v>
      </c>
      <c r="U536" s="4">
        <v>45657</v>
      </c>
      <c r="W536" s="5">
        <v>1520680</v>
      </c>
      <c r="X536" s="5">
        <v>90000</v>
      </c>
      <c r="Y536" s="5">
        <v>17000</v>
      </c>
      <c r="Z536" s="5">
        <v>35100</v>
      </c>
      <c r="AA536" s="5">
        <v>10000</v>
      </c>
      <c r="AB536" s="5">
        <v>152100</v>
      </c>
      <c r="AC536" s="5">
        <v>1265220</v>
      </c>
      <c r="AD536" s="5">
        <v>18360</v>
      </c>
      <c r="AE536" s="5">
        <v>85000</v>
      </c>
      <c r="AF536" s="5">
        <v>1368580</v>
      </c>
      <c r="AG536" s="5">
        <v>1974946</v>
      </c>
      <c r="AH536" s="5">
        <v>396236.5</v>
      </c>
      <c r="AI536" s="5">
        <v>273228.19</v>
      </c>
      <c r="AJ536" s="5">
        <v>123384.64</v>
      </c>
      <c r="AK536" s="5">
        <v>0</v>
      </c>
      <c r="AL536" s="5">
        <v>0</v>
      </c>
      <c r="AM536" s="5">
        <v>376.33</v>
      </c>
      <c r="AN536" s="5">
        <v>396236.5</v>
      </c>
      <c r="AO536" s="1" t="s">
        <v>1177</v>
      </c>
    </row>
    <row r="537" spans="1:41" x14ac:dyDescent="0.25">
      <c r="A537" s="1">
        <f t="shared" si="3"/>
        <v>521</v>
      </c>
      <c r="B537" s="1" t="s">
        <v>730</v>
      </c>
      <c r="C537" s="1" t="s">
        <v>122</v>
      </c>
      <c r="D537" s="1" t="s">
        <v>735</v>
      </c>
      <c r="E537" s="4">
        <v>45542</v>
      </c>
      <c r="F537" s="4">
        <v>45657</v>
      </c>
      <c r="H537" s="5">
        <v>732949.35</v>
      </c>
      <c r="I537" s="5">
        <v>0</v>
      </c>
      <c r="J537" s="5">
        <v>7000</v>
      </c>
      <c r="K537" s="5">
        <v>13400</v>
      </c>
      <c r="L537" s="5">
        <v>0</v>
      </c>
      <c r="M537" s="5">
        <v>20400</v>
      </c>
      <c r="N537" s="5">
        <v>624399.4</v>
      </c>
      <c r="O537" s="5">
        <v>53149.95</v>
      </c>
      <c r="P537" s="5">
        <v>35000</v>
      </c>
      <c r="Q537" s="5">
        <v>712549.35</v>
      </c>
      <c r="R537" s="1" t="s">
        <v>1172</v>
      </c>
      <c r="S537" s="1" t="s">
        <v>735</v>
      </c>
      <c r="T537" s="4">
        <v>45542</v>
      </c>
      <c r="U537" s="4">
        <v>45657</v>
      </c>
      <c r="W537" s="5">
        <v>1728838.42</v>
      </c>
      <c r="X537" s="5">
        <v>90000</v>
      </c>
      <c r="Y537" s="5">
        <v>17000</v>
      </c>
      <c r="Z537" s="5">
        <v>35100</v>
      </c>
      <c r="AA537" s="5">
        <v>0</v>
      </c>
      <c r="AB537" s="5">
        <v>142100</v>
      </c>
      <c r="AC537" s="5">
        <v>1466597</v>
      </c>
      <c r="AD537" s="5">
        <v>35141.42</v>
      </c>
      <c r="AE537" s="5">
        <v>85000</v>
      </c>
      <c r="AF537" s="5">
        <v>1586738.42</v>
      </c>
      <c r="AG537" s="5">
        <v>2299287.77</v>
      </c>
      <c r="AH537" s="5">
        <v>492286.33</v>
      </c>
      <c r="AI537" s="5">
        <v>336125.13</v>
      </c>
      <c r="AJ537" s="5">
        <v>156160.41</v>
      </c>
      <c r="AK537" s="5">
        <v>0</v>
      </c>
      <c r="AL537" s="5">
        <v>0.8</v>
      </c>
      <c r="AM537" s="5">
        <v>0</v>
      </c>
      <c r="AN537" s="5">
        <v>492286.33</v>
      </c>
      <c r="AO537" s="1" t="s">
        <v>1177</v>
      </c>
    </row>
    <row r="538" spans="1:41" x14ac:dyDescent="0.25">
      <c r="A538" s="1">
        <f t="shared" si="3"/>
        <v>522</v>
      </c>
      <c r="B538" s="1" t="s">
        <v>731</v>
      </c>
      <c r="C538" s="1" t="s">
        <v>122</v>
      </c>
      <c r="D538" s="1" t="s">
        <v>735</v>
      </c>
      <c r="E538" s="4">
        <v>45542</v>
      </c>
      <c r="F538" s="4">
        <v>45657</v>
      </c>
      <c r="H538" s="5">
        <v>375398.33</v>
      </c>
      <c r="I538" s="5">
        <v>22600</v>
      </c>
      <c r="J538" s="5">
        <v>11550</v>
      </c>
      <c r="K538" s="5">
        <v>13046.5</v>
      </c>
      <c r="L538" s="5">
        <v>0</v>
      </c>
      <c r="M538" s="5">
        <v>47196.5</v>
      </c>
      <c r="N538" s="5">
        <v>322813.5</v>
      </c>
      <c r="O538" s="5">
        <v>5388.33</v>
      </c>
      <c r="P538" s="5">
        <v>0</v>
      </c>
      <c r="Q538" s="5">
        <v>328201.83</v>
      </c>
      <c r="R538" s="1" t="s">
        <v>1173</v>
      </c>
      <c r="S538" s="1" t="s">
        <v>735</v>
      </c>
      <c r="T538" s="4">
        <v>45542</v>
      </c>
      <c r="U538" s="4">
        <v>45657</v>
      </c>
      <c r="W538" s="5">
        <v>920875.83</v>
      </c>
      <c r="X538" s="5">
        <v>67400</v>
      </c>
      <c r="Y538" s="5">
        <v>21750</v>
      </c>
      <c r="Z538" s="5">
        <v>34070</v>
      </c>
      <c r="AA538" s="5">
        <v>0</v>
      </c>
      <c r="AB538" s="5">
        <v>123220</v>
      </c>
      <c r="AC538" s="5">
        <v>774730</v>
      </c>
      <c r="AD538" s="5">
        <v>0</v>
      </c>
      <c r="AE538" s="5">
        <v>22925.83</v>
      </c>
      <c r="AF538" s="5">
        <v>797655.83</v>
      </c>
      <c r="AG538" s="5">
        <v>1125857.6599999999</v>
      </c>
      <c r="AH538" s="5">
        <v>183964.42</v>
      </c>
      <c r="AI538" s="5">
        <v>131043.38</v>
      </c>
      <c r="AJ538" s="5">
        <v>53612.59</v>
      </c>
      <c r="AK538" s="5">
        <v>0</v>
      </c>
      <c r="AL538" s="5">
        <v>0</v>
      </c>
      <c r="AM538" s="5">
        <v>691.56</v>
      </c>
      <c r="AN538" s="5">
        <v>183964.42</v>
      </c>
      <c r="AO538" s="1" t="s">
        <v>1177</v>
      </c>
    </row>
    <row r="539" spans="1:41" x14ac:dyDescent="0.25">
      <c r="A539" s="1">
        <f t="shared" si="3"/>
        <v>523</v>
      </c>
      <c r="B539" s="1" t="s">
        <v>732</v>
      </c>
      <c r="C539" s="1" t="s">
        <v>122</v>
      </c>
      <c r="D539" s="1" t="s">
        <v>735</v>
      </c>
      <c r="E539" s="4">
        <v>45542</v>
      </c>
      <c r="F539" s="4">
        <v>45657</v>
      </c>
      <c r="H539" s="5">
        <v>148058.62</v>
      </c>
      <c r="I539" s="5">
        <v>10500</v>
      </c>
      <c r="J539" s="5">
        <v>11550</v>
      </c>
      <c r="K539" s="5">
        <v>8340</v>
      </c>
      <c r="L539" s="5">
        <v>0</v>
      </c>
      <c r="M539" s="5">
        <v>30390</v>
      </c>
      <c r="N539" s="5">
        <v>117660</v>
      </c>
      <c r="O539" s="5">
        <v>0</v>
      </c>
      <c r="P539" s="5">
        <v>8.6199999999999992</v>
      </c>
      <c r="Q539" s="5">
        <v>117668.62</v>
      </c>
      <c r="R539" s="1" t="s">
        <v>1174</v>
      </c>
      <c r="S539" s="1" t="s">
        <v>735</v>
      </c>
      <c r="T539" s="4">
        <v>45542</v>
      </c>
      <c r="U539" s="4">
        <v>45657</v>
      </c>
      <c r="W539" s="5">
        <v>325293.78999999998</v>
      </c>
      <c r="X539" s="5">
        <v>23750</v>
      </c>
      <c r="Y539" s="5">
        <v>16500</v>
      </c>
      <c r="Z539" s="5">
        <v>20435</v>
      </c>
      <c r="AA539" s="5">
        <v>0</v>
      </c>
      <c r="AB539" s="5">
        <v>60685</v>
      </c>
      <c r="AC539" s="5">
        <v>264565</v>
      </c>
      <c r="AD539" s="5">
        <v>0</v>
      </c>
      <c r="AE539" s="5">
        <v>43.79</v>
      </c>
      <c r="AF539" s="5">
        <v>264608.78999999998</v>
      </c>
      <c r="AG539" s="5">
        <v>382277.41</v>
      </c>
      <c r="AH539" s="5">
        <v>19841.61</v>
      </c>
      <c r="AI539" s="5">
        <v>13208.04</v>
      </c>
      <c r="AJ539" s="5">
        <v>6778.18</v>
      </c>
      <c r="AK539" s="5">
        <v>0</v>
      </c>
      <c r="AL539" s="5">
        <v>0</v>
      </c>
      <c r="AM539" s="5">
        <v>144.61000000000001</v>
      </c>
      <c r="AN539" s="5">
        <v>19841.61</v>
      </c>
      <c r="AO539" s="1" t="s">
        <v>1177</v>
      </c>
    </row>
    <row r="540" spans="1:41" x14ac:dyDescent="0.25">
      <c r="A540" s="1">
        <f t="shared" si="3"/>
        <v>524</v>
      </c>
      <c r="B540" s="1" t="s">
        <v>733</v>
      </c>
      <c r="C540" s="1" t="s">
        <v>122</v>
      </c>
      <c r="D540" s="1" t="s">
        <v>735</v>
      </c>
      <c r="E540" s="4">
        <v>45542</v>
      </c>
      <c r="F540" s="4">
        <v>45657</v>
      </c>
      <c r="H540" s="5">
        <v>202006.11</v>
      </c>
      <c r="I540" s="5">
        <v>14641.67</v>
      </c>
      <c r="J540" s="5">
        <v>11550</v>
      </c>
      <c r="K540" s="5">
        <v>9267.5</v>
      </c>
      <c r="L540" s="5">
        <v>0</v>
      </c>
      <c r="M540" s="5">
        <v>35459.17</v>
      </c>
      <c r="N540" s="5">
        <v>166432.5</v>
      </c>
      <c r="O540" s="5">
        <v>0</v>
      </c>
      <c r="P540" s="5">
        <v>114.44</v>
      </c>
      <c r="Q540" s="5">
        <v>166546.94</v>
      </c>
      <c r="R540" s="1" t="s">
        <v>1175</v>
      </c>
      <c r="S540" s="1" t="s">
        <v>735</v>
      </c>
      <c r="T540" s="4">
        <v>45542</v>
      </c>
      <c r="U540" s="4">
        <v>45657</v>
      </c>
      <c r="W540" s="5">
        <v>483266.83</v>
      </c>
      <c r="X540" s="5">
        <v>35500</v>
      </c>
      <c r="Y540" s="5">
        <v>21750</v>
      </c>
      <c r="Z540" s="5">
        <v>24275</v>
      </c>
      <c r="AA540" s="5">
        <v>0</v>
      </c>
      <c r="AB540" s="5">
        <v>81525</v>
      </c>
      <c r="AC540" s="5">
        <v>401725</v>
      </c>
      <c r="AD540" s="5">
        <v>0</v>
      </c>
      <c r="AE540" s="5">
        <v>16.829999999999998</v>
      </c>
      <c r="AF540" s="5">
        <v>401741.83</v>
      </c>
      <c r="AG540" s="5">
        <v>568288.77</v>
      </c>
      <c r="AH540" s="5">
        <v>56157.75</v>
      </c>
      <c r="AI540" s="5">
        <v>39618.06</v>
      </c>
      <c r="AJ540" s="5">
        <v>16538.09</v>
      </c>
      <c r="AK540" s="5">
        <v>0</v>
      </c>
      <c r="AL540" s="5">
        <v>1.6</v>
      </c>
      <c r="AM540" s="5">
        <v>0</v>
      </c>
      <c r="AN540" s="5">
        <v>56157.75</v>
      </c>
      <c r="AO540" s="1" t="s">
        <v>1177</v>
      </c>
    </row>
    <row r="541" spans="1:41" x14ac:dyDescent="0.25">
      <c r="A541" s="1">
        <f t="shared" si="3"/>
        <v>525</v>
      </c>
      <c r="B541" s="1" t="s">
        <v>734</v>
      </c>
      <c r="C541" s="1" t="s">
        <v>122</v>
      </c>
      <c r="D541" s="1" t="s">
        <v>735</v>
      </c>
      <c r="E541" s="4">
        <v>45542</v>
      </c>
      <c r="F541" s="4">
        <v>45657</v>
      </c>
      <c r="H541" s="5">
        <v>762416.67</v>
      </c>
      <c r="I541" s="5">
        <v>0</v>
      </c>
      <c r="J541" s="5">
        <v>7000</v>
      </c>
      <c r="K541" s="5">
        <v>13400</v>
      </c>
      <c r="L541" s="5">
        <v>0</v>
      </c>
      <c r="M541" s="5">
        <v>20400</v>
      </c>
      <c r="N541" s="5">
        <v>651600</v>
      </c>
      <c r="O541" s="5">
        <v>55416.67</v>
      </c>
      <c r="P541" s="5">
        <v>35000</v>
      </c>
      <c r="Q541" s="5">
        <v>742016.67</v>
      </c>
      <c r="R541" s="1" t="s">
        <v>1176</v>
      </c>
      <c r="S541" s="1" t="s">
        <v>735</v>
      </c>
      <c r="T541" s="4">
        <v>45542</v>
      </c>
      <c r="U541" s="4">
        <v>45657</v>
      </c>
      <c r="W541" s="5">
        <v>1851583.33</v>
      </c>
      <c r="X541" s="5">
        <v>90000</v>
      </c>
      <c r="Y541" s="5">
        <v>17000</v>
      </c>
      <c r="Z541" s="5">
        <v>35100</v>
      </c>
      <c r="AA541" s="5">
        <v>0</v>
      </c>
      <c r="AB541" s="5">
        <v>142100</v>
      </c>
      <c r="AC541" s="5">
        <v>1579900</v>
      </c>
      <c r="AD541" s="5">
        <v>44583.33</v>
      </c>
      <c r="AE541" s="5">
        <v>85000</v>
      </c>
      <c r="AF541" s="5">
        <v>1709483.33</v>
      </c>
      <c r="AG541" s="5">
        <v>2451500</v>
      </c>
      <c r="AH541" s="5">
        <v>537950</v>
      </c>
      <c r="AI541" s="5">
        <v>372948.6</v>
      </c>
      <c r="AJ541" s="5">
        <v>165000.6</v>
      </c>
      <c r="AK541" s="5">
        <v>0</v>
      </c>
      <c r="AL541" s="5">
        <v>0.8</v>
      </c>
      <c r="AM541" s="5">
        <v>0</v>
      </c>
      <c r="AN541" s="5">
        <v>537950</v>
      </c>
      <c r="AO541" s="1" t="s">
        <v>1177</v>
      </c>
    </row>
    <row r="542" spans="1:41" x14ac:dyDescent="0.25">
      <c r="H542" s="3" t="s">
        <v>289</v>
      </c>
      <c r="I542" s="3" t="s">
        <v>289</v>
      </c>
      <c r="J542" s="3" t="s">
        <v>289</v>
      </c>
      <c r="K542" s="3" t="s">
        <v>289</v>
      </c>
      <c r="L542" s="3" t="s">
        <v>289</v>
      </c>
      <c r="M542" s="3" t="s">
        <v>289</v>
      </c>
      <c r="N542" s="3" t="s">
        <v>289</v>
      </c>
      <c r="O542" s="3" t="s">
        <v>289</v>
      </c>
      <c r="P542" s="3" t="s">
        <v>289</v>
      </c>
      <c r="Q542" s="3" t="s">
        <v>289</v>
      </c>
      <c r="W542" s="3" t="s">
        <v>289</v>
      </c>
      <c r="X542" s="3" t="s">
        <v>289</v>
      </c>
      <c r="Y542" s="3" t="s">
        <v>289</v>
      </c>
      <c r="Z542" s="3" t="s">
        <v>289</v>
      </c>
      <c r="AA542" s="3" t="s">
        <v>289</v>
      </c>
      <c r="AB542" s="3" t="s">
        <v>289</v>
      </c>
      <c r="AC542" s="3" t="s">
        <v>289</v>
      </c>
      <c r="AD542" s="3" t="s">
        <v>289</v>
      </c>
      <c r="AE542" s="3" t="s">
        <v>289</v>
      </c>
      <c r="AF542" s="3" t="s">
        <v>289</v>
      </c>
      <c r="AG542" s="3" t="s">
        <v>289</v>
      </c>
      <c r="AH542" s="3" t="s">
        <v>289</v>
      </c>
      <c r="AI542" s="3" t="s">
        <v>289</v>
      </c>
      <c r="AJ542" s="3" t="s">
        <v>289</v>
      </c>
      <c r="AK542" s="3" t="s">
        <v>289</v>
      </c>
      <c r="AL542" s="3" t="s">
        <v>289</v>
      </c>
      <c r="AM542" s="3" t="s">
        <v>289</v>
      </c>
      <c r="AN542" s="3" t="s">
        <v>289</v>
      </c>
    </row>
    <row r="543" spans="1:41" x14ac:dyDescent="0.25">
      <c r="A543" s="2" t="s">
        <v>287</v>
      </c>
      <c r="H543" s="6">
        <f t="shared" ref="H543:Q543" si="10">SUBTOTAL(9,H17:H541)</f>
        <v>350735356.69000006</v>
      </c>
      <c r="I543" s="6">
        <f t="shared" si="10"/>
        <v>17982111.72000001</v>
      </c>
      <c r="J543" s="6">
        <f t="shared" si="10"/>
        <v>11470579.24</v>
      </c>
      <c r="K543" s="6">
        <f t="shared" si="10"/>
        <v>12338116.839999989</v>
      </c>
      <c r="L543" s="6">
        <f t="shared" si="10"/>
        <v>931948.53</v>
      </c>
      <c r="M543" s="6">
        <f t="shared" si="10"/>
        <v>42722756.330000006</v>
      </c>
      <c r="N543" s="6">
        <f t="shared" si="10"/>
        <v>265353736.31999984</v>
      </c>
      <c r="O543" s="6">
        <f t="shared" si="10"/>
        <v>5173166.0900000008</v>
      </c>
      <c r="P543" s="6">
        <f t="shared" si="10"/>
        <v>37485697.950000003</v>
      </c>
      <c r="Q543" s="6">
        <f t="shared" si="10"/>
        <v>308012600.35999984</v>
      </c>
      <c r="W543" s="6">
        <f>SUBTOTAL(9,W17:W541)</f>
        <v>42891304.11999999</v>
      </c>
      <c r="X543" s="6">
        <f t="shared" ref="X543:AN543" si="11">SUBTOTAL(9,X17:X541)</f>
        <v>2162025.71</v>
      </c>
      <c r="Y543" s="6">
        <f t="shared" si="11"/>
        <v>719214.34</v>
      </c>
      <c r="Z543" s="6">
        <f t="shared" si="11"/>
        <v>957015.78999999992</v>
      </c>
      <c r="AA543" s="6">
        <f t="shared" si="11"/>
        <v>236050.77</v>
      </c>
      <c r="AB543" s="6">
        <f t="shared" si="11"/>
        <v>4074306.61</v>
      </c>
      <c r="AC543" s="6">
        <f t="shared" si="11"/>
        <v>34871206.290000007</v>
      </c>
      <c r="AD543" s="6">
        <f t="shared" si="11"/>
        <v>1211661.82</v>
      </c>
      <c r="AE543" s="6">
        <f t="shared" si="11"/>
        <v>2734129.4000000004</v>
      </c>
      <c r="AF543" s="6">
        <f t="shared" si="11"/>
        <v>38816997.509999998</v>
      </c>
      <c r="AG543" s="6">
        <f t="shared" si="11"/>
        <v>346829597.87</v>
      </c>
      <c r="AH543" s="6">
        <f t="shared" si="11"/>
        <v>52759394.750000015</v>
      </c>
      <c r="AI543" s="6">
        <f t="shared" si="11"/>
        <v>8003613.3499999987</v>
      </c>
      <c r="AJ543" s="6">
        <f t="shared" si="11"/>
        <v>42731204.730000012</v>
      </c>
      <c r="AK543" s="6">
        <f t="shared" si="11"/>
        <v>0</v>
      </c>
      <c r="AL543" s="6">
        <f t="shared" si="11"/>
        <v>3627370.1300000022</v>
      </c>
      <c r="AM543" s="6">
        <f t="shared" si="11"/>
        <v>1602793.6200000003</v>
      </c>
      <c r="AN543" s="6">
        <f t="shared" si="11"/>
        <v>52759394.750000015</v>
      </c>
    </row>
    <row r="544" spans="1:41" x14ac:dyDescent="0.25">
      <c r="H544" s="3" t="s">
        <v>288</v>
      </c>
      <c r="I544" s="3" t="s">
        <v>288</v>
      </c>
      <c r="J544" s="3" t="s">
        <v>288</v>
      </c>
      <c r="K544" s="3" t="s">
        <v>288</v>
      </c>
      <c r="L544" s="3" t="s">
        <v>288</v>
      </c>
      <c r="M544" s="3" t="s">
        <v>288</v>
      </c>
      <c r="N544" s="3" t="s">
        <v>288</v>
      </c>
      <c r="O544" s="3" t="s">
        <v>288</v>
      </c>
      <c r="P544" s="3" t="s">
        <v>288</v>
      </c>
      <c r="Q544" s="3" t="s">
        <v>288</v>
      </c>
      <c r="W544" s="3" t="s">
        <v>288</v>
      </c>
      <c r="X544" s="3" t="s">
        <v>288</v>
      </c>
      <c r="Y544" s="3" t="s">
        <v>288</v>
      </c>
      <c r="Z544" s="3" t="s">
        <v>288</v>
      </c>
      <c r="AA544" s="3" t="s">
        <v>288</v>
      </c>
      <c r="AB544" s="3" t="s">
        <v>288</v>
      </c>
      <c r="AC544" s="3" t="s">
        <v>288</v>
      </c>
      <c r="AD544" s="3" t="s">
        <v>288</v>
      </c>
      <c r="AE544" s="3" t="s">
        <v>288</v>
      </c>
      <c r="AF544" s="3" t="s">
        <v>288</v>
      </c>
      <c r="AG544" s="3" t="s">
        <v>288</v>
      </c>
      <c r="AH544" s="3" t="s">
        <v>288</v>
      </c>
      <c r="AI544" s="3" t="s">
        <v>288</v>
      </c>
      <c r="AJ544" s="3" t="s">
        <v>288</v>
      </c>
      <c r="AK544" s="3" t="s">
        <v>288</v>
      </c>
      <c r="AL544" s="3" t="s">
        <v>288</v>
      </c>
      <c r="AM544" s="3" t="s">
        <v>288</v>
      </c>
      <c r="AN544" s="3" t="s">
        <v>288</v>
      </c>
    </row>
    <row r="545" spans="1:1" x14ac:dyDescent="0.25">
      <c r="A545" s="2" t="s">
        <v>290</v>
      </c>
    </row>
  </sheetData>
  <autoFilter ref="A16:AO16" xr:uid="{E4F31ECA-4D5F-447C-9743-23ED169DBD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 Novare HR</dc:creator>
  <cp:lastModifiedBy>Regulus Berdin</cp:lastModifiedBy>
  <dcterms:created xsi:type="dcterms:W3CDTF">2025-01-31T03:36:51Z</dcterms:created>
  <dcterms:modified xsi:type="dcterms:W3CDTF">2025-01-31T12:21:16Z</dcterms:modified>
</cp:coreProperties>
</file>