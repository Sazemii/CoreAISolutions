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d-1gb\temp3\"/>
    </mc:Choice>
  </mc:AlternateContent>
  <xr:revisionPtr revIDLastSave="0" documentId="8_{97191D6A-19D0-4951-9F84-43440BDCC263}" xr6:coauthVersionLast="47" xr6:coauthVersionMax="47" xr10:uidLastSave="{00000000-0000-0000-0000-000000000000}"/>
  <bookViews>
    <workbookView xWindow="525" yWindow="150" windowWidth="26595" windowHeight="12180" xr2:uid="{B5B4D702-1CB0-4745-8326-26AA283EE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7" i="1" l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Q37" i="1"/>
  <c r="P37" i="1"/>
  <c r="O37" i="1"/>
  <c r="N37" i="1"/>
  <c r="M37" i="1"/>
  <c r="L37" i="1"/>
  <c r="K37" i="1"/>
  <c r="J37" i="1"/>
  <c r="I37" i="1"/>
  <c r="H37" i="1"/>
</calcChain>
</file>

<file path=xl/sharedStrings.xml><?xml version="1.0" encoding="utf-8"?>
<sst xmlns="http://schemas.openxmlformats.org/spreadsheetml/2006/main" count="408" uniqueCount="165">
  <si>
    <t>BIR FORM 1604C - SCHEDULE 1</t>
  </si>
  <si>
    <t>ALPHABETICAL LIST EMPLOYEES (Declared and Certified using BIR Form No. 2316)</t>
  </si>
  <si>
    <t>AS OF DECEMBER 31,2022</t>
  </si>
  <si>
    <t>TIN : 123456798-0000</t>
  </si>
  <si>
    <t xml:space="preserve">WITHHOLDING AGENT'S NAME: ,  </t>
  </si>
  <si>
    <t>P   R   E   S   E   N   T     E   M   P   L   O   Y   E   R</t>
  </si>
  <si>
    <t>SEQ</t>
  </si>
  <si>
    <t>NO</t>
  </si>
  <si>
    <t>(1)</t>
  </si>
  <si>
    <t>NAME OF EMPLOYEES</t>
  </si>
  <si>
    <t>(Last Name, First Name, Middle Name)</t>
  </si>
  <si>
    <t>(2a)(2b)(2c)</t>
  </si>
  <si>
    <t>NATIONALITY/</t>
  </si>
  <si>
    <t>RESIDENT</t>
  </si>
  <si>
    <t>(for foreigners only)</t>
  </si>
  <si>
    <t>(3)</t>
  </si>
  <si>
    <t xml:space="preserve">CURRENT EMPLOYMENT </t>
  </si>
  <si>
    <t>STATUS (*)</t>
  </si>
  <si>
    <t>(4)</t>
  </si>
  <si>
    <t>EMPLOYMENT</t>
  </si>
  <si>
    <t>From</t>
  </si>
  <si>
    <t>To</t>
  </si>
  <si>
    <t>(5a)</t>
  </si>
  <si>
    <t>(5b)</t>
  </si>
  <si>
    <t>REASON OF</t>
  </si>
  <si>
    <t>SEPARATION (**)</t>
  </si>
  <si>
    <t>(6)</t>
  </si>
  <si>
    <t>GROSS</t>
  </si>
  <si>
    <t>COMPENSATION</t>
  </si>
  <si>
    <t>INCOME</t>
  </si>
  <si>
    <t>(present employer)</t>
  </si>
  <si>
    <t>7a=(7f+7j)</t>
  </si>
  <si>
    <t>N  O  N    -   T  A  X  A  B  L  E</t>
  </si>
  <si>
    <t>13th MONTH PAY</t>
  </si>
  <si>
    <t>&amp; OTHER BENEFITS</t>
  </si>
  <si>
    <t>(7b)</t>
  </si>
  <si>
    <t>DE MINIMIS</t>
  </si>
  <si>
    <t>BENEFITS</t>
  </si>
  <si>
    <t>(7c)</t>
  </si>
  <si>
    <t>SSS, GSIS, PHIC &amp;</t>
  </si>
  <si>
    <t>PAG-IBIG CONTRIBUTIONS</t>
  </si>
  <si>
    <t>AND UNION DUES</t>
  </si>
  <si>
    <t>(employees share only)</t>
  </si>
  <si>
    <t>(7d)</t>
  </si>
  <si>
    <t xml:space="preserve">SALARIES (P250K &amp; below) &amp; </t>
  </si>
  <si>
    <t>OTHER FORMS OF</t>
  </si>
  <si>
    <t>(7e)</t>
  </si>
  <si>
    <t>TOTAL</t>
  </si>
  <si>
    <t>NON-TAXABLE/EXEMPT</t>
  </si>
  <si>
    <t>COMPENSATION INCOME</t>
  </si>
  <si>
    <t>7f=(7b+7c+7d+7e)</t>
  </si>
  <si>
    <t>T  A  X  A  B  L  E</t>
  </si>
  <si>
    <t>BASIC SALARY</t>
  </si>
  <si>
    <t>(Net of SSS,GSIS,PHIC,</t>
  </si>
  <si>
    <t>HDMF Contri &amp; Union Dues)</t>
  </si>
  <si>
    <t>(7g)</t>
  </si>
  <si>
    <t>(In excess of Threshold)</t>
  </si>
  <si>
    <t>(7h)</t>
  </si>
  <si>
    <t>SALARIES &amp; OTHER</t>
  </si>
  <si>
    <t>FORMS OF</t>
  </si>
  <si>
    <t>(7i)</t>
  </si>
  <si>
    <t>TOTAL TAXABLE</t>
  </si>
  <si>
    <t>7j=(7g+7h+7i)</t>
  </si>
  <si>
    <t>P   R   E   V   I   O   U   S     E   M   P   L   O   Y   E   R</t>
  </si>
  <si>
    <t>TAXPAYER</t>
  </si>
  <si>
    <t>IDENTIFICATION</t>
  </si>
  <si>
    <t>NUMBER</t>
  </si>
  <si>
    <t>(8)</t>
  </si>
  <si>
    <t xml:space="preserve">EMPLOYMENT </t>
  </si>
  <si>
    <t>(9)</t>
  </si>
  <si>
    <t>PERIOD OF</t>
  </si>
  <si>
    <t>(10a)</t>
  </si>
  <si>
    <t>(10b)</t>
  </si>
  <si>
    <t>SEPARATION, if applicable (**)</t>
  </si>
  <si>
    <t>(11)</t>
  </si>
  <si>
    <t>PREVIOUS EMPLOYER</t>
  </si>
  <si>
    <t>12a=(12f+12j)</t>
  </si>
  <si>
    <t>(12b)</t>
  </si>
  <si>
    <t>(12c)</t>
  </si>
  <si>
    <t>(12d)</t>
  </si>
  <si>
    <t>(12e)</t>
  </si>
  <si>
    <t>TOTAL NON-TAXABLE/</t>
  </si>
  <si>
    <t>EXEMPT COMPENSATION(Previous Employer)</t>
  </si>
  <si>
    <t>12f=(12b+12c+12d+12e)</t>
  </si>
  <si>
    <t>(12g)</t>
  </si>
  <si>
    <t>(12h)</t>
  </si>
  <si>
    <t>(12i)</t>
  </si>
  <si>
    <t>(previous employer)</t>
  </si>
  <si>
    <t>12j=(12g+12h+12i)</t>
  </si>
  <si>
    <t>(Present and</t>
  </si>
  <si>
    <t>Previous Employer)</t>
  </si>
  <si>
    <t>13=(7j+12j)</t>
  </si>
  <si>
    <t>TAX DUE</t>
  </si>
  <si>
    <t>(Jan. - Dec.)</t>
  </si>
  <si>
    <t>(14)</t>
  </si>
  <si>
    <t>TAX WITHHELD</t>
  </si>
  <si>
    <t>(Jan. - Nov.)</t>
  </si>
  <si>
    <t>(15a)</t>
  </si>
  <si>
    <t>PRESENT EMPLOYER</t>
  </si>
  <si>
    <t>(15b)</t>
  </si>
  <si>
    <t>Y E A R - E N D   A D J U S T M E N T (16a or 16b)</t>
  </si>
  <si>
    <t>AMT WITHHELD</t>
  </si>
  <si>
    <t>&amp; PAID FOR IN</t>
  </si>
  <si>
    <t>DECEMBER or Last Salary</t>
  </si>
  <si>
    <t>16a=14-(15a+15b)</t>
  </si>
  <si>
    <t>OVER</t>
  </si>
  <si>
    <t>WITHHELD TAX</t>
  </si>
  <si>
    <t>REFUNDED TO</t>
  </si>
  <si>
    <t>EMPLOYEE</t>
  </si>
  <si>
    <t>16b=(15a+15b)-14</t>
  </si>
  <si>
    <t>AMOUNT OF TAX</t>
  </si>
  <si>
    <t>WITHHELD AS</t>
  </si>
  <si>
    <t>ADJUSTED</t>
  </si>
  <si>
    <t>17=(15b+16a) OR (15b-16b)</t>
  </si>
  <si>
    <t>SUBSTITUTED FILING</t>
  </si>
  <si>
    <t>YES/NO</t>
  </si>
  <si>
    <t>***</t>
  </si>
  <si>
    <t>(18)</t>
  </si>
  <si>
    <t>------------------------------</t>
  </si>
  <si>
    <t xml:space="preserve">Abrogar, Erick Abulog                                                                        </t>
  </si>
  <si>
    <t xml:space="preserve">FILIPINO                      </t>
  </si>
  <si>
    <t xml:space="preserve">R </t>
  </si>
  <si>
    <t xml:space="preserve">  </t>
  </si>
  <si>
    <t>123-456-813-0000</t>
  </si>
  <si>
    <t xml:space="preserve"> </t>
  </si>
  <si>
    <t xml:space="preserve">Alimboyugen, Angelica Navea                                                                  </t>
  </si>
  <si>
    <t>123-456-805-0000</t>
  </si>
  <si>
    <t xml:space="preserve">Allanic, Bryan Labong                                                                        </t>
  </si>
  <si>
    <t>123-456-817-0000</t>
  </si>
  <si>
    <t xml:space="preserve">Cagas, Anna Peria                                                                            </t>
  </si>
  <si>
    <t>123-456-806-0000</t>
  </si>
  <si>
    <t xml:space="preserve">Calapatia, Zoe Subrabas                                                                      </t>
  </si>
  <si>
    <t>123-456-816-0000</t>
  </si>
  <si>
    <t xml:space="preserve">Camat, Anthony Pildilapil                                                                    </t>
  </si>
  <si>
    <t>123-456-801-0000</t>
  </si>
  <si>
    <t xml:space="preserve">Dacudag, Pia Dagala                                                                          </t>
  </si>
  <si>
    <t>123-456-809-0000</t>
  </si>
  <si>
    <t xml:space="preserve">Kanaway, Liezel Cagas                                                                        </t>
  </si>
  <si>
    <t>123-456-804-0000</t>
  </si>
  <si>
    <t xml:space="preserve">Magpulong, Kim Salem                                                                         </t>
  </si>
  <si>
    <t>123-456-807-0000</t>
  </si>
  <si>
    <t xml:space="preserve">Malit, Sabrina Abaygar                                                                       </t>
  </si>
  <si>
    <t>123-456-819-0000</t>
  </si>
  <si>
    <t xml:space="preserve">Mangayao, Jeffrey Manyakes                                                                   </t>
  </si>
  <si>
    <t>123-456-814-0000</t>
  </si>
  <si>
    <t xml:space="preserve">Navea, Michelle Tansiongco                                                                   </t>
  </si>
  <si>
    <t>123-456-800-0000</t>
  </si>
  <si>
    <t xml:space="preserve">Pecore, Patricia Baltar                                                                      </t>
  </si>
  <si>
    <t>123-456-803-0000</t>
  </si>
  <si>
    <t xml:space="preserve">Razon, Liezel Calunod                                                                        </t>
  </si>
  <si>
    <t>123-456-810-0000</t>
  </si>
  <si>
    <t xml:space="preserve">Sariwa, Raphael Toledo Pinagbuklod                                                           </t>
  </si>
  <si>
    <t>123-456-818-0000</t>
  </si>
  <si>
    <t xml:space="preserve">Tanjutco, Ryan Tagaan                                                                        </t>
  </si>
  <si>
    <t>123-456-808-0000</t>
  </si>
  <si>
    <t xml:space="preserve">Tansiongco, Clarence Pinagdamutan                                                            </t>
  </si>
  <si>
    <t>123-456-812-0000</t>
  </si>
  <si>
    <t xml:space="preserve">Tiangco, Justin Abucay                                                                       </t>
  </si>
  <si>
    <t>123-456-802-0000</t>
  </si>
  <si>
    <t xml:space="preserve">Uy, Bryan Agatep                                                                             </t>
  </si>
  <si>
    <t>123-456-811-0000</t>
  </si>
  <si>
    <t>Grand Total :</t>
  </si>
  <si>
    <t>==================</t>
  </si>
  <si>
    <t>------------------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</si>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</sst>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4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C6A6-DC02-4A3C-829E-AD7298B2D8E0}">
  <dimension ref="A1:AN39"/>
  <sheetViews>
    <sheetView tabSelected="1" workbookViewId="0"/>
  </sheetViews>
  <sheetFormatPr defaultRowHeight="15" x14ac:dyDescent="0.25"/>
  <cols>
    <col min="1" max="40" width="25.7109375" style="1" customWidth="1"/>
  </cols>
  <sheetData>
    <row r="1" spans="1:4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2"/>
      <c r="B9" s="2"/>
      <c r="C9" s="2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63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2"/>
      <c r="B10" s="2"/>
      <c r="C10" s="2"/>
      <c r="D10" s="2"/>
      <c r="E10" s="2"/>
      <c r="F10" s="2"/>
      <c r="G10" s="2"/>
      <c r="H10" s="2"/>
      <c r="I10" s="2" t="s">
        <v>32</v>
      </c>
      <c r="J10" s="2"/>
      <c r="K10" s="2"/>
      <c r="L10" s="2"/>
      <c r="M10" s="2"/>
      <c r="N10" s="2" t="s">
        <v>51</v>
      </c>
      <c r="O10" s="2"/>
      <c r="P10" s="2"/>
      <c r="Q10" s="2"/>
      <c r="R10" s="2"/>
      <c r="S10" s="2"/>
      <c r="T10" s="2"/>
      <c r="U10" s="2"/>
      <c r="V10" s="2"/>
      <c r="W10" s="2"/>
      <c r="X10" s="2" t="s">
        <v>32</v>
      </c>
      <c r="Y10" s="2"/>
      <c r="Z10" s="2"/>
      <c r="AA10" s="2"/>
      <c r="AB10" s="2"/>
      <c r="AC10" s="2" t="s">
        <v>51</v>
      </c>
      <c r="AD10" s="2"/>
      <c r="AE10" s="2"/>
      <c r="AF10" s="2" t="s">
        <v>61</v>
      </c>
      <c r="AG10" s="2" t="s">
        <v>61</v>
      </c>
      <c r="AH10" s="2"/>
      <c r="AI10" s="2" t="s">
        <v>95</v>
      </c>
      <c r="AJ10" s="2"/>
      <c r="AK10" s="2" t="s">
        <v>100</v>
      </c>
      <c r="AL10" s="2"/>
      <c r="AM10" s="2"/>
      <c r="AN10" s="2"/>
    </row>
    <row r="11" spans="1:40" x14ac:dyDescent="0.25">
      <c r="A11" s="2" t="s">
        <v>6</v>
      </c>
      <c r="B11" s="2" t="s">
        <v>9</v>
      </c>
      <c r="C11" s="2" t="s">
        <v>12</v>
      </c>
      <c r="D11" s="2" t="s">
        <v>16</v>
      </c>
      <c r="E11" s="2"/>
      <c r="F11" s="2"/>
      <c r="G11" s="2" t="s">
        <v>24</v>
      </c>
      <c r="H11" s="2" t="s">
        <v>27</v>
      </c>
      <c r="I11" s="2" t="s">
        <v>33</v>
      </c>
      <c r="J11" s="2" t="s">
        <v>36</v>
      </c>
      <c r="K11" s="2" t="s">
        <v>39</v>
      </c>
      <c r="L11" s="2" t="s">
        <v>44</v>
      </c>
      <c r="M11" s="2" t="s">
        <v>47</v>
      </c>
      <c r="N11" s="2" t="s">
        <v>52</v>
      </c>
      <c r="O11" s="2" t="s">
        <v>33</v>
      </c>
      <c r="P11" s="2" t="s">
        <v>58</v>
      </c>
      <c r="Q11" s="2" t="s">
        <v>61</v>
      </c>
      <c r="R11" s="2" t="s">
        <v>64</v>
      </c>
      <c r="S11" s="2" t="s">
        <v>68</v>
      </c>
      <c r="T11" s="2" t="s">
        <v>70</v>
      </c>
      <c r="U11" s="2"/>
      <c r="V11" s="2" t="s">
        <v>24</v>
      </c>
      <c r="W11" s="2" t="s">
        <v>27</v>
      </c>
      <c r="X11" s="2" t="s">
        <v>33</v>
      </c>
      <c r="Y11" s="2" t="s">
        <v>36</v>
      </c>
      <c r="Z11" s="2" t="s">
        <v>39</v>
      </c>
      <c r="AA11" s="2" t="s">
        <v>44</v>
      </c>
      <c r="AB11" s="2" t="s">
        <v>81</v>
      </c>
      <c r="AC11" s="2" t="s">
        <v>52</v>
      </c>
      <c r="AD11" s="2" t="s">
        <v>33</v>
      </c>
      <c r="AE11" s="2" t="s">
        <v>58</v>
      </c>
      <c r="AF11" s="2" t="s">
        <v>28</v>
      </c>
      <c r="AG11" s="2" t="s">
        <v>49</v>
      </c>
      <c r="AH11" s="2" t="s">
        <v>92</v>
      </c>
      <c r="AI11" s="2" t="s">
        <v>96</v>
      </c>
      <c r="AJ11" s="2"/>
      <c r="AK11" s="2" t="s">
        <v>101</v>
      </c>
      <c r="AL11" s="2" t="s">
        <v>105</v>
      </c>
      <c r="AM11" s="2" t="s">
        <v>110</v>
      </c>
      <c r="AN11" s="2" t="s">
        <v>114</v>
      </c>
    </row>
    <row r="12" spans="1:40" x14ac:dyDescent="0.25">
      <c r="A12" s="2" t="s">
        <v>7</v>
      </c>
      <c r="B12" s="2" t="s">
        <v>10</v>
      </c>
      <c r="C12" s="2" t="s">
        <v>13</v>
      </c>
      <c r="D12" s="3" t="s">
        <v>17</v>
      </c>
      <c r="E12" s="2" t="s">
        <v>19</v>
      </c>
      <c r="F12" s="2"/>
      <c r="G12" s="3" t="s">
        <v>25</v>
      </c>
      <c r="H12" s="2" t="s">
        <v>28</v>
      </c>
      <c r="I12" s="2" t="s">
        <v>34</v>
      </c>
      <c r="J12" s="2" t="s">
        <v>37</v>
      </c>
      <c r="K12" s="2" t="s">
        <v>40</v>
      </c>
      <c r="L12" s="2" t="s">
        <v>45</v>
      </c>
      <c r="M12" s="2" t="s">
        <v>48</v>
      </c>
      <c r="N12" s="2" t="s">
        <v>53</v>
      </c>
      <c r="O12" s="2" t="s">
        <v>34</v>
      </c>
      <c r="P12" s="2" t="s">
        <v>59</v>
      </c>
      <c r="Q12" s="2" t="s">
        <v>49</v>
      </c>
      <c r="R12" s="2" t="s">
        <v>65</v>
      </c>
      <c r="S12" s="3" t="s">
        <v>17</v>
      </c>
      <c r="T12" s="2" t="s">
        <v>19</v>
      </c>
      <c r="U12" s="2"/>
      <c r="V12" s="3" t="s">
        <v>73</v>
      </c>
      <c r="W12" s="2" t="s">
        <v>28</v>
      </c>
      <c r="X12" s="2" t="s">
        <v>34</v>
      </c>
      <c r="Y12" s="2" t="s">
        <v>37</v>
      </c>
      <c r="Z12" s="2" t="s">
        <v>40</v>
      </c>
      <c r="AA12" s="2" t="s">
        <v>45</v>
      </c>
      <c r="AB12" s="2" t="s">
        <v>82</v>
      </c>
      <c r="AC12" s="2" t="s">
        <v>53</v>
      </c>
      <c r="AD12" s="2" t="s">
        <v>34</v>
      </c>
      <c r="AE12" s="2" t="s">
        <v>59</v>
      </c>
      <c r="AF12" s="2" t="s">
        <v>87</v>
      </c>
      <c r="AG12" s="2" t="s">
        <v>89</v>
      </c>
      <c r="AH12" s="2" t="s">
        <v>93</v>
      </c>
      <c r="AI12" s="2" t="s">
        <v>75</v>
      </c>
      <c r="AJ12" s="2" t="s">
        <v>98</v>
      </c>
      <c r="AK12" s="2" t="s">
        <v>102</v>
      </c>
      <c r="AL12" s="2" t="s">
        <v>106</v>
      </c>
      <c r="AM12" s="2" t="s">
        <v>111</v>
      </c>
      <c r="AN12" s="2" t="s">
        <v>115</v>
      </c>
    </row>
    <row r="13" spans="1:40" x14ac:dyDescent="0.25">
      <c r="A13" s="2"/>
      <c r="B13" s="2"/>
      <c r="C13" s="2" t="s">
        <v>14</v>
      </c>
      <c r="D13" s="2"/>
      <c r="E13" s="2" t="s">
        <v>20</v>
      </c>
      <c r="F13" s="2" t="s">
        <v>21</v>
      </c>
      <c r="G13" s="2"/>
      <c r="H13" s="2" t="s">
        <v>29</v>
      </c>
      <c r="I13" s="2"/>
      <c r="J13" s="2"/>
      <c r="K13" s="2" t="s">
        <v>41</v>
      </c>
      <c r="L13" s="2" t="s">
        <v>28</v>
      </c>
      <c r="M13" s="2" t="s">
        <v>49</v>
      </c>
      <c r="N13" s="2" t="s">
        <v>54</v>
      </c>
      <c r="O13" s="2" t="s">
        <v>56</v>
      </c>
      <c r="P13" s="2" t="s">
        <v>28</v>
      </c>
      <c r="Q13" s="2" t="s">
        <v>30</v>
      </c>
      <c r="R13" s="2" t="s">
        <v>66</v>
      </c>
      <c r="S13" s="2"/>
      <c r="T13" s="2" t="s">
        <v>20</v>
      </c>
      <c r="U13" s="2" t="s">
        <v>21</v>
      </c>
      <c r="V13" s="2"/>
      <c r="W13" s="2" t="s">
        <v>75</v>
      </c>
      <c r="X13" s="2"/>
      <c r="Y13" s="2"/>
      <c r="Z13" s="2" t="s">
        <v>41</v>
      </c>
      <c r="AA13" s="2" t="s">
        <v>28</v>
      </c>
      <c r="AB13" s="2"/>
      <c r="AC13" s="2" t="s">
        <v>54</v>
      </c>
      <c r="AD13" s="2"/>
      <c r="AE13" s="2" t="s">
        <v>28</v>
      </c>
      <c r="AF13" s="2"/>
      <c r="AG13" s="2" t="s">
        <v>90</v>
      </c>
      <c r="AH13" s="2"/>
      <c r="AI13" s="2"/>
      <c r="AJ13" s="2"/>
      <c r="AK13" s="2" t="s">
        <v>103</v>
      </c>
      <c r="AL13" s="2" t="s">
        <v>107</v>
      </c>
      <c r="AM13" s="2" t="s">
        <v>112</v>
      </c>
      <c r="AN13" s="2" t="s">
        <v>116</v>
      </c>
    </row>
    <row r="14" spans="1:40" x14ac:dyDescent="0.25">
      <c r="A14" s="2"/>
      <c r="B14" s="2"/>
      <c r="C14" s="2"/>
      <c r="D14" s="2"/>
      <c r="E14" s="2"/>
      <c r="F14" s="2"/>
      <c r="G14" s="2"/>
      <c r="H14" s="2" t="s">
        <v>30</v>
      </c>
      <c r="I14" s="2"/>
      <c r="J14" s="2"/>
      <c r="K14" s="2" t="s">
        <v>42</v>
      </c>
      <c r="L14" s="2"/>
      <c r="M14" s="2" t="s">
        <v>30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42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 t="s">
        <v>108</v>
      </c>
      <c r="AM14" s="2"/>
      <c r="AN14" s="2"/>
    </row>
    <row r="15" spans="1:40" x14ac:dyDescent="0.25">
      <c r="A15" s="3" t="s">
        <v>8</v>
      </c>
      <c r="B15" s="3" t="s">
        <v>11</v>
      </c>
      <c r="C15" s="3" t="s">
        <v>15</v>
      </c>
      <c r="D15" s="3" t="s">
        <v>18</v>
      </c>
      <c r="E15" s="3" t="s">
        <v>22</v>
      </c>
      <c r="F15" s="3" t="s">
        <v>23</v>
      </c>
      <c r="G15" s="3" t="s">
        <v>26</v>
      </c>
      <c r="H15" s="3" t="s">
        <v>31</v>
      </c>
      <c r="I15" s="3" t="s">
        <v>35</v>
      </c>
      <c r="J15" s="3" t="s">
        <v>38</v>
      </c>
      <c r="K15" s="3" t="s">
        <v>43</v>
      </c>
      <c r="L15" s="3" t="s">
        <v>46</v>
      </c>
      <c r="M15" s="3" t="s">
        <v>50</v>
      </c>
      <c r="N15" s="3" t="s">
        <v>55</v>
      </c>
      <c r="O15" s="3" t="s">
        <v>57</v>
      </c>
      <c r="P15" s="3" t="s">
        <v>60</v>
      </c>
      <c r="Q15" s="3" t="s">
        <v>62</v>
      </c>
      <c r="R15" s="3" t="s">
        <v>67</v>
      </c>
      <c r="S15" s="3" t="s">
        <v>69</v>
      </c>
      <c r="T15" s="3" t="s">
        <v>71</v>
      </c>
      <c r="U15" s="3" t="s">
        <v>72</v>
      </c>
      <c r="V15" s="3" t="s">
        <v>74</v>
      </c>
      <c r="W15" s="3" t="s">
        <v>76</v>
      </c>
      <c r="X15" s="3" t="s">
        <v>77</v>
      </c>
      <c r="Y15" s="3" t="s">
        <v>78</v>
      </c>
      <c r="Z15" s="3" t="s">
        <v>79</v>
      </c>
      <c r="AA15" s="3" t="s">
        <v>80</v>
      </c>
      <c r="AB15" s="3" t="s">
        <v>83</v>
      </c>
      <c r="AC15" s="3" t="s">
        <v>84</v>
      </c>
      <c r="AD15" s="3" t="s">
        <v>85</v>
      </c>
      <c r="AE15" s="3" t="s">
        <v>86</v>
      </c>
      <c r="AF15" s="3" t="s">
        <v>88</v>
      </c>
      <c r="AG15" s="3" t="s">
        <v>91</v>
      </c>
      <c r="AH15" s="3" t="s">
        <v>94</v>
      </c>
      <c r="AI15" s="3" t="s">
        <v>97</v>
      </c>
      <c r="AJ15" s="3" t="s">
        <v>99</v>
      </c>
      <c r="AK15" s="3" t="s">
        <v>104</v>
      </c>
      <c r="AL15" s="3" t="s">
        <v>109</v>
      </c>
      <c r="AM15" s="3" t="s">
        <v>113</v>
      </c>
      <c r="AN15" s="3" t="s">
        <v>117</v>
      </c>
    </row>
    <row r="16" spans="1:40" x14ac:dyDescent="0.25">
      <c r="A16" s="3" t="s">
        <v>118</v>
      </c>
      <c r="B16" s="3" t="s">
        <v>118</v>
      </c>
      <c r="C16" s="3" t="s">
        <v>118</v>
      </c>
      <c r="D16" s="3" t="s">
        <v>118</v>
      </c>
      <c r="E16" s="3" t="s">
        <v>118</v>
      </c>
      <c r="F16" s="3" t="s">
        <v>118</v>
      </c>
      <c r="G16" s="3" t="s">
        <v>118</v>
      </c>
      <c r="H16" s="3" t="s">
        <v>118</v>
      </c>
      <c r="I16" s="3" t="s">
        <v>118</v>
      </c>
      <c r="J16" s="3" t="s">
        <v>118</v>
      </c>
      <c r="K16" s="3" t="s">
        <v>118</v>
      </c>
      <c r="L16" s="3" t="s">
        <v>118</v>
      </c>
      <c r="M16" s="3" t="s">
        <v>118</v>
      </c>
      <c r="N16" s="3" t="s">
        <v>118</v>
      </c>
      <c r="O16" s="3" t="s">
        <v>118</v>
      </c>
      <c r="P16" s="3" t="s">
        <v>118</v>
      </c>
      <c r="Q16" s="3" t="s">
        <v>118</v>
      </c>
      <c r="R16" s="3" t="s">
        <v>118</v>
      </c>
      <c r="S16" s="3" t="s">
        <v>118</v>
      </c>
      <c r="T16" s="3" t="s">
        <v>118</v>
      </c>
      <c r="U16" s="3" t="s">
        <v>118</v>
      </c>
      <c r="V16" s="3" t="s">
        <v>118</v>
      </c>
      <c r="W16" s="3" t="s">
        <v>118</v>
      </c>
      <c r="X16" s="3" t="s">
        <v>118</v>
      </c>
      <c r="Y16" s="3" t="s">
        <v>118</v>
      </c>
      <c r="Z16" s="3" t="s">
        <v>118</v>
      </c>
      <c r="AA16" s="3" t="s">
        <v>118</v>
      </c>
      <c r="AB16" s="3" t="s">
        <v>118</v>
      </c>
      <c r="AC16" s="3" t="s">
        <v>118</v>
      </c>
      <c r="AD16" s="3" t="s">
        <v>118</v>
      </c>
      <c r="AE16" s="3" t="s">
        <v>118</v>
      </c>
      <c r="AF16" s="3" t="s">
        <v>118</v>
      </c>
      <c r="AG16" s="3" t="s">
        <v>118</v>
      </c>
      <c r="AH16" s="3" t="s">
        <v>118</v>
      </c>
      <c r="AI16" s="3" t="s">
        <v>118</v>
      </c>
      <c r="AJ16" s="3" t="s">
        <v>118</v>
      </c>
      <c r="AK16" s="3" t="s">
        <v>118</v>
      </c>
      <c r="AL16" s="3" t="s">
        <v>118</v>
      </c>
      <c r="AM16" s="3" t="s">
        <v>118</v>
      </c>
      <c r="AN16" s="3" t="s">
        <v>118</v>
      </c>
    </row>
    <row r="17" spans="1:40" x14ac:dyDescent="0.25">
      <c r="A17" s="1">
        <v>1</v>
      </c>
      <c r="B17" s="1" t="s">
        <v>119</v>
      </c>
      <c r="C17" s="1" t="s">
        <v>120</v>
      </c>
      <c r="D17" s="1" t="s">
        <v>121</v>
      </c>
      <c r="E17" s="4">
        <v>44562</v>
      </c>
      <c r="F17" s="4">
        <v>44926</v>
      </c>
      <c r="G17" s="1" t="s">
        <v>122</v>
      </c>
      <c r="H17" s="5">
        <v>522592.68</v>
      </c>
      <c r="I17" s="5">
        <v>43367.71</v>
      </c>
      <c r="J17" s="5">
        <v>0</v>
      </c>
      <c r="K17" s="5">
        <v>15950</v>
      </c>
      <c r="L17" s="5">
        <v>0</v>
      </c>
      <c r="M17" s="5">
        <v>59317.71</v>
      </c>
      <c r="N17" s="5">
        <v>461094.81</v>
      </c>
      <c r="O17" s="5">
        <v>0</v>
      </c>
      <c r="P17" s="5">
        <v>2180.16</v>
      </c>
      <c r="Q17" s="5">
        <v>463274.97</v>
      </c>
      <c r="R17" s="1" t="s">
        <v>123</v>
      </c>
      <c r="S17" s="1" t="s">
        <v>121</v>
      </c>
      <c r="T17" s="4">
        <v>44562</v>
      </c>
      <c r="U17" s="4">
        <v>44926</v>
      </c>
      <c r="V17" s="1" t="s">
        <v>122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111111</v>
      </c>
      <c r="AD17" s="5">
        <v>2222</v>
      </c>
      <c r="AE17" s="5">
        <v>333</v>
      </c>
      <c r="AF17" s="5">
        <v>113666</v>
      </c>
      <c r="AG17" s="5">
        <v>576940.97</v>
      </c>
      <c r="AH17" s="5">
        <v>74235.240000000005</v>
      </c>
      <c r="AI17" s="5">
        <v>2222</v>
      </c>
      <c r="AJ17" s="5">
        <v>46327.49</v>
      </c>
      <c r="AK17" s="5">
        <v>25685.75</v>
      </c>
      <c r="AL17" s="5">
        <v>0</v>
      </c>
      <c r="AM17" s="5">
        <v>74235.240000000005</v>
      </c>
      <c r="AN17" s="5" t="s">
        <v>124</v>
      </c>
    </row>
    <row r="18" spans="1:40" x14ac:dyDescent="0.25">
      <c r="A18" s="1">
        <v>2</v>
      </c>
      <c r="B18" s="1" t="s">
        <v>125</v>
      </c>
      <c r="C18" s="1" t="s">
        <v>120</v>
      </c>
      <c r="D18" s="1" t="s">
        <v>121</v>
      </c>
      <c r="E18" s="4">
        <v>44562</v>
      </c>
      <c r="F18" s="4">
        <v>44926</v>
      </c>
      <c r="G18" s="1" t="s">
        <v>122</v>
      </c>
      <c r="H18" s="5">
        <v>755162.46</v>
      </c>
      <c r="I18" s="5">
        <v>58114.7</v>
      </c>
      <c r="J18" s="5">
        <v>0</v>
      </c>
      <c r="K18" s="5">
        <v>15950</v>
      </c>
      <c r="L18" s="5">
        <v>0</v>
      </c>
      <c r="M18" s="5">
        <v>74064.7</v>
      </c>
      <c r="N18" s="5">
        <v>623311.69999999995</v>
      </c>
      <c r="O18" s="5">
        <v>0</v>
      </c>
      <c r="P18" s="5">
        <v>57786.06</v>
      </c>
      <c r="Q18" s="5">
        <v>681097.76</v>
      </c>
      <c r="R18" s="1" t="s">
        <v>126</v>
      </c>
      <c r="S18" s="1" t="s">
        <v>121</v>
      </c>
      <c r="T18" s="4">
        <v>44562</v>
      </c>
      <c r="U18" s="4">
        <v>44926</v>
      </c>
      <c r="V18" s="1" t="s">
        <v>122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681097.76</v>
      </c>
      <c r="AH18" s="5">
        <v>100274.44</v>
      </c>
      <c r="AI18" s="5">
        <v>0</v>
      </c>
      <c r="AJ18" s="5">
        <v>100274.44</v>
      </c>
      <c r="AK18" s="5">
        <v>0</v>
      </c>
      <c r="AL18" s="5">
        <v>0</v>
      </c>
      <c r="AM18" s="5">
        <v>100274.44</v>
      </c>
      <c r="AN18" s="5" t="s">
        <v>124</v>
      </c>
    </row>
    <row r="19" spans="1:40" x14ac:dyDescent="0.25">
      <c r="A19" s="1">
        <v>3</v>
      </c>
      <c r="B19" s="1" t="s">
        <v>127</v>
      </c>
      <c r="C19" s="1" t="s">
        <v>120</v>
      </c>
      <c r="D19" s="1" t="s">
        <v>121</v>
      </c>
      <c r="E19" s="4">
        <v>44562</v>
      </c>
      <c r="F19" s="4">
        <v>44926</v>
      </c>
      <c r="G19" s="1" t="s">
        <v>122</v>
      </c>
      <c r="H19" s="5">
        <v>399716.79</v>
      </c>
      <c r="I19" s="5">
        <v>33260.32</v>
      </c>
      <c r="J19" s="5">
        <v>0</v>
      </c>
      <c r="K19" s="5">
        <v>14930.63</v>
      </c>
      <c r="L19" s="5">
        <v>0</v>
      </c>
      <c r="M19" s="5">
        <v>48190.95</v>
      </c>
      <c r="N19" s="5">
        <v>350932.89</v>
      </c>
      <c r="O19" s="5">
        <v>0</v>
      </c>
      <c r="P19" s="5">
        <v>592.95000000000005</v>
      </c>
      <c r="Q19" s="5">
        <v>351525.84</v>
      </c>
      <c r="R19" s="1" t="s">
        <v>128</v>
      </c>
      <c r="S19" s="1" t="s">
        <v>121</v>
      </c>
      <c r="T19" s="4">
        <v>44562</v>
      </c>
      <c r="U19" s="4">
        <v>44926</v>
      </c>
      <c r="V19" s="1" t="s">
        <v>122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351525.84</v>
      </c>
      <c r="AH19" s="5">
        <v>20305.169999999998</v>
      </c>
      <c r="AI19" s="5">
        <v>0</v>
      </c>
      <c r="AJ19" s="5">
        <v>35152.589999999997</v>
      </c>
      <c r="AK19" s="5">
        <v>0</v>
      </c>
      <c r="AL19" s="5">
        <v>14847.42</v>
      </c>
      <c r="AM19" s="5">
        <v>20305.169999999998</v>
      </c>
      <c r="AN19" s="5" t="s">
        <v>124</v>
      </c>
    </row>
    <row r="20" spans="1:40" x14ac:dyDescent="0.25">
      <c r="A20" s="1">
        <v>4</v>
      </c>
      <c r="B20" s="1" t="s">
        <v>129</v>
      </c>
      <c r="C20" s="1" t="s">
        <v>120</v>
      </c>
      <c r="D20" s="1" t="s">
        <v>121</v>
      </c>
      <c r="E20" s="4">
        <v>44562</v>
      </c>
      <c r="F20" s="4">
        <v>44926</v>
      </c>
      <c r="G20" s="1" t="s">
        <v>122</v>
      </c>
      <c r="H20" s="5">
        <v>234090.65</v>
      </c>
      <c r="I20" s="5">
        <v>19418.54</v>
      </c>
      <c r="J20" s="5">
        <v>111</v>
      </c>
      <c r="K20" s="5">
        <v>12637</v>
      </c>
      <c r="L20" s="5">
        <v>222</v>
      </c>
      <c r="M20" s="5">
        <v>233355.48</v>
      </c>
      <c r="N20" s="5">
        <v>0</v>
      </c>
      <c r="O20" s="5">
        <v>0</v>
      </c>
      <c r="P20" s="5">
        <v>735.17</v>
      </c>
      <c r="Q20" s="5">
        <v>735.17</v>
      </c>
      <c r="R20" s="1" t="s">
        <v>130</v>
      </c>
      <c r="S20" s="1" t="s">
        <v>121</v>
      </c>
      <c r="T20" s="4">
        <v>44562</v>
      </c>
      <c r="U20" s="4">
        <v>44926</v>
      </c>
      <c r="V20" s="1" t="s">
        <v>122</v>
      </c>
      <c r="W20" s="5">
        <v>0</v>
      </c>
      <c r="X20" s="5">
        <v>222</v>
      </c>
      <c r="Y20" s="5">
        <v>0</v>
      </c>
      <c r="Z20" s="5">
        <v>0</v>
      </c>
      <c r="AA20" s="5">
        <v>0</v>
      </c>
      <c r="AB20" s="5">
        <v>222</v>
      </c>
      <c r="AC20" s="5">
        <v>1111</v>
      </c>
      <c r="AD20" s="5">
        <v>0</v>
      </c>
      <c r="AE20" s="5">
        <v>333</v>
      </c>
      <c r="AF20" s="5">
        <v>1444</v>
      </c>
      <c r="AG20" s="5">
        <v>2179.17</v>
      </c>
      <c r="AH20" s="5">
        <v>0</v>
      </c>
      <c r="AI20" s="5">
        <v>0</v>
      </c>
      <c r="AJ20" s="5">
        <v>20170.169999999998</v>
      </c>
      <c r="AK20" s="5">
        <v>0</v>
      </c>
      <c r="AL20" s="5">
        <v>20170.169999999998</v>
      </c>
      <c r="AM20" s="5">
        <v>0</v>
      </c>
      <c r="AN20" s="5" t="s">
        <v>124</v>
      </c>
    </row>
    <row r="21" spans="1:40" x14ac:dyDescent="0.25">
      <c r="A21" s="1">
        <v>5</v>
      </c>
      <c r="B21" s="1" t="s">
        <v>131</v>
      </c>
      <c r="C21" s="1" t="s">
        <v>120</v>
      </c>
      <c r="D21" s="1" t="s">
        <v>121</v>
      </c>
      <c r="E21" s="4">
        <v>44562</v>
      </c>
      <c r="F21" s="4">
        <v>44926</v>
      </c>
      <c r="G21" s="1" t="s">
        <v>122</v>
      </c>
      <c r="H21" s="5">
        <v>489847.8</v>
      </c>
      <c r="I21" s="5">
        <v>40171.71</v>
      </c>
      <c r="J21" s="5">
        <v>0</v>
      </c>
      <c r="K21" s="5">
        <v>15950</v>
      </c>
      <c r="L21" s="5">
        <v>0</v>
      </c>
      <c r="M21" s="5">
        <v>56121.71</v>
      </c>
      <c r="N21" s="5">
        <v>425938.81</v>
      </c>
      <c r="O21" s="5">
        <v>0</v>
      </c>
      <c r="P21" s="5">
        <v>7787.28</v>
      </c>
      <c r="Q21" s="5">
        <v>433726.09</v>
      </c>
      <c r="R21" s="1" t="s">
        <v>132</v>
      </c>
      <c r="S21" s="1" t="s">
        <v>121</v>
      </c>
      <c r="T21" s="4">
        <v>44562</v>
      </c>
      <c r="U21" s="4">
        <v>44926</v>
      </c>
      <c r="V21" s="1" t="s">
        <v>122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433726.09</v>
      </c>
      <c r="AH21" s="5">
        <v>38431.519999999997</v>
      </c>
      <c r="AI21" s="5">
        <v>0</v>
      </c>
      <c r="AJ21" s="5">
        <v>44265.8</v>
      </c>
      <c r="AK21" s="5">
        <v>0</v>
      </c>
      <c r="AL21" s="5">
        <v>5834.28</v>
      </c>
      <c r="AM21" s="5">
        <v>38431.519999999997</v>
      </c>
      <c r="AN21" s="5" t="s">
        <v>124</v>
      </c>
    </row>
    <row r="22" spans="1:40" x14ac:dyDescent="0.25">
      <c r="A22" s="1">
        <v>6</v>
      </c>
      <c r="B22" s="1" t="s">
        <v>133</v>
      </c>
      <c r="C22" s="1" t="s">
        <v>120</v>
      </c>
      <c r="D22" s="1" t="s">
        <v>121</v>
      </c>
      <c r="E22" s="4">
        <v>44562</v>
      </c>
      <c r="F22" s="4">
        <v>44926</v>
      </c>
      <c r="G22" s="1" t="s">
        <v>122</v>
      </c>
      <c r="H22" s="5">
        <v>287392.95</v>
      </c>
      <c r="I22" s="5">
        <v>23795.37</v>
      </c>
      <c r="J22" s="5">
        <v>0</v>
      </c>
      <c r="K22" s="5">
        <v>13498.98</v>
      </c>
      <c r="L22" s="5">
        <v>0</v>
      </c>
      <c r="M22" s="5">
        <v>37294.35</v>
      </c>
      <c r="N22" s="5">
        <v>248250.09</v>
      </c>
      <c r="O22" s="5">
        <v>0</v>
      </c>
      <c r="P22" s="5">
        <v>1848.51</v>
      </c>
      <c r="Q22" s="5">
        <v>250098.6</v>
      </c>
      <c r="R22" s="1" t="s">
        <v>134</v>
      </c>
      <c r="S22" s="1" t="s">
        <v>121</v>
      </c>
      <c r="T22" s="4">
        <v>44562</v>
      </c>
      <c r="U22" s="4">
        <v>44926</v>
      </c>
      <c r="V22" s="1" t="s">
        <v>122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250098.6</v>
      </c>
      <c r="AH22" s="5">
        <v>19.72</v>
      </c>
      <c r="AI22" s="5">
        <v>0</v>
      </c>
      <c r="AJ22" s="5">
        <v>4187.1400000000003</v>
      </c>
      <c r="AK22" s="5">
        <v>0</v>
      </c>
      <c r="AL22" s="5">
        <v>4167.42</v>
      </c>
      <c r="AM22" s="5">
        <v>19.72</v>
      </c>
      <c r="AN22" s="5" t="s">
        <v>124</v>
      </c>
    </row>
    <row r="23" spans="1:40" x14ac:dyDescent="0.25">
      <c r="A23" s="1">
        <v>7</v>
      </c>
      <c r="B23" s="1" t="s">
        <v>135</v>
      </c>
      <c r="C23" s="1" t="s">
        <v>120</v>
      </c>
      <c r="D23" s="1" t="s">
        <v>121</v>
      </c>
      <c r="E23" s="4">
        <v>44562</v>
      </c>
      <c r="F23" s="4">
        <v>44926</v>
      </c>
      <c r="G23" s="1" t="s">
        <v>122</v>
      </c>
      <c r="H23" s="5">
        <v>606385.41</v>
      </c>
      <c r="I23" s="5">
        <v>50205.7</v>
      </c>
      <c r="J23" s="5">
        <v>0</v>
      </c>
      <c r="K23" s="5">
        <v>15950</v>
      </c>
      <c r="L23" s="5">
        <v>0</v>
      </c>
      <c r="M23" s="5">
        <v>66155.7</v>
      </c>
      <c r="N23" s="5">
        <v>536312.69999999995</v>
      </c>
      <c r="O23" s="5">
        <v>0</v>
      </c>
      <c r="P23" s="5">
        <v>3917.01</v>
      </c>
      <c r="Q23" s="5">
        <v>540229.71</v>
      </c>
      <c r="R23" s="1" t="s">
        <v>136</v>
      </c>
      <c r="S23" s="1" t="s">
        <v>121</v>
      </c>
      <c r="T23" s="4">
        <v>44562</v>
      </c>
      <c r="U23" s="4">
        <v>44926</v>
      </c>
      <c r="V23" s="1" t="s">
        <v>122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540229.71</v>
      </c>
      <c r="AH23" s="5">
        <v>65057.43</v>
      </c>
      <c r="AI23" s="5">
        <v>0</v>
      </c>
      <c r="AJ23" s="5">
        <v>70891.73</v>
      </c>
      <c r="AK23" s="5">
        <v>0</v>
      </c>
      <c r="AL23" s="5">
        <v>5834.3</v>
      </c>
      <c r="AM23" s="5">
        <v>65057.43</v>
      </c>
      <c r="AN23" s="5" t="s">
        <v>124</v>
      </c>
    </row>
    <row r="24" spans="1:40" x14ac:dyDescent="0.25">
      <c r="A24" s="1">
        <v>8</v>
      </c>
      <c r="B24" s="1" t="s">
        <v>137</v>
      </c>
      <c r="C24" s="1" t="s">
        <v>120</v>
      </c>
      <c r="D24" s="1" t="s">
        <v>121</v>
      </c>
      <c r="E24" s="4">
        <v>44562</v>
      </c>
      <c r="F24" s="4">
        <v>44926</v>
      </c>
      <c r="G24" s="1" t="s">
        <v>122</v>
      </c>
      <c r="H24" s="5">
        <v>259165.63</v>
      </c>
      <c r="I24" s="5">
        <v>21599.119999999999</v>
      </c>
      <c r="J24" s="5">
        <v>0</v>
      </c>
      <c r="K24" s="5">
        <v>13166.89</v>
      </c>
      <c r="L24" s="5">
        <v>0</v>
      </c>
      <c r="M24" s="5">
        <v>259189.44</v>
      </c>
      <c r="N24" s="5">
        <v>0</v>
      </c>
      <c r="O24" s="5">
        <v>0</v>
      </c>
      <c r="P24" s="5">
        <v>-23.81</v>
      </c>
      <c r="Q24" s="5">
        <v>-23.81</v>
      </c>
      <c r="R24" s="1" t="s">
        <v>138</v>
      </c>
      <c r="S24" s="1" t="s">
        <v>121</v>
      </c>
      <c r="T24" s="4">
        <v>44562</v>
      </c>
      <c r="U24" s="4">
        <v>44926</v>
      </c>
      <c r="V24" s="1" t="s">
        <v>122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-23.81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 t="s">
        <v>124</v>
      </c>
    </row>
    <row r="25" spans="1:40" x14ac:dyDescent="0.25">
      <c r="A25" s="1">
        <v>9</v>
      </c>
      <c r="B25" s="1" t="s">
        <v>139</v>
      </c>
      <c r="C25" s="1" t="s">
        <v>120</v>
      </c>
      <c r="D25" s="1" t="s">
        <v>121</v>
      </c>
      <c r="E25" s="4">
        <v>44562</v>
      </c>
      <c r="F25" s="4">
        <v>44926</v>
      </c>
      <c r="G25" s="1" t="s">
        <v>122</v>
      </c>
      <c r="H25" s="5">
        <v>164639.12</v>
      </c>
      <c r="I25" s="5">
        <v>13673.13</v>
      </c>
      <c r="J25" s="5">
        <v>0</v>
      </c>
      <c r="K25" s="5">
        <v>9128</v>
      </c>
      <c r="L25" s="5">
        <v>0</v>
      </c>
      <c r="M25" s="5">
        <v>164077.56</v>
      </c>
      <c r="N25" s="5">
        <v>0</v>
      </c>
      <c r="O25" s="5">
        <v>0</v>
      </c>
      <c r="P25" s="5">
        <v>561.55999999999995</v>
      </c>
      <c r="Q25" s="5">
        <v>561.55999999999995</v>
      </c>
      <c r="R25" s="1" t="s">
        <v>140</v>
      </c>
      <c r="S25" s="1" t="s">
        <v>121</v>
      </c>
      <c r="T25" s="4">
        <v>44562</v>
      </c>
      <c r="U25" s="4">
        <v>44926</v>
      </c>
      <c r="V25" s="1" t="s">
        <v>122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561.55999999999995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 t="s">
        <v>124</v>
      </c>
    </row>
    <row r="26" spans="1:40" x14ac:dyDescent="0.25">
      <c r="A26" s="1">
        <v>10</v>
      </c>
      <c r="B26" s="1" t="s">
        <v>141</v>
      </c>
      <c r="C26" s="1" t="s">
        <v>120</v>
      </c>
      <c r="D26" s="1" t="s">
        <v>121</v>
      </c>
      <c r="E26" s="4">
        <v>44562</v>
      </c>
      <c r="F26" s="4">
        <v>44926</v>
      </c>
      <c r="G26" s="1" t="s">
        <v>122</v>
      </c>
      <c r="H26" s="5">
        <v>279165.12</v>
      </c>
      <c r="I26" s="5">
        <v>23160.26</v>
      </c>
      <c r="J26" s="5">
        <v>0</v>
      </c>
      <c r="K26" s="5">
        <v>13402.95</v>
      </c>
      <c r="L26" s="5">
        <v>0</v>
      </c>
      <c r="M26" s="5">
        <v>277923.12</v>
      </c>
      <c r="N26" s="5">
        <v>0</v>
      </c>
      <c r="O26" s="5">
        <v>0</v>
      </c>
      <c r="P26" s="5">
        <v>1242</v>
      </c>
      <c r="Q26" s="5">
        <v>1242</v>
      </c>
      <c r="R26" s="1" t="s">
        <v>142</v>
      </c>
      <c r="S26" s="1" t="s">
        <v>121</v>
      </c>
      <c r="T26" s="4">
        <v>44562</v>
      </c>
      <c r="U26" s="4">
        <v>44926</v>
      </c>
      <c r="V26" s="1" t="s">
        <v>122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1242</v>
      </c>
      <c r="AH26" s="5">
        <v>0</v>
      </c>
      <c r="AI26" s="5">
        <v>0</v>
      </c>
      <c r="AJ26" s="5">
        <v>2687.76</v>
      </c>
      <c r="AK26" s="5">
        <v>0</v>
      </c>
      <c r="AL26" s="5">
        <v>2687.76</v>
      </c>
      <c r="AM26" s="5">
        <v>0</v>
      </c>
      <c r="AN26" s="5" t="s">
        <v>124</v>
      </c>
    </row>
    <row r="27" spans="1:40" x14ac:dyDescent="0.25">
      <c r="A27" s="1">
        <v>11</v>
      </c>
      <c r="B27" s="1" t="s">
        <v>143</v>
      </c>
      <c r="C27" s="1" t="s">
        <v>120</v>
      </c>
      <c r="D27" s="1" t="s">
        <v>121</v>
      </c>
      <c r="E27" s="4">
        <v>44562</v>
      </c>
      <c r="F27" s="4">
        <v>44926</v>
      </c>
      <c r="G27" s="1" t="s">
        <v>122</v>
      </c>
      <c r="H27" s="5">
        <v>254247.48</v>
      </c>
      <c r="I27" s="5">
        <v>21079.200000000001</v>
      </c>
      <c r="J27" s="5">
        <v>0</v>
      </c>
      <c r="K27" s="5">
        <v>13088.24</v>
      </c>
      <c r="L27" s="5">
        <v>0</v>
      </c>
      <c r="M27" s="5">
        <v>252950.39999999999</v>
      </c>
      <c r="N27" s="5">
        <v>0</v>
      </c>
      <c r="O27" s="5">
        <v>0</v>
      </c>
      <c r="P27" s="5">
        <v>1297.08</v>
      </c>
      <c r="Q27" s="5">
        <v>1297.08</v>
      </c>
      <c r="R27" s="1" t="s">
        <v>144</v>
      </c>
      <c r="S27" s="1" t="s">
        <v>121</v>
      </c>
      <c r="T27" s="4">
        <v>44562</v>
      </c>
      <c r="U27" s="4">
        <v>44926</v>
      </c>
      <c r="V27" s="1" t="s">
        <v>122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1297.08</v>
      </c>
      <c r="AH27" s="5">
        <v>0</v>
      </c>
      <c r="AI27" s="5">
        <v>0</v>
      </c>
      <c r="AJ27" s="5">
        <v>70.69</v>
      </c>
      <c r="AK27" s="5">
        <v>0</v>
      </c>
      <c r="AL27" s="5">
        <v>70.69</v>
      </c>
      <c r="AM27" s="5">
        <v>0</v>
      </c>
      <c r="AN27" s="5" t="s">
        <v>124</v>
      </c>
    </row>
    <row r="28" spans="1:40" x14ac:dyDescent="0.25">
      <c r="A28" s="1">
        <v>12</v>
      </c>
      <c r="B28" s="1" t="s">
        <v>145</v>
      </c>
      <c r="C28" s="1" t="s">
        <v>120</v>
      </c>
      <c r="D28" s="1" t="s">
        <v>121</v>
      </c>
      <c r="E28" s="4">
        <v>44562</v>
      </c>
      <c r="F28" s="4">
        <v>44926</v>
      </c>
      <c r="G28" s="1" t="s">
        <v>122</v>
      </c>
      <c r="H28" s="5">
        <v>172324.69</v>
      </c>
      <c r="I28" s="5">
        <v>0</v>
      </c>
      <c r="J28" s="5">
        <v>0</v>
      </c>
      <c r="K28" s="5">
        <v>7757.88</v>
      </c>
      <c r="L28" s="5">
        <v>0</v>
      </c>
      <c r="M28" s="5">
        <v>171482.34</v>
      </c>
      <c r="N28" s="5">
        <v>0</v>
      </c>
      <c r="O28" s="5">
        <v>0</v>
      </c>
      <c r="P28" s="5">
        <v>842.35</v>
      </c>
      <c r="Q28" s="5">
        <v>842.35</v>
      </c>
      <c r="R28" s="1" t="s">
        <v>146</v>
      </c>
      <c r="S28" s="1" t="s">
        <v>121</v>
      </c>
      <c r="T28" s="4">
        <v>44562</v>
      </c>
      <c r="U28" s="4">
        <v>44926</v>
      </c>
      <c r="V28" s="1" t="s">
        <v>122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842.35</v>
      </c>
      <c r="AH28" s="5">
        <v>0</v>
      </c>
      <c r="AI28" s="5">
        <v>0</v>
      </c>
      <c r="AJ28" s="5">
        <v>7913.75</v>
      </c>
      <c r="AK28" s="5">
        <v>0</v>
      </c>
      <c r="AL28" s="5">
        <v>7913.75</v>
      </c>
      <c r="AM28" s="5">
        <v>0</v>
      </c>
      <c r="AN28" s="5" t="s">
        <v>124</v>
      </c>
    </row>
    <row r="29" spans="1:40" x14ac:dyDescent="0.25">
      <c r="A29" s="1">
        <v>13</v>
      </c>
      <c r="B29" s="1" t="s">
        <v>147</v>
      </c>
      <c r="C29" s="1" t="s">
        <v>120</v>
      </c>
      <c r="D29" s="1" t="s">
        <v>121</v>
      </c>
      <c r="E29" s="4">
        <v>44562</v>
      </c>
      <c r="F29" s="4">
        <v>44926</v>
      </c>
      <c r="G29" s="1" t="s">
        <v>122</v>
      </c>
      <c r="H29" s="5">
        <v>157529.99</v>
      </c>
      <c r="I29" s="5">
        <v>0</v>
      </c>
      <c r="J29" s="5">
        <v>0</v>
      </c>
      <c r="K29" s="5">
        <v>7532.58</v>
      </c>
      <c r="L29" s="5">
        <v>0</v>
      </c>
      <c r="M29" s="5">
        <v>155097</v>
      </c>
      <c r="N29" s="5">
        <v>0</v>
      </c>
      <c r="O29" s="5">
        <v>0</v>
      </c>
      <c r="P29" s="5">
        <v>2432.9899999999998</v>
      </c>
      <c r="Q29" s="5">
        <v>2432.9899999999998</v>
      </c>
      <c r="R29" s="1" t="s">
        <v>148</v>
      </c>
      <c r="S29" s="1" t="s">
        <v>121</v>
      </c>
      <c r="T29" s="4">
        <v>44562</v>
      </c>
      <c r="U29" s="4">
        <v>44926</v>
      </c>
      <c r="V29" s="1" t="s">
        <v>122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2432.9899999999998</v>
      </c>
      <c r="AH29" s="5">
        <v>0</v>
      </c>
      <c r="AI29" s="5">
        <v>0</v>
      </c>
      <c r="AJ29" s="5">
        <v>4999.8599999999997</v>
      </c>
      <c r="AK29" s="5">
        <v>0</v>
      </c>
      <c r="AL29" s="5">
        <v>4999.8599999999997</v>
      </c>
      <c r="AM29" s="5">
        <v>0</v>
      </c>
      <c r="AN29" s="5" t="s">
        <v>124</v>
      </c>
    </row>
    <row r="30" spans="1:40" x14ac:dyDescent="0.25">
      <c r="A30" s="1">
        <v>14</v>
      </c>
      <c r="B30" s="1" t="s">
        <v>149</v>
      </c>
      <c r="C30" s="1" t="s">
        <v>120</v>
      </c>
      <c r="D30" s="1" t="s">
        <v>121</v>
      </c>
      <c r="E30" s="4">
        <v>44562</v>
      </c>
      <c r="F30" s="4">
        <v>44926</v>
      </c>
      <c r="G30" s="1" t="s">
        <v>122</v>
      </c>
      <c r="H30" s="5">
        <v>344664.27</v>
      </c>
      <c r="I30" s="5">
        <v>28896.29</v>
      </c>
      <c r="J30" s="5">
        <v>4000</v>
      </c>
      <c r="K30" s="5">
        <v>8291.2199999999993</v>
      </c>
      <c r="L30" s="5">
        <v>0</v>
      </c>
      <c r="M30" s="5">
        <v>41187.51</v>
      </c>
      <c r="N30" s="5">
        <v>290942.28000000003</v>
      </c>
      <c r="O30" s="5">
        <v>0</v>
      </c>
      <c r="P30" s="5">
        <v>12534.48</v>
      </c>
      <c r="Q30" s="5">
        <v>303476.76</v>
      </c>
      <c r="R30" s="1" t="s">
        <v>150</v>
      </c>
      <c r="S30" s="1" t="s">
        <v>121</v>
      </c>
      <c r="T30" s="4">
        <v>44562</v>
      </c>
      <c r="U30" s="4">
        <v>44926</v>
      </c>
      <c r="V30" s="1" t="s">
        <v>122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303476.76</v>
      </c>
      <c r="AH30" s="5">
        <v>10695.35</v>
      </c>
      <c r="AI30" s="5">
        <v>0</v>
      </c>
      <c r="AJ30" s="5">
        <v>42136.95</v>
      </c>
      <c r="AK30" s="5">
        <v>0</v>
      </c>
      <c r="AL30" s="5">
        <v>31441.599999999999</v>
      </c>
      <c r="AM30" s="5">
        <v>10695.35</v>
      </c>
      <c r="AN30" s="5" t="s">
        <v>124</v>
      </c>
    </row>
    <row r="31" spans="1:40" x14ac:dyDescent="0.25">
      <c r="A31" s="1">
        <v>15</v>
      </c>
      <c r="B31" s="1" t="s">
        <v>151</v>
      </c>
      <c r="C31" s="1" t="s">
        <v>120</v>
      </c>
      <c r="D31" s="1" t="s">
        <v>121</v>
      </c>
      <c r="E31" s="4">
        <v>44562</v>
      </c>
      <c r="F31" s="4">
        <v>44926</v>
      </c>
      <c r="G31" s="1" t="s">
        <v>122</v>
      </c>
      <c r="H31" s="5">
        <v>337439.31</v>
      </c>
      <c r="I31" s="5">
        <v>0</v>
      </c>
      <c r="J31" s="5">
        <v>0</v>
      </c>
      <c r="K31" s="5">
        <v>8700</v>
      </c>
      <c r="L31" s="5">
        <v>0</v>
      </c>
      <c r="M31" s="5">
        <v>8700</v>
      </c>
      <c r="N31" s="5">
        <v>326283.12</v>
      </c>
      <c r="O31" s="5">
        <v>0</v>
      </c>
      <c r="P31" s="5">
        <v>2456.19</v>
      </c>
      <c r="Q31" s="5">
        <v>328739.31</v>
      </c>
      <c r="R31" s="1" t="s">
        <v>152</v>
      </c>
      <c r="S31" s="1" t="s">
        <v>121</v>
      </c>
      <c r="T31" s="4">
        <v>44562</v>
      </c>
      <c r="U31" s="4">
        <v>44926</v>
      </c>
      <c r="V31" s="1" t="s">
        <v>122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328739.31</v>
      </c>
      <c r="AH31" s="5">
        <v>15747.86</v>
      </c>
      <c r="AI31" s="5">
        <v>0</v>
      </c>
      <c r="AJ31" s="5">
        <v>47185.33</v>
      </c>
      <c r="AK31" s="5">
        <v>0</v>
      </c>
      <c r="AL31" s="5">
        <v>31437.47</v>
      </c>
      <c r="AM31" s="5">
        <v>15747.86</v>
      </c>
      <c r="AN31" s="5" t="s">
        <v>124</v>
      </c>
    </row>
    <row r="32" spans="1:40" x14ac:dyDescent="0.25">
      <c r="A32" s="1">
        <v>16</v>
      </c>
      <c r="B32" s="1" t="s">
        <v>153</v>
      </c>
      <c r="C32" s="1" t="s">
        <v>120</v>
      </c>
      <c r="D32" s="1" t="s">
        <v>121</v>
      </c>
      <c r="E32" s="4">
        <v>44562</v>
      </c>
      <c r="F32" s="4">
        <v>44926</v>
      </c>
      <c r="G32" s="1" t="s">
        <v>122</v>
      </c>
      <c r="H32" s="5">
        <v>180714.41</v>
      </c>
      <c r="I32" s="5">
        <v>0</v>
      </c>
      <c r="J32" s="5">
        <v>0</v>
      </c>
      <c r="K32" s="5">
        <v>7851.12</v>
      </c>
      <c r="L32" s="5">
        <v>0</v>
      </c>
      <c r="M32" s="5">
        <v>178265.4</v>
      </c>
      <c r="N32" s="5">
        <v>0</v>
      </c>
      <c r="O32" s="5">
        <v>0</v>
      </c>
      <c r="P32" s="5">
        <v>2449.0100000000002</v>
      </c>
      <c r="Q32" s="5">
        <v>2449.0100000000002</v>
      </c>
      <c r="R32" s="1" t="s">
        <v>154</v>
      </c>
      <c r="S32" s="1" t="s">
        <v>121</v>
      </c>
      <c r="T32" s="4">
        <v>44562</v>
      </c>
      <c r="U32" s="4">
        <v>44926</v>
      </c>
      <c r="V32" s="1" t="s">
        <v>122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2449.0100000000002</v>
      </c>
      <c r="AH32" s="5">
        <v>0</v>
      </c>
      <c r="AI32" s="5">
        <v>0</v>
      </c>
      <c r="AJ32" s="5">
        <v>9573.08</v>
      </c>
      <c r="AK32" s="5">
        <v>0</v>
      </c>
      <c r="AL32" s="5">
        <v>9573.08</v>
      </c>
      <c r="AM32" s="5">
        <v>0</v>
      </c>
      <c r="AN32" s="5" t="s">
        <v>124</v>
      </c>
    </row>
    <row r="33" spans="1:40" x14ac:dyDescent="0.25">
      <c r="A33" s="1">
        <v>17</v>
      </c>
      <c r="B33" s="1" t="s">
        <v>155</v>
      </c>
      <c r="C33" s="1" t="s">
        <v>120</v>
      </c>
      <c r="D33" s="1" t="s">
        <v>121</v>
      </c>
      <c r="E33" s="4">
        <v>44562</v>
      </c>
      <c r="F33" s="4">
        <v>44926</v>
      </c>
      <c r="G33" s="1" t="s">
        <v>122</v>
      </c>
      <c r="H33" s="5">
        <v>187106.7</v>
      </c>
      <c r="I33" s="5">
        <v>0</v>
      </c>
      <c r="J33" s="5">
        <v>0</v>
      </c>
      <c r="K33" s="5">
        <v>7946.52</v>
      </c>
      <c r="L33" s="5">
        <v>0</v>
      </c>
      <c r="M33" s="5">
        <v>185202.9</v>
      </c>
      <c r="N33" s="5">
        <v>0</v>
      </c>
      <c r="O33" s="5">
        <v>0</v>
      </c>
      <c r="P33" s="5">
        <v>1903.8</v>
      </c>
      <c r="Q33" s="5">
        <v>1903.8</v>
      </c>
      <c r="R33" s="1" t="s">
        <v>156</v>
      </c>
      <c r="S33" s="1" t="s">
        <v>121</v>
      </c>
      <c r="T33" s="4">
        <v>44562</v>
      </c>
      <c r="U33" s="4">
        <v>44926</v>
      </c>
      <c r="V33" s="1" t="s">
        <v>122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1903.8</v>
      </c>
      <c r="AH33" s="5">
        <v>0</v>
      </c>
      <c r="AI33" s="5">
        <v>0</v>
      </c>
      <c r="AJ33" s="5">
        <v>10832.46</v>
      </c>
      <c r="AK33" s="5">
        <v>0</v>
      </c>
      <c r="AL33" s="5">
        <v>10832.46</v>
      </c>
      <c r="AM33" s="5">
        <v>0</v>
      </c>
      <c r="AN33" s="5" t="s">
        <v>124</v>
      </c>
    </row>
    <row r="34" spans="1:40" x14ac:dyDescent="0.25">
      <c r="A34" s="1">
        <v>18</v>
      </c>
      <c r="B34" s="1" t="s">
        <v>157</v>
      </c>
      <c r="C34" s="1" t="s">
        <v>120</v>
      </c>
      <c r="D34" s="1" t="s">
        <v>121</v>
      </c>
      <c r="E34" s="4">
        <v>44562</v>
      </c>
      <c r="F34" s="4">
        <v>44926</v>
      </c>
      <c r="G34" s="1" t="s">
        <v>122</v>
      </c>
      <c r="H34" s="5">
        <v>168804.84</v>
      </c>
      <c r="I34" s="5">
        <v>0</v>
      </c>
      <c r="J34" s="5">
        <v>0</v>
      </c>
      <c r="K34" s="5">
        <v>7721.46</v>
      </c>
      <c r="L34" s="5">
        <v>0</v>
      </c>
      <c r="M34" s="5">
        <v>168833.16</v>
      </c>
      <c r="N34" s="5">
        <v>0</v>
      </c>
      <c r="O34" s="5">
        <v>0</v>
      </c>
      <c r="P34" s="5">
        <v>-28.32</v>
      </c>
      <c r="Q34" s="5">
        <v>-28.32</v>
      </c>
      <c r="R34" s="1" t="s">
        <v>158</v>
      </c>
      <c r="S34" s="1" t="s">
        <v>121</v>
      </c>
      <c r="T34" s="4">
        <v>44562</v>
      </c>
      <c r="U34" s="4">
        <v>44926</v>
      </c>
      <c r="V34" s="1" t="s">
        <v>122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-28.32</v>
      </c>
      <c r="AH34" s="5">
        <v>0</v>
      </c>
      <c r="AI34" s="5">
        <v>0</v>
      </c>
      <c r="AJ34" s="5">
        <v>7217.08</v>
      </c>
      <c r="AK34" s="5">
        <v>0</v>
      </c>
      <c r="AL34" s="5">
        <v>7217.08</v>
      </c>
      <c r="AM34" s="5">
        <v>0</v>
      </c>
      <c r="AN34" s="5" t="s">
        <v>124</v>
      </c>
    </row>
    <row r="35" spans="1:40" x14ac:dyDescent="0.25">
      <c r="A35" s="1">
        <v>19</v>
      </c>
      <c r="B35" s="1" t="s">
        <v>159</v>
      </c>
      <c r="C35" s="1" t="s">
        <v>120</v>
      </c>
      <c r="D35" s="1" t="s">
        <v>121</v>
      </c>
      <c r="E35" s="4">
        <v>44562</v>
      </c>
      <c r="F35" s="4">
        <v>44926</v>
      </c>
      <c r="G35" s="1" t="s">
        <v>122</v>
      </c>
      <c r="H35" s="5">
        <v>146671.18</v>
      </c>
      <c r="I35" s="5">
        <v>0</v>
      </c>
      <c r="J35" s="5">
        <v>0</v>
      </c>
      <c r="K35" s="5">
        <v>7381.18</v>
      </c>
      <c r="L35" s="5">
        <v>0</v>
      </c>
      <c r="M35" s="5">
        <v>144087.18</v>
      </c>
      <c r="N35" s="5">
        <v>0</v>
      </c>
      <c r="O35" s="5">
        <v>0</v>
      </c>
      <c r="P35" s="5">
        <v>2584</v>
      </c>
      <c r="Q35" s="5">
        <v>2584</v>
      </c>
      <c r="R35" s="1" t="s">
        <v>160</v>
      </c>
      <c r="S35" s="1" t="s">
        <v>121</v>
      </c>
      <c r="T35" s="4">
        <v>44562</v>
      </c>
      <c r="U35" s="4">
        <v>44926</v>
      </c>
      <c r="V35" s="1" t="s">
        <v>122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2584</v>
      </c>
      <c r="AH35" s="5">
        <v>0</v>
      </c>
      <c r="AI35" s="5">
        <v>0</v>
      </c>
      <c r="AJ35" s="5">
        <v>2858.42</v>
      </c>
      <c r="AK35" s="5">
        <v>0</v>
      </c>
      <c r="AL35" s="5">
        <v>2858.42</v>
      </c>
      <c r="AM35" s="5">
        <v>0</v>
      </c>
      <c r="AN35" s="5" t="s">
        <v>124</v>
      </c>
    </row>
    <row r="36" spans="1:40" x14ac:dyDescent="0.25">
      <c r="H36" s="3" t="s">
        <v>163</v>
      </c>
      <c r="I36" s="3" t="s">
        <v>163</v>
      </c>
      <c r="J36" s="3" t="s">
        <v>163</v>
      </c>
      <c r="K36" s="3" t="s">
        <v>163</v>
      </c>
      <c r="L36" s="3" t="s">
        <v>163</v>
      </c>
      <c r="M36" s="3" t="s">
        <v>163</v>
      </c>
      <c r="N36" s="3" t="s">
        <v>163</v>
      </c>
      <c r="O36" s="3" t="s">
        <v>163</v>
      </c>
      <c r="P36" s="3" t="s">
        <v>163</v>
      </c>
      <c r="Q36" s="3" t="s">
        <v>163</v>
      </c>
      <c r="W36" s="3" t="s">
        <v>163</v>
      </c>
      <c r="X36" s="3" t="s">
        <v>163</v>
      </c>
      <c r="Y36" s="3" t="s">
        <v>163</v>
      </c>
      <c r="Z36" s="3" t="s">
        <v>163</v>
      </c>
      <c r="AA36" s="3" t="s">
        <v>163</v>
      </c>
      <c r="AB36" s="3" t="s">
        <v>163</v>
      </c>
      <c r="AC36" s="3" t="s">
        <v>163</v>
      </c>
      <c r="AD36" s="3" t="s">
        <v>163</v>
      </c>
      <c r="AE36" s="3" t="s">
        <v>163</v>
      </c>
      <c r="AF36" s="3" t="s">
        <v>163</v>
      </c>
      <c r="AG36" s="3" t="s">
        <v>163</v>
      </c>
      <c r="AH36" s="3" t="s">
        <v>163</v>
      </c>
      <c r="AI36" s="3" t="s">
        <v>163</v>
      </c>
      <c r="AJ36" s="3" t="s">
        <v>163</v>
      </c>
      <c r="AK36" s="3" t="s">
        <v>163</v>
      </c>
      <c r="AL36" s="3" t="s">
        <v>163</v>
      </c>
      <c r="AM36" s="3" t="s">
        <v>163</v>
      </c>
      <c r="AN36" s="3" t="s">
        <v>163</v>
      </c>
    </row>
    <row r="37" spans="1:40" x14ac:dyDescent="0.25">
      <c r="A37" s="2" t="s">
        <v>161</v>
      </c>
      <c r="H37" s="6" t="e">
        <f>SUM(_xlnm.H17...H35)</f>
        <v>#NAME?</v>
      </c>
      <c r="I37" s="6" t="e">
        <f>SUM(_xlnm.I17...I35)</f>
        <v>#NAME?</v>
      </c>
      <c r="J37" s="6" t="e">
        <f>SUM(_xlnm.J17...J35)</f>
        <v>#NAME?</v>
      </c>
      <c r="K37" s="6" t="e">
        <f>SUM(_xlnm.K17...K35)</f>
        <v>#NAME?</v>
      </c>
      <c r="L37" s="6" t="e">
        <f>SUM(_xlnm.L17...L35)</f>
        <v>#NAME?</v>
      </c>
      <c r="M37" s="6" t="e">
        <f>SUM(_xlnm.M17...M35)</f>
        <v>#NAME?</v>
      </c>
      <c r="N37" s="6" t="e">
        <f>SUM(_xlnm.N17...N35)</f>
        <v>#NAME?</v>
      </c>
      <c r="O37" s="6" t="e">
        <f>SUM(_xlnm.O17...O35)</f>
        <v>#NAME?</v>
      </c>
      <c r="P37" s="6" t="e">
        <f>SUM(_xlnm.P17...P35)</f>
        <v>#NAME?</v>
      </c>
      <c r="Q37" s="6" t="e">
        <f>SUM(_xlnm.Q17...Q35)</f>
        <v>#NAME?</v>
      </c>
      <c r="W37" s="6" t="e">
        <f>SUM(_xlnm.W17...W35)</f>
        <v>#NAME?</v>
      </c>
      <c r="X37" s="6" t="e">
        <f>SUM(_xlnm.X17...X35)</f>
        <v>#NAME?</v>
      </c>
      <c r="Y37" s="6" t="e">
        <f>SUM(_xlnm.Y17...Y35)</f>
        <v>#NAME?</v>
      </c>
      <c r="Z37" s="6" t="e">
        <f>SUM(_xlnm.Z17...Z35)</f>
        <v>#NAME?</v>
      </c>
      <c r="AA37" s="6" t="e">
        <f>SUM(_xlnm.AA17...AA35)</f>
        <v>#NAME?</v>
      </c>
      <c r="AB37" s="6" t="e">
        <f>SUM(_xlnm.AB17...AB35)</f>
        <v>#NAME?</v>
      </c>
      <c r="AC37" s="6" t="e">
        <f>SUM(_xlnm.AC17...AC35)</f>
        <v>#NAME?</v>
      </c>
      <c r="AD37" s="6" t="e">
        <f>SUM(_xlnm.AD17...AD35)</f>
        <v>#NAME?</v>
      </c>
      <c r="AE37" s="6" t="e">
        <f>SUM(_xlnm.AE17...AE35)</f>
        <v>#NAME?</v>
      </c>
      <c r="AF37" s="6" t="e">
        <f>SUM(_xlnm.AF17...AF35)</f>
        <v>#NAME?</v>
      </c>
      <c r="AG37" s="6" t="e">
        <f>SUM(_xlnm.AG17...AG35)</f>
        <v>#NAME?</v>
      </c>
      <c r="AH37" s="6" t="e">
        <f>SUM(_xlnm.AH17...AH35)</f>
        <v>#NAME?</v>
      </c>
      <c r="AI37" s="6" t="e">
        <f>SUM(_xlnm.AI17...AI35)</f>
        <v>#NAME?</v>
      </c>
      <c r="AJ37" s="6" t="e">
        <f>SUM(_xlnm.AJ17...AJ35)</f>
        <v>#NAME?</v>
      </c>
      <c r="AK37" s="6" t="e">
        <f>SUM(_xlnm.AK17...AK35)</f>
        <v>#NAME?</v>
      </c>
      <c r="AL37" s="6" t="e">
        <f>SUM(_xlnm.AL17...AL35)</f>
        <v>#NAME?</v>
      </c>
      <c r="AM37" s="6" t="e">
        <f>SUM(_xlnm.AM17...AM35)</f>
        <v>#NAME?</v>
      </c>
      <c r="AN37" s="6" t="e">
        <f>SUM(_xlnm.AN17...AN35)</f>
        <v>#NAME?</v>
      </c>
    </row>
    <row r="38" spans="1:40" x14ac:dyDescent="0.25">
      <c r="H38" s="3" t="s">
        <v>162</v>
      </c>
      <c r="I38" s="3" t="s">
        <v>162</v>
      </c>
      <c r="J38" s="3" t="s">
        <v>162</v>
      </c>
      <c r="K38" s="3" t="s">
        <v>162</v>
      </c>
      <c r="L38" s="3" t="s">
        <v>162</v>
      </c>
      <c r="M38" s="3" t="s">
        <v>162</v>
      </c>
      <c r="N38" s="3" t="s">
        <v>162</v>
      </c>
      <c r="O38" s="3" t="s">
        <v>162</v>
      </c>
      <c r="P38" s="3" t="s">
        <v>162</v>
      </c>
      <c r="Q38" s="3" t="s">
        <v>162</v>
      </c>
      <c r="W38" s="3" t="s">
        <v>162</v>
      </c>
      <c r="X38" s="3" t="s">
        <v>162</v>
      </c>
      <c r="Y38" s="3" t="s">
        <v>162</v>
      </c>
      <c r="Z38" s="3" t="s">
        <v>162</v>
      </c>
      <c r="AA38" s="3" t="s">
        <v>162</v>
      </c>
      <c r="AB38" s="3" t="s">
        <v>162</v>
      </c>
      <c r="AC38" s="3" t="s">
        <v>162</v>
      </c>
      <c r="AD38" s="3" t="s">
        <v>162</v>
      </c>
      <c r="AE38" s="3" t="s">
        <v>162</v>
      </c>
      <c r="AF38" s="3" t="s">
        <v>162</v>
      </c>
      <c r="AG38" s="3" t="s">
        <v>162</v>
      </c>
      <c r="AH38" s="3" t="s">
        <v>162</v>
      </c>
      <c r="AI38" s="3" t="s">
        <v>162</v>
      </c>
      <c r="AJ38" s="3" t="s">
        <v>162</v>
      </c>
      <c r="AK38" s="3" t="s">
        <v>162</v>
      </c>
      <c r="AL38" s="3" t="s">
        <v>162</v>
      </c>
      <c r="AM38" s="3" t="s">
        <v>162</v>
      </c>
      <c r="AN38" s="3" t="s">
        <v>162</v>
      </c>
    </row>
    <row r="39" spans="1:40" x14ac:dyDescent="0.25">
      <c r="A39" s="2" t="s">
        <v>164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reggie</dc:creator>
  <cp:lastModifiedBy>reggie</cp:lastModifiedBy>
  <dcterms:created xsi:type="dcterms:W3CDTF">2023-01-05T03:12:04Z</dcterms:created>
  <dcterms:modified xsi:type="dcterms:W3CDTF">2023-01-05T03:14:34Z</dcterms:modified>
</cp:coreProperties>
</file>